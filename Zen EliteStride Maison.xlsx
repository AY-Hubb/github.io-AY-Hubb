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utre\Desktop\Exercises\Esther Chinenye Anagu\Excel\"/>
    </mc:Choice>
  </mc:AlternateContent>
  <xr:revisionPtr revIDLastSave="0" documentId="8_{054B5E6A-7BBD-4328-A2F2-49284610D960}" xr6:coauthVersionLast="47" xr6:coauthVersionMax="47" xr10:uidLastSave="{00000000-0000-0000-0000-000000000000}"/>
  <bookViews>
    <workbookView xWindow="-120" yWindow="-120" windowWidth="24240" windowHeight="13140" tabRatio="709" xr2:uid="{00000000-000D-0000-FFFF-FFFF00000000}"/>
  </bookViews>
  <sheets>
    <sheet name="Dashboard" sheetId="11" r:id="rId1"/>
    <sheet name="Shoe Sales (Original)" sheetId="1" state="hidden" r:id="rId2"/>
    <sheet name="Cleaned" sheetId="4" state="hidden" r:id="rId3"/>
    <sheet name="Pivot Tables" sheetId="9" state="hidden" r:id="rId4"/>
    <sheet name="Business Questions" sheetId="3" state="hidden" r:id="rId5"/>
    <sheet name="Shoe_Sale Power Query" sheetId="6" state="hidden" r:id="rId6"/>
    <sheet name="Shoe Sales" sheetId="5" state="hidden" r:id="rId7"/>
    <sheet name="Price" sheetId="2" state="hidden" r:id="rId8"/>
  </sheets>
  <definedNames>
    <definedName name="ExternalData_1" localSheetId="5" hidden="1">'Shoe_Sale Power Query'!$A$1:$H$501</definedName>
    <definedName name="Slicer_Brand_Cleaned">#N/A</definedName>
    <definedName name="Slicer_Country">#N/A</definedName>
    <definedName name="Slicer_Months">#N/A</definedName>
    <definedName name="Slicer_Product_Cleane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t2OoQScImnjPBx5wythQQV9yUYS7BMBunkFyIboz0FY="/>
    </ext>
  </extLst>
</workbook>
</file>

<file path=xl/calcChain.xml><?xml version="1.0" encoding="utf-8"?>
<calcChain xmlns="http://schemas.openxmlformats.org/spreadsheetml/2006/main">
  <c r="N76" i="9" l="1"/>
  <c r="O76" i="9"/>
  <c r="M76" i="9"/>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C4" i="4"/>
  <c r="L4" i="4" s="1"/>
  <c r="O4" i="4" s="1"/>
  <c r="E4" i="4"/>
  <c r="H4" i="4"/>
  <c r="C8" i="4"/>
  <c r="L8" i="4" s="1"/>
  <c r="O8" i="4" s="1"/>
  <c r="E8" i="4"/>
  <c r="H8" i="4"/>
  <c r="C9" i="4"/>
  <c r="L9" i="4" s="1"/>
  <c r="O9" i="4" s="1"/>
  <c r="E9" i="4"/>
  <c r="H9" i="4"/>
  <c r="C11" i="4"/>
  <c r="L11" i="4" s="1"/>
  <c r="O11" i="4" s="1"/>
  <c r="E11" i="4"/>
  <c r="H11" i="4"/>
  <c r="C12" i="4"/>
  <c r="E12" i="4"/>
  <c r="H12" i="4"/>
  <c r="C13" i="4"/>
  <c r="L13" i="4" s="1"/>
  <c r="O13" i="4" s="1"/>
  <c r="E13" i="4"/>
  <c r="H13" i="4"/>
  <c r="C14" i="4"/>
  <c r="M14" i="4" s="1"/>
  <c r="E14" i="4"/>
  <c r="H14" i="4"/>
  <c r="C15" i="4"/>
  <c r="E15" i="4"/>
  <c r="H15" i="4"/>
  <c r="C16" i="4"/>
  <c r="L16" i="4" s="1"/>
  <c r="O16" i="4" s="1"/>
  <c r="E16" i="4"/>
  <c r="H16" i="4"/>
  <c r="C17" i="4"/>
  <c r="M17" i="4" s="1"/>
  <c r="E17" i="4"/>
  <c r="H17" i="4"/>
  <c r="C18" i="4"/>
  <c r="L18" i="4" s="1"/>
  <c r="O18" i="4" s="1"/>
  <c r="E18" i="4"/>
  <c r="H18" i="4"/>
  <c r="C19" i="4"/>
  <c r="L19" i="4" s="1"/>
  <c r="O19" i="4" s="1"/>
  <c r="E19" i="4"/>
  <c r="H19" i="4"/>
  <c r="C20" i="4"/>
  <c r="L20" i="4" s="1"/>
  <c r="O20" i="4" s="1"/>
  <c r="E20" i="4"/>
  <c r="H20" i="4"/>
  <c r="C21" i="4"/>
  <c r="L21" i="4" s="1"/>
  <c r="O21" i="4" s="1"/>
  <c r="E21" i="4"/>
  <c r="H21" i="4"/>
  <c r="C23" i="4"/>
  <c r="M23" i="4" s="1"/>
  <c r="E23" i="4"/>
  <c r="H23" i="4"/>
  <c r="C24" i="4"/>
  <c r="L24" i="4" s="1"/>
  <c r="O24" i="4" s="1"/>
  <c r="E24" i="4"/>
  <c r="H24" i="4"/>
  <c r="C25" i="4"/>
  <c r="L25" i="4" s="1"/>
  <c r="O25" i="4" s="1"/>
  <c r="E25" i="4"/>
  <c r="H25" i="4"/>
  <c r="C26" i="4"/>
  <c r="L26" i="4" s="1"/>
  <c r="O26" i="4" s="1"/>
  <c r="E26" i="4"/>
  <c r="H26" i="4"/>
  <c r="C27" i="4"/>
  <c r="L27" i="4" s="1"/>
  <c r="O27" i="4" s="1"/>
  <c r="E27" i="4"/>
  <c r="H27" i="4"/>
  <c r="C28" i="4"/>
  <c r="L28" i="4" s="1"/>
  <c r="O28" i="4" s="1"/>
  <c r="E28" i="4"/>
  <c r="H28" i="4"/>
  <c r="C29" i="4"/>
  <c r="E29" i="4"/>
  <c r="H29" i="4"/>
  <c r="C30" i="4"/>
  <c r="L30" i="4" s="1"/>
  <c r="O30" i="4" s="1"/>
  <c r="E30" i="4"/>
  <c r="H30" i="4"/>
  <c r="C32" i="4"/>
  <c r="E32" i="4"/>
  <c r="H32" i="4"/>
  <c r="C33" i="4"/>
  <c r="E33" i="4"/>
  <c r="H33" i="4"/>
  <c r="C34" i="4"/>
  <c r="L34" i="4" s="1"/>
  <c r="O34" i="4" s="1"/>
  <c r="E34" i="4"/>
  <c r="H34" i="4"/>
  <c r="C35" i="4"/>
  <c r="E35" i="4"/>
  <c r="H35" i="4"/>
  <c r="C36" i="4"/>
  <c r="L36" i="4" s="1"/>
  <c r="O36" i="4" s="1"/>
  <c r="E36" i="4"/>
  <c r="H36" i="4"/>
  <c r="C37" i="4"/>
  <c r="L37" i="4" s="1"/>
  <c r="O37" i="4" s="1"/>
  <c r="E37" i="4"/>
  <c r="H37" i="4"/>
  <c r="C38" i="4"/>
  <c r="L38" i="4" s="1"/>
  <c r="O38" i="4" s="1"/>
  <c r="E38" i="4"/>
  <c r="H38" i="4"/>
  <c r="C39" i="4"/>
  <c r="L39" i="4" s="1"/>
  <c r="O39" i="4" s="1"/>
  <c r="E39" i="4"/>
  <c r="H39" i="4"/>
  <c r="C40" i="4"/>
  <c r="M40" i="4" s="1"/>
  <c r="E40" i="4"/>
  <c r="H40" i="4"/>
  <c r="C41" i="4"/>
  <c r="N41" i="4" s="1"/>
  <c r="P41" i="4" s="1"/>
  <c r="E41" i="4"/>
  <c r="H41" i="4"/>
  <c r="C42" i="4"/>
  <c r="L42" i="4" s="1"/>
  <c r="O42" i="4" s="1"/>
  <c r="E42" i="4"/>
  <c r="H42" i="4"/>
  <c r="C43" i="4"/>
  <c r="L43" i="4" s="1"/>
  <c r="O43" i="4" s="1"/>
  <c r="E43" i="4"/>
  <c r="H43" i="4"/>
  <c r="C44" i="4"/>
  <c r="E44" i="4"/>
  <c r="H44" i="4"/>
  <c r="C45" i="4"/>
  <c r="L45" i="4" s="1"/>
  <c r="O45" i="4" s="1"/>
  <c r="E45" i="4"/>
  <c r="H45" i="4"/>
  <c r="C46" i="4"/>
  <c r="M46" i="4" s="1"/>
  <c r="E46" i="4"/>
  <c r="H46" i="4"/>
  <c r="C47" i="4"/>
  <c r="L47" i="4" s="1"/>
  <c r="O47" i="4" s="1"/>
  <c r="E47" i="4"/>
  <c r="H47" i="4"/>
  <c r="C48" i="4"/>
  <c r="M48" i="4" s="1"/>
  <c r="E48" i="4"/>
  <c r="H48" i="4"/>
  <c r="C49" i="4"/>
  <c r="L49" i="4" s="1"/>
  <c r="O49" i="4" s="1"/>
  <c r="E49" i="4"/>
  <c r="H49" i="4"/>
  <c r="C50" i="4"/>
  <c r="L50" i="4" s="1"/>
  <c r="O50" i="4" s="1"/>
  <c r="E50" i="4"/>
  <c r="H50" i="4"/>
  <c r="C51" i="4"/>
  <c r="L51" i="4" s="1"/>
  <c r="O51" i="4" s="1"/>
  <c r="E51" i="4"/>
  <c r="H51" i="4"/>
  <c r="C52" i="4"/>
  <c r="L52" i="4" s="1"/>
  <c r="O52" i="4" s="1"/>
  <c r="E52" i="4"/>
  <c r="H52" i="4"/>
  <c r="C53" i="4"/>
  <c r="L53" i="4" s="1"/>
  <c r="O53" i="4" s="1"/>
  <c r="E53" i="4"/>
  <c r="H53" i="4"/>
  <c r="C54" i="4"/>
  <c r="M54" i="4" s="1"/>
  <c r="E54" i="4"/>
  <c r="H54" i="4"/>
  <c r="C55" i="4"/>
  <c r="L55" i="4" s="1"/>
  <c r="O55" i="4" s="1"/>
  <c r="E55" i="4"/>
  <c r="H55" i="4"/>
  <c r="C56" i="4"/>
  <c r="M56" i="4" s="1"/>
  <c r="E56" i="4"/>
  <c r="H56" i="4"/>
  <c r="C57" i="4"/>
  <c r="L57" i="4" s="1"/>
  <c r="O57" i="4" s="1"/>
  <c r="E57" i="4"/>
  <c r="H57" i="4"/>
  <c r="C58" i="4"/>
  <c r="L58" i="4" s="1"/>
  <c r="O58" i="4" s="1"/>
  <c r="E58" i="4"/>
  <c r="H58" i="4"/>
  <c r="C59" i="4"/>
  <c r="L59" i="4" s="1"/>
  <c r="O59" i="4" s="1"/>
  <c r="E59" i="4"/>
  <c r="H59" i="4"/>
  <c r="C60" i="4"/>
  <c r="L60" i="4" s="1"/>
  <c r="O60" i="4" s="1"/>
  <c r="E60" i="4"/>
  <c r="H60" i="4"/>
  <c r="C61" i="4"/>
  <c r="L61" i="4" s="1"/>
  <c r="O61" i="4" s="1"/>
  <c r="E61" i="4"/>
  <c r="H61" i="4"/>
  <c r="C62" i="4"/>
  <c r="N62" i="4" s="1"/>
  <c r="P62" i="4" s="1"/>
  <c r="E62" i="4"/>
  <c r="H62" i="4"/>
  <c r="C63" i="4"/>
  <c r="L63" i="4" s="1"/>
  <c r="O63" i="4" s="1"/>
  <c r="E63" i="4"/>
  <c r="H63" i="4"/>
  <c r="C64" i="4"/>
  <c r="M64" i="4" s="1"/>
  <c r="E64" i="4"/>
  <c r="H64" i="4"/>
  <c r="C65" i="4"/>
  <c r="L65" i="4" s="1"/>
  <c r="O65" i="4" s="1"/>
  <c r="E65" i="4"/>
  <c r="H65" i="4"/>
  <c r="C66" i="4"/>
  <c r="L66" i="4" s="1"/>
  <c r="O66" i="4" s="1"/>
  <c r="E66" i="4"/>
  <c r="H66" i="4"/>
  <c r="C67" i="4"/>
  <c r="E67" i="4"/>
  <c r="H67" i="4"/>
  <c r="C68" i="4"/>
  <c r="E68" i="4"/>
  <c r="H68" i="4"/>
  <c r="C69" i="4"/>
  <c r="L69" i="4" s="1"/>
  <c r="O69" i="4" s="1"/>
  <c r="E69" i="4"/>
  <c r="H69" i="4"/>
  <c r="C70" i="4"/>
  <c r="E70" i="4"/>
  <c r="H70" i="4"/>
  <c r="C71" i="4"/>
  <c r="L71" i="4" s="1"/>
  <c r="O71" i="4" s="1"/>
  <c r="E71" i="4"/>
  <c r="H71" i="4"/>
  <c r="C72" i="4"/>
  <c r="M72" i="4" s="1"/>
  <c r="E72" i="4"/>
  <c r="H72" i="4"/>
  <c r="C73" i="4"/>
  <c r="M73" i="4" s="1"/>
  <c r="E73" i="4"/>
  <c r="H73" i="4"/>
  <c r="C74" i="4"/>
  <c r="E74" i="4"/>
  <c r="H74" i="4"/>
  <c r="C75" i="4"/>
  <c r="N75" i="4" s="1"/>
  <c r="P75" i="4" s="1"/>
  <c r="E75" i="4"/>
  <c r="H75" i="4"/>
  <c r="C76" i="4"/>
  <c r="L76" i="4" s="1"/>
  <c r="O76" i="4" s="1"/>
  <c r="E76" i="4"/>
  <c r="H76" i="4"/>
  <c r="C77" i="4"/>
  <c r="L77" i="4" s="1"/>
  <c r="O77" i="4" s="1"/>
  <c r="E77" i="4"/>
  <c r="H77" i="4"/>
  <c r="C78" i="4"/>
  <c r="M78" i="4" s="1"/>
  <c r="E78" i="4"/>
  <c r="H78" i="4"/>
  <c r="C79" i="4"/>
  <c r="L79" i="4" s="1"/>
  <c r="O79" i="4" s="1"/>
  <c r="E79" i="4"/>
  <c r="H79" i="4"/>
  <c r="C80" i="4"/>
  <c r="M80" i="4" s="1"/>
  <c r="E80" i="4"/>
  <c r="H80" i="4"/>
  <c r="C81" i="4"/>
  <c r="L81" i="4" s="1"/>
  <c r="O81" i="4" s="1"/>
  <c r="E81" i="4"/>
  <c r="H81" i="4"/>
  <c r="C82" i="4"/>
  <c r="E82" i="4"/>
  <c r="H82" i="4"/>
  <c r="C83" i="4"/>
  <c r="E83" i="4"/>
  <c r="H83" i="4"/>
  <c r="C84" i="4"/>
  <c r="L84" i="4" s="1"/>
  <c r="O84" i="4" s="1"/>
  <c r="E84" i="4"/>
  <c r="H84" i="4"/>
  <c r="C85" i="4"/>
  <c r="L85" i="4" s="1"/>
  <c r="O85" i="4" s="1"/>
  <c r="E85" i="4"/>
  <c r="H85" i="4"/>
  <c r="C86" i="4"/>
  <c r="M86" i="4" s="1"/>
  <c r="E86" i="4"/>
  <c r="H86" i="4"/>
  <c r="C87" i="4"/>
  <c r="L87" i="4" s="1"/>
  <c r="O87" i="4" s="1"/>
  <c r="E87" i="4"/>
  <c r="H87" i="4"/>
  <c r="C88" i="4"/>
  <c r="M88" i="4" s="1"/>
  <c r="E88" i="4"/>
  <c r="H88" i="4"/>
  <c r="C89" i="4"/>
  <c r="L89" i="4" s="1"/>
  <c r="O89" i="4" s="1"/>
  <c r="E89" i="4"/>
  <c r="H89" i="4"/>
  <c r="C90" i="4"/>
  <c r="E90" i="4"/>
  <c r="H90" i="4"/>
  <c r="C91" i="4"/>
  <c r="L91" i="4" s="1"/>
  <c r="O91" i="4" s="1"/>
  <c r="E91" i="4"/>
  <c r="H91" i="4"/>
  <c r="C92" i="4"/>
  <c r="E92" i="4"/>
  <c r="H92" i="4"/>
  <c r="C93" i="4"/>
  <c r="L93" i="4" s="1"/>
  <c r="O93" i="4" s="1"/>
  <c r="E93" i="4"/>
  <c r="H93" i="4"/>
  <c r="C94" i="4"/>
  <c r="L94" i="4" s="1"/>
  <c r="O94" i="4" s="1"/>
  <c r="E94" i="4"/>
  <c r="H94" i="4"/>
  <c r="C95" i="4"/>
  <c r="L95" i="4" s="1"/>
  <c r="O95" i="4" s="1"/>
  <c r="E95" i="4"/>
  <c r="H95" i="4"/>
  <c r="C96" i="4"/>
  <c r="M96" i="4" s="1"/>
  <c r="E96" i="4"/>
  <c r="H96" i="4"/>
  <c r="C97" i="4"/>
  <c r="E97" i="4"/>
  <c r="H97" i="4"/>
  <c r="C98" i="4"/>
  <c r="E98" i="4"/>
  <c r="H98" i="4"/>
  <c r="C99" i="4"/>
  <c r="L99" i="4" s="1"/>
  <c r="O99" i="4" s="1"/>
  <c r="E99" i="4"/>
  <c r="H99" i="4"/>
  <c r="C100" i="4"/>
  <c r="L100" i="4" s="1"/>
  <c r="O100" i="4" s="1"/>
  <c r="E100" i="4"/>
  <c r="H100" i="4"/>
  <c r="C101" i="4"/>
  <c r="L101" i="4" s="1"/>
  <c r="O101" i="4" s="1"/>
  <c r="E101" i="4"/>
  <c r="H101" i="4"/>
  <c r="C102" i="4"/>
  <c r="N102" i="4" s="1"/>
  <c r="P102" i="4" s="1"/>
  <c r="E102" i="4"/>
  <c r="H102" i="4"/>
  <c r="C103" i="4"/>
  <c r="L103" i="4" s="1"/>
  <c r="O103" i="4" s="1"/>
  <c r="E103" i="4"/>
  <c r="H103" i="4"/>
  <c r="C104" i="4"/>
  <c r="E104" i="4"/>
  <c r="H104" i="4"/>
  <c r="C105" i="4"/>
  <c r="E105" i="4"/>
  <c r="H105" i="4"/>
  <c r="C106" i="4"/>
  <c r="L106" i="4" s="1"/>
  <c r="O106" i="4" s="1"/>
  <c r="E106" i="4"/>
  <c r="H106" i="4"/>
  <c r="C107" i="4"/>
  <c r="E107" i="4"/>
  <c r="H107" i="4"/>
  <c r="C108" i="4"/>
  <c r="E108" i="4"/>
  <c r="H108" i="4"/>
  <c r="C109" i="4"/>
  <c r="L109" i="4" s="1"/>
  <c r="O109" i="4" s="1"/>
  <c r="E109" i="4"/>
  <c r="H109" i="4"/>
  <c r="C110" i="4"/>
  <c r="L110" i="4" s="1"/>
  <c r="O110" i="4" s="1"/>
  <c r="E110" i="4"/>
  <c r="H110" i="4"/>
  <c r="C111" i="4"/>
  <c r="L111" i="4" s="1"/>
  <c r="O111" i="4" s="1"/>
  <c r="E111" i="4"/>
  <c r="H111" i="4"/>
  <c r="C112" i="4"/>
  <c r="E112" i="4"/>
  <c r="H112" i="4"/>
  <c r="C113" i="4"/>
  <c r="L113" i="4" s="1"/>
  <c r="O113" i="4" s="1"/>
  <c r="E113" i="4"/>
  <c r="H113" i="4"/>
  <c r="C114" i="4"/>
  <c r="L114" i="4" s="1"/>
  <c r="O114" i="4" s="1"/>
  <c r="E114" i="4"/>
  <c r="H114" i="4"/>
  <c r="C115" i="4"/>
  <c r="L115" i="4" s="1"/>
  <c r="O115" i="4" s="1"/>
  <c r="E115" i="4"/>
  <c r="H115" i="4"/>
  <c r="C116" i="4"/>
  <c r="E116" i="4"/>
  <c r="H116" i="4"/>
  <c r="C117" i="4"/>
  <c r="E117" i="4"/>
  <c r="H117" i="4"/>
  <c r="C118" i="4"/>
  <c r="L118" i="4" s="1"/>
  <c r="O118" i="4" s="1"/>
  <c r="E118" i="4"/>
  <c r="H118" i="4"/>
  <c r="C119" i="4"/>
  <c r="L119" i="4" s="1"/>
  <c r="O119" i="4" s="1"/>
  <c r="E119" i="4"/>
  <c r="H119" i="4"/>
  <c r="C120" i="4"/>
  <c r="E120" i="4"/>
  <c r="H120" i="4"/>
  <c r="C121" i="4"/>
  <c r="E121" i="4"/>
  <c r="H121" i="4"/>
  <c r="C122" i="4"/>
  <c r="L122" i="4" s="1"/>
  <c r="O122" i="4" s="1"/>
  <c r="E122" i="4"/>
  <c r="H122" i="4"/>
  <c r="C123" i="4"/>
  <c r="L123" i="4" s="1"/>
  <c r="O123" i="4" s="1"/>
  <c r="E123" i="4"/>
  <c r="H123" i="4"/>
  <c r="C124" i="4"/>
  <c r="L124" i="4" s="1"/>
  <c r="O124" i="4" s="1"/>
  <c r="E124" i="4"/>
  <c r="H124" i="4"/>
  <c r="C125" i="4"/>
  <c r="E125" i="4"/>
  <c r="H125" i="4"/>
  <c r="C126" i="4"/>
  <c r="L126" i="4" s="1"/>
  <c r="O126" i="4" s="1"/>
  <c r="E126" i="4"/>
  <c r="H126" i="4"/>
  <c r="C127" i="4"/>
  <c r="L127" i="4" s="1"/>
  <c r="O127" i="4" s="1"/>
  <c r="E127" i="4"/>
  <c r="H127" i="4"/>
  <c r="C128" i="4"/>
  <c r="L128" i="4" s="1"/>
  <c r="O128" i="4" s="1"/>
  <c r="E128" i="4"/>
  <c r="H128" i="4"/>
  <c r="C129" i="4"/>
  <c r="L129" i="4" s="1"/>
  <c r="O129" i="4" s="1"/>
  <c r="E129" i="4"/>
  <c r="H129" i="4"/>
  <c r="C130" i="4"/>
  <c r="L130" i="4" s="1"/>
  <c r="O130" i="4" s="1"/>
  <c r="E130" i="4"/>
  <c r="H130" i="4"/>
  <c r="C131" i="4"/>
  <c r="L131" i="4" s="1"/>
  <c r="O131" i="4" s="1"/>
  <c r="E131" i="4"/>
  <c r="H131" i="4"/>
  <c r="C132" i="4"/>
  <c r="L132" i="4" s="1"/>
  <c r="O132" i="4" s="1"/>
  <c r="E132" i="4"/>
  <c r="H132" i="4"/>
  <c r="C133" i="4"/>
  <c r="E133" i="4"/>
  <c r="H133" i="4"/>
  <c r="C134" i="4"/>
  <c r="N134" i="4" s="1"/>
  <c r="P134" i="4" s="1"/>
  <c r="E134" i="4"/>
  <c r="H134" i="4"/>
  <c r="C135" i="4"/>
  <c r="L135" i="4" s="1"/>
  <c r="O135" i="4" s="1"/>
  <c r="E135" i="4"/>
  <c r="H135" i="4"/>
  <c r="C136" i="4"/>
  <c r="L136" i="4" s="1"/>
  <c r="O136" i="4" s="1"/>
  <c r="E136" i="4"/>
  <c r="H136" i="4"/>
  <c r="C137" i="4"/>
  <c r="E137" i="4"/>
  <c r="H137" i="4"/>
  <c r="C138" i="4"/>
  <c r="E138" i="4"/>
  <c r="H138" i="4"/>
  <c r="C139" i="4"/>
  <c r="M139" i="4" s="1"/>
  <c r="E139" i="4"/>
  <c r="H139" i="4"/>
  <c r="C140" i="4"/>
  <c r="L140" i="4" s="1"/>
  <c r="O140" i="4" s="1"/>
  <c r="E140" i="4"/>
  <c r="H140" i="4"/>
  <c r="C141" i="4"/>
  <c r="E141" i="4"/>
  <c r="H141" i="4"/>
  <c r="C142" i="4"/>
  <c r="L142" i="4" s="1"/>
  <c r="O142" i="4" s="1"/>
  <c r="E142" i="4"/>
  <c r="H142" i="4"/>
  <c r="C143" i="4"/>
  <c r="L143" i="4" s="1"/>
  <c r="O143" i="4" s="1"/>
  <c r="E143" i="4"/>
  <c r="H143" i="4"/>
  <c r="C144" i="4"/>
  <c r="L144" i="4" s="1"/>
  <c r="O144" i="4" s="1"/>
  <c r="E144" i="4"/>
  <c r="H144" i="4"/>
  <c r="C145" i="4"/>
  <c r="L145" i="4" s="1"/>
  <c r="O145" i="4" s="1"/>
  <c r="E145" i="4"/>
  <c r="H145" i="4"/>
  <c r="C146" i="4"/>
  <c r="L146" i="4" s="1"/>
  <c r="O146" i="4" s="1"/>
  <c r="E146" i="4"/>
  <c r="H146" i="4"/>
  <c r="C147" i="4"/>
  <c r="L147" i="4" s="1"/>
  <c r="O147" i="4" s="1"/>
  <c r="E147" i="4"/>
  <c r="H147" i="4"/>
  <c r="C148" i="4"/>
  <c r="N148" i="4" s="1"/>
  <c r="P148" i="4" s="1"/>
  <c r="E148" i="4"/>
  <c r="H148" i="4"/>
  <c r="C149" i="4"/>
  <c r="E149" i="4"/>
  <c r="H149" i="4"/>
  <c r="C150" i="4"/>
  <c r="L150" i="4" s="1"/>
  <c r="O150" i="4" s="1"/>
  <c r="E150" i="4"/>
  <c r="H150" i="4"/>
  <c r="C151" i="4"/>
  <c r="L151" i="4" s="1"/>
  <c r="O151" i="4" s="1"/>
  <c r="E151" i="4"/>
  <c r="H151" i="4"/>
  <c r="C152" i="4"/>
  <c r="E152" i="4"/>
  <c r="H152" i="4"/>
  <c r="C153" i="4"/>
  <c r="N153" i="4" s="1"/>
  <c r="P153" i="4" s="1"/>
  <c r="E153" i="4"/>
  <c r="H153" i="4"/>
  <c r="C154" i="4"/>
  <c r="E154" i="4"/>
  <c r="H154" i="4"/>
  <c r="C155" i="4"/>
  <c r="L155" i="4" s="1"/>
  <c r="O155" i="4" s="1"/>
  <c r="E155" i="4"/>
  <c r="H155" i="4"/>
  <c r="C156" i="4"/>
  <c r="N156" i="4" s="1"/>
  <c r="P156" i="4" s="1"/>
  <c r="E156" i="4"/>
  <c r="H156" i="4"/>
  <c r="C157" i="4"/>
  <c r="E157" i="4"/>
  <c r="H157" i="4"/>
  <c r="C158" i="4"/>
  <c r="M158" i="4" s="1"/>
  <c r="E158" i="4"/>
  <c r="H158" i="4"/>
  <c r="C159" i="4"/>
  <c r="L159" i="4" s="1"/>
  <c r="O159" i="4" s="1"/>
  <c r="E159" i="4"/>
  <c r="H159" i="4"/>
  <c r="C160" i="4"/>
  <c r="L160" i="4" s="1"/>
  <c r="O160" i="4" s="1"/>
  <c r="E160" i="4"/>
  <c r="H160" i="4"/>
  <c r="C161" i="4"/>
  <c r="L161" i="4" s="1"/>
  <c r="O161" i="4" s="1"/>
  <c r="E161" i="4"/>
  <c r="H161" i="4"/>
  <c r="C162" i="4"/>
  <c r="L162" i="4" s="1"/>
  <c r="O162" i="4" s="1"/>
  <c r="E162" i="4"/>
  <c r="H162" i="4"/>
  <c r="C163" i="4"/>
  <c r="N163" i="4" s="1"/>
  <c r="P163" i="4" s="1"/>
  <c r="E163" i="4"/>
  <c r="H163" i="4"/>
  <c r="C164" i="4"/>
  <c r="N164" i="4" s="1"/>
  <c r="P164" i="4" s="1"/>
  <c r="E164" i="4"/>
  <c r="H164" i="4"/>
  <c r="C165" i="4"/>
  <c r="E165" i="4"/>
  <c r="H165" i="4"/>
  <c r="C166" i="4"/>
  <c r="L166" i="4" s="1"/>
  <c r="O166" i="4" s="1"/>
  <c r="E166" i="4"/>
  <c r="H166" i="4"/>
  <c r="C167" i="4"/>
  <c r="L167" i="4" s="1"/>
  <c r="O167" i="4" s="1"/>
  <c r="E167" i="4"/>
  <c r="H167" i="4"/>
  <c r="C168" i="4"/>
  <c r="L168" i="4" s="1"/>
  <c r="O168" i="4" s="1"/>
  <c r="E168" i="4"/>
  <c r="H168" i="4"/>
  <c r="C169" i="4"/>
  <c r="L169" i="4" s="1"/>
  <c r="O169" i="4" s="1"/>
  <c r="E169" i="4"/>
  <c r="H169" i="4"/>
  <c r="C170" i="4"/>
  <c r="L170" i="4" s="1"/>
  <c r="O170" i="4" s="1"/>
  <c r="E170" i="4"/>
  <c r="H170" i="4"/>
  <c r="C171" i="4"/>
  <c r="E171" i="4"/>
  <c r="H171" i="4"/>
  <c r="C172" i="4"/>
  <c r="N172" i="4" s="1"/>
  <c r="P172" i="4" s="1"/>
  <c r="E172" i="4"/>
  <c r="H172" i="4"/>
  <c r="C173" i="4"/>
  <c r="M173" i="4" s="1"/>
  <c r="E173" i="4"/>
  <c r="H173" i="4"/>
  <c r="C174" i="4"/>
  <c r="L174" i="4" s="1"/>
  <c r="O174" i="4" s="1"/>
  <c r="E174" i="4"/>
  <c r="H174" i="4"/>
  <c r="C175" i="4"/>
  <c r="M175" i="4" s="1"/>
  <c r="E175" i="4"/>
  <c r="H175" i="4"/>
  <c r="C176" i="4"/>
  <c r="E176" i="4"/>
  <c r="H176" i="4"/>
  <c r="C177" i="4"/>
  <c r="M177" i="4" s="1"/>
  <c r="E177" i="4"/>
  <c r="H177" i="4"/>
  <c r="C178" i="4"/>
  <c r="E178" i="4"/>
  <c r="H178" i="4"/>
  <c r="C179" i="4"/>
  <c r="N179" i="4" s="1"/>
  <c r="P179" i="4" s="1"/>
  <c r="E179" i="4"/>
  <c r="H179" i="4"/>
  <c r="C180" i="4"/>
  <c r="L180" i="4" s="1"/>
  <c r="O180" i="4" s="1"/>
  <c r="E180" i="4"/>
  <c r="H180" i="4"/>
  <c r="C181" i="4"/>
  <c r="E181" i="4"/>
  <c r="H181" i="4"/>
  <c r="C182" i="4"/>
  <c r="N182" i="4" s="1"/>
  <c r="P182" i="4" s="1"/>
  <c r="E182" i="4"/>
  <c r="H182" i="4"/>
  <c r="C183" i="4"/>
  <c r="L183" i="4" s="1"/>
  <c r="O183" i="4" s="1"/>
  <c r="E183" i="4"/>
  <c r="H183" i="4"/>
  <c r="C184" i="4"/>
  <c r="L184" i="4" s="1"/>
  <c r="O184" i="4" s="1"/>
  <c r="E184" i="4"/>
  <c r="H184" i="4"/>
  <c r="C185" i="4"/>
  <c r="L185" i="4" s="1"/>
  <c r="O185" i="4" s="1"/>
  <c r="E185" i="4"/>
  <c r="H185" i="4"/>
  <c r="C186" i="4"/>
  <c r="M186" i="4" s="1"/>
  <c r="E186" i="4"/>
  <c r="H186" i="4"/>
  <c r="C187" i="4"/>
  <c r="L187" i="4" s="1"/>
  <c r="O187" i="4" s="1"/>
  <c r="E187" i="4"/>
  <c r="H187" i="4"/>
  <c r="C188" i="4"/>
  <c r="L188" i="4" s="1"/>
  <c r="O188" i="4" s="1"/>
  <c r="E188" i="4"/>
  <c r="H188" i="4"/>
  <c r="C189" i="4"/>
  <c r="E189" i="4"/>
  <c r="H189" i="4"/>
  <c r="C190" i="4"/>
  <c r="N190" i="4" s="1"/>
  <c r="P190" i="4" s="1"/>
  <c r="E190" i="4"/>
  <c r="H190" i="4"/>
  <c r="C191" i="4"/>
  <c r="L191" i="4" s="1"/>
  <c r="O191" i="4" s="1"/>
  <c r="E191" i="4"/>
  <c r="H191" i="4"/>
  <c r="C192" i="4"/>
  <c r="E192" i="4"/>
  <c r="H192" i="4"/>
  <c r="C193" i="4"/>
  <c r="L193" i="4" s="1"/>
  <c r="O193" i="4" s="1"/>
  <c r="E193" i="4"/>
  <c r="H193" i="4"/>
  <c r="C194" i="4"/>
  <c r="E194" i="4"/>
  <c r="H194" i="4"/>
  <c r="C195" i="4"/>
  <c r="E195" i="4"/>
  <c r="H195" i="4"/>
  <c r="C196" i="4"/>
  <c r="L196" i="4" s="1"/>
  <c r="O196" i="4" s="1"/>
  <c r="E196" i="4"/>
  <c r="H196" i="4"/>
  <c r="C197" i="4"/>
  <c r="L197" i="4" s="1"/>
  <c r="O197" i="4" s="1"/>
  <c r="E197" i="4"/>
  <c r="H197" i="4"/>
  <c r="C198" i="4"/>
  <c r="M198" i="4" s="1"/>
  <c r="E198" i="4"/>
  <c r="H198" i="4"/>
  <c r="C199" i="4"/>
  <c r="L199" i="4" s="1"/>
  <c r="O199" i="4" s="1"/>
  <c r="E199" i="4"/>
  <c r="H199" i="4"/>
  <c r="C200" i="4"/>
  <c r="L200" i="4" s="1"/>
  <c r="O200" i="4" s="1"/>
  <c r="E200" i="4"/>
  <c r="H200" i="4"/>
  <c r="C201" i="4"/>
  <c r="L201" i="4" s="1"/>
  <c r="O201" i="4" s="1"/>
  <c r="E201" i="4"/>
  <c r="H201" i="4"/>
  <c r="C202" i="4"/>
  <c r="E202" i="4"/>
  <c r="H202" i="4"/>
  <c r="C203" i="4"/>
  <c r="L203" i="4" s="1"/>
  <c r="O203" i="4" s="1"/>
  <c r="E203" i="4"/>
  <c r="H203" i="4"/>
  <c r="C204" i="4"/>
  <c r="L204" i="4" s="1"/>
  <c r="O204" i="4" s="1"/>
  <c r="E204" i="4"/>
  <c r="H204" i="4"/>
  <c r="C205" i="4"/>
  <c r="E205" i="4"/>
  <c r="H205" i="4"/>
  <c r="C206" i="4"/>
  <c r="N206" i="4" s="1"/>
  <c r="P206" i="4" s="1"/>
  <c r="E206" i="4"/>
  <c r="H206" i="4"/>
  <c r="C207" i="4"/>
  <c r="L207" i="4" s="1"/>
  <c r="O207" i="4" s="1"/>
  <c r="E207" i="4"/>
  <c r="H207" i="4"/>
  <c r="C208" i="4"/>
  <c r="L208" i="4" s="1"/>
  <c r="O208" i="4" s="1"/>
  <c r="E208" i="4"/>
  <c r="H208" i="4"/>
  <c r="C209" i="4"/>
  <c r="L209" i="4" s="1"/>
  <c r="O209" i="4" s="1"/>
  <c r="E209" i="4"/>
  <c r="H209" i="4"/>
  <c r="C210" i="4"/>
  <c r="E210" i="4"/>
  <c r="H210" i="4"/>
  <c r="C211" i="4"/>
  <c r="L211" i="4" s="1"/>
  <c r="O211" i="4" s="1"/>
  <c r="E211" i="4"/>
  <c r="H211" i="4"/>
  <c r="C212" i="4"/>
  <c r="L212" i="4" s="1"/>
  <c r="O212" i="4" s="1"/>
  <c r="E212" i="4"/>
  <c r="H212" i="4"/>
  <c r="C213" i="4"/>
  <c r="L213" i="4" s="1"/>
  <c r="O213" i="4" s="1"/>
  <c r="E213" i="4"/>
  <c r="H213" i="4"/>
  <c r="C214" i="4"/>
  <c r="L214" i="4" s="1"/>
  <c r="O214" i="4" s="1"/>
  <c r="E214" i="4"/>
  <c r="H214" i="4"/>
  <c r="C215" i="4"/>
  <c r="L215" i="4" s="1"/>
  <c r="O215" i="4" s="1"/>
  <c r="E215" i="4"/>
  <c r="H215" i="4"/>
  <c r="C216" i="4"/>
  <c r="L216" i="4" s="1"/>
  <c r="O216" i="4" s="1"/>
  <c r="E216" i="4"/>
  <c r="H216" i="4"/>
  <c r="C217" i="4"/>
  <c r="E217" i="4"/>
  <c r="H217" i="4"/>
  <c r="C218" i="4"/>
  <c r="N218" i="4" s="1"/>
  <c r="P218" i="4" s="1"/>
  <c r="E218" i="4"/>
  <c r="H218" i="4"/>
  <c r="C219" i="4"/>
  <c r="L219" i="4" s="1"/>
  <c r="O219" i="4" s="1"/>
  <c r="E219" i="4"/>
  <c r="H219" i="4"/>
  <c r="C220" i="4"/>
  <c r="L220" i="4" s="1"/>
  <c r="O220" i="4" s="1"/>
  <c r="E220" i="4"/>
  <c r="H220" i="4"/>
  <c r="C221" i="4"/>
  <c r="L221" i="4" s="1"/>
  <c r="O221" i="4" s="1"/>
  <c r="E221" i="4"/>
  <c r="H221" i="4"/>
  <c r="C222" i="4"/>
  <c r="L222" i="4" s="1"/>
  <c r="O222" i="4" s="1"/>
  <c r="E222" i="4"/>
  <c r="H222" i="4"/>
  <c r="C223" i="4"/>
  <c r="L223" i="4" s="1"/>
  <c r="O223" i="4" s="1"/>
  <c r="E223" i="4"/>
  <c r="H223" i="4"/>
  <c r="C224" i="4"/>
  <c r="L224" i="4" s="1"/>
  <c r="O224" i="4" s="1"/>
  <c r="E224" i="4"/>
  <c r="H224" i="4"/>
  <c r="C225" i="4"/>
  <c r="L225" i="4" s="1"/>
  <c r="O225" i="4" s="1"/>
  <c r="E225" i="4"/>
  <c r="H225" i="4"/>
  <c r="C226" i="4"/>
  <c r="N226" i="4" s="1"/>
  <c r="P226" i="4" s="1"/>
  <c r="E226" i="4"/>
  <c r="H226" i="4"/>
  <c r="C227" i="4"/>
  <c r="E227" i="4"/>
  <c r="H227" i="4"/>
  <c r="C228" i="4"/>
  <c r="L228" i="4" s="1"/>
  <c r="O228" i="4" s="1"/>
  <c r="E228" i="4"/>
  <c r="H228" i="4"/>
  <c r="C229" i="4"/>
  <c r="L229" i="4" s="1"/>
  <c r="O229" i="4" s="1"/>
  <c r="E229" i="4"/>
  <c r="H229" i="4"/>
  <c r="C230" i="4"/>
  <c r="N230" i="4" s="1"/>
  <c r="P230" i="4" s="1"/>
  <c r="E230" i="4"/>
  <c r="H230" i="4"/>
  <c r="C231" i="4"/>
  <c r="L231" i="4" s="1"/>
  <c r="O231" i="4" s="1"/>
  <c r="E231" i="4"/>
  <c r="H231" i="4"/>
  <c r="C232" i="4"/>
  <c r="E232" i="4"/>
  <c r="H232" i="4"/>
  <c r="C233" i="4"/>
  <c r="E233" i="4"/>
  <c r="H233" i="4"/>
  <c r="C234" i="4"/>
  <c r="N234" i="4" s="1"/>
  <c r="P234" i="4" s="1"/>
  <c r="E234" i="4"/>
  <c r="H234" i="4"/>
  <c r="C235" i="4"/>
  <c r="M235" i="4" s="1"/>
  <c r="E235" i="4"/>
  <c r="H235" i="4"/>
  <c r="C236" i="4"/>
  <c r="L236" i="4" s="1"/>
  <c r="O236" i="4" s="1"/>
  <c r="E236" i="4"/>
  <c r="H236" i="4"/>
  <c r="C237" i="4"/>
  <c r="M237" i="4" s="1"/>
  <c r="E237" i="4"/>
  <c r="H237" i="4"/>
  <c r="C238" i="4"/>
  <c r="M238" i="4" s="1"/>
  <c r="E238" i="4"/>
  <c r="H238" i="4"/>
  <c r="C239" i="4"/>
  <c r="L239" i="4" s="1"/>
  <c r="O239" i="4" s="1"/>
  <c r="E239" i="4"/>
  <c r="H239" i="4"/>
  <c r="C240" i="4"/>
  <c r="L240" i="4" s="1"/>
  <c r="O240" i="4" s="1"/>
  <c r="E240" i="4"/>
  <c r="H240" i="4"/>
  <c r="C241" i="4"/>
  <c r="L241" i="4" s="1"/>
  <c r="O241" i="4" s="1"/>
  <c r="E241" i="4"/>
  <c r="H241" i="4"/>
  <c r="C242" i="4"/>
  <c r="E242" i="4"/>
  <c r="H242" i="4"/>
  <c r="C243" i="4"/>
  <c r="E243" i="4"/>
  <c r="H243" i="4"/>
  <c r="C244" i="4"/>
  <c r="E244" i="4"/>
  <c r="H244" i="4"/>
  <c r="C245" i="4"/>
  <c r="L245" i="4" s="1"/>
  <c r="O245" i="4" s="1"/>
  <c r="E245" i="4"/>
  <c r="H245" i="4"/>
  <c r="C246" i="4"/>
  <c r="N246" i="4" s="1"/>
  <c r="P246" i="4" s="1"/>
  <c r="E246" i="4"/>
  <c r="H246" i="4"/>
  <c r="C247" i="4"/>
  <c r="L247" i="4" s="1"/>
  <c r="O247" i="4" s="1"/>
  <c r="E247" i="4"/>
  <c r="H247" i="4"/>
  <c r="C248" i="4"/>
  <c r="L248" i="4" s="1"/>
  <c r="O248" i="4" s="1"/>
  <c r="E248" i="4"/>
  <c r="H248" i="4"/>
  <c r="C249" i="4"/>
  <c r="E249" i="4"/>
  <c r="H249" i="4"/>
  <c r="C250" i="4"/>
  <c r="N250" i="4" s="1"/>
  <c r="P250" i="4" s="1"/>
  <c r="E250" i="4"/>
  <c r="H250" i="4"/>
  <c r="C251" i="4"/>
  <c r="E251" i="4"/>
  <c r="H251" i="4"/>
  <c r="C252" i="4"/>
  <c r="E252" i="4"/>
  <c r="H252" i="4"/>
  <c r="C253" i="4"/>
  <c r="L253" i="4" s="1"/>
  <c r="O253" i="4" s="1"/>
  <c r="E253" i="4"/>
  <c r="H253" i="4"/>
  <c r="C254" i="4"/>
  <c r="L254" i="4" s="1"/>
  <c r="O254" i="4" s="1"/>
  <c r="E254" i="4"/>
  <c r="H254" i="4"/>
  <c r="C255" i="4"/>
  <c r="E255" i="4"/>
  <c r="H255" i="4"/>
  <c r="C256" i="4"/>
  <c r="E256" i="4"/>
  <c r="H256" i="4"/>
  <c r="C257" i="4"/>
  <c r="L257" i="4" s="1"/>
  <c r="O257" i="4" s="1"/>
  <c r="E257" i="4"/>
  <c r="H257" i="4"/>
  <c r="C258" i="4"/>
  <c r="N258" i="4" s="1"/>
  <c r="P258" i="4" s="1"/>
  <c r="E258" i="4"/>
  <c r="H258" i="4"/>
  <c r="C259" i="4"/>
  <c r="E259" i="4"/>
  <c r="H259" i="4"/>
  <c r="C260" i="4"/>
  <c r="E260" i="4"/>
  <c r="H260" i="4"/>
  <c r="C261" i="4"/>
  <c r="M261" i="4" s="1"/>
  <c r="E261" i="4"/>
  <c r="H261" i="4"/>
  <c r="C262" i="4"/>
  <c r="E262" i="4"/>
  <c r="H262" i="4"/>
  <c r="C263" i="4"/>
  <c r="E263" i="4"/>
  <c r="H263" i="4"/>
  <c r="C264" i="4"/>
  <c r="E264" i="4"/>
  <c r="H264" i="4"/>
  <c r="C265" i="4"/>
  <c r="L265" i="4" s="1"/>
  <c r="O265" i="4" s="1"/>
  <c r="E265" i="4"/>
  <c r="H265" i="4"/>
  <c r="C266" i="4"/>
  <c r="N266" i="4" s="1"/>
  <c r="P266" i="4" s="1"/>
  <c r="E266" i="4"/>
  <c r="H266" i="4"/>
  <c r="C267" i="4"/>
  <c r="M267" i="4" s="1"/>
  <c r="E267" i="4"/>
  <c r="H267" i="4"/>
  <c r="C268" i="4"/>
  <c r="E268" i="4"/>
  <c r="H268" i="4"/>
  <c r="C269" i="4"/>
  <c r="L269" i="4" s="1"/>
  <c r="O269" i="4" s="1"/>
  <c r="E269" i="4"/>
  <c r="H269" i="4"/>
  <c r="C270" i="4"/>
  <c r="E270" i="4"/>
  <c r="H270" i="4"/>
  <c r="C271" i="4"/>
  <c r="E271" i="4"/>
  <c r="H271" i="4"/>
  <c r="C272" i="4"/>
  <c r="N272" i="4" s="1"/>
  <c r="P272" i="4" s="1"/>
  <c r="E272" i="4"/>
  <c r="H272" i="4"/>
  <c r="C273" i="4"/>
  <c r="L273" i="4" s="1"/>
  <c r="O273" i="4" s="1"/>
  <c r="E273" i="4"/>
  <c r="H273" i="4"/>
  <c r="C274" i="4"/>
  <c r="N274" i="4" s="1"/>
  <c r="P274" i="4" s="1"/>
  <c r="E274" i="4"/>
  <c r="H274" i="4"/>
  <c r="C275" i="4"/>
  <c r="E275" i="4"/>
  <c r="H275" i="4"/>
  <c r="C276" i="4"/>
  <c r="E276" i="4"/>
  <c r="H276" i="4"/>
  <c r="C277" i="4"/>
  <c r="E277" i="4"/>
  <c r="H277" i="4"/>
  <c r="C278" i="4"/>
  <c r="M278" i="4" s="1"/>
  <c r="E278" i="4"/>
  <c r="H278" i="4"/>
  <c r="C279" i="4"/>
  <c r="E279" i="4"/>
  <c r="H279" i="4"/>
  <c r="C280" i="4"/>
  <c r="N280" i="4" s="1"/>
  <c r="P280" i="4" s="1"/>
  <c r="E280" i="4"/>
  <c r="H280" i="4"/>
  <c r="C281" i="4"/>
  <c r="L281" i="4" s="1"/>
  <c r="O281" i="4" s="1"/>
  <c r="E281" i="4"/>
  <c r="H281" i="4"/>
  <c r="C282" i="4"/>
  <c r="E282" i="4"/>
  <c r="H282" i="4"/>
  <c r="C283" i="4"/>
  <c r="E283" i="4"/>
  <c r="H283" i="4"/>
  <c r="C284" i="4"/>
  <c r="E284" i="4"/>
  <c r="H284" i="4"/>
  <c r="C285" i="4"/>
  <c r="E285" i="4"/>
  <c r="H285" i="4"/>
  <c r="C286" i="4"/>
  <c r="M286" i="4" s="1"/>
  <c r="E286" i="4"/>
  <c r="H286" i="4"/>
  <c r="C287" i="4"/>
  <c r="M287" i="4" s="1"/>
  <c r="E287" i="4"/>
  <c r="H287" i="4"/>
  <c r="C288" i="4"/>
  <c r="E288" i="4"/>
  <c r="H288" i="4"/>
  <c r="C289" i="4"/>
  <c r="N289" i="4" s="1"/>
  <c r="P289" i="4" s="1"/>
  <c r="E289" i="4"/>
  <c r="H289" i="4"/>
  <c r="C290" i="4"/>
  <c r="N290" i="4" s="1"/>
  <c r="P290" i="4" s="1"/>
  <c r="E290" i="4"/>
  <c r="H290" i="4"/>
  <c r="C291" i="4"/>
  <c r="M291" i="4" s="1"/>
  <c r="E291" i="4"/>
  <c r="H291" i="4"/>
  <c r="C292" i="4"/>
  <c r="E292" i="4"/>
  <c r="H292" i="4"/>
  <c r="C293" i="4"/>
  <c r="E293" i="4"/>
  <c r="H293" i="4"/>
  <c r="C294" i="4"/>
  <c r="M294" i="4" s="1"/>
  <c r="E294" i="4"/>
  <c r="H294" i="4"/>
  <c r="C295" i="4"/>
  <c r="M295" i="4" s="1"/>
  <c r="E295" i="4"/>
  <c r="H295" i="4"/>
  <c r="C296" i="4"/>
  <c r="M296" i="4" s="1"/>
  <c r="E296" i="4"/>
  <c r="H296" i="4"/>
  <c r="C297" i="4"/>
  <c r="L297" i="4" s="1"/>
  <c r="O297" i="4" s="1"/>
  <c r="E297" i="4"/>
  <c r="H297" i="4"/>
  <c r="C298" i="4"/>
  <c r="N298" i="4" s="1"/>
  <c r="P298" i="4" s="1"/>
  <c r="E298" i="4"/>
  <c r="H298" i="4"/>
  <c r="C299" i="4"/>
  <c r="E299" i="4"/>
  <c r="H299" i="4"/>
  <c r="C300" i="4"/>
  <c r="E300" i="4"/>
  <c r="H300" i="4"/>
  <c r="C301" i="4"/>
  <c r="L301" i="4" s="1"/>
  <c r="O301" i="4" s="1"/>
  <c r="E301" i="4"/>
  <c r="H301" i="4"/>
  <c r="C302" i="4"/>
  <c r="L302" i="4" s="1"/>
  <c r="O302" i="4" s="1"/>
  <c r="E302" i="4"/>
  <c r="H302" i="4"/>
  <c r="C303" i="4"/>
  <c r="M303" i="4" s="1"/>
  <c r="E303" i="4"/>
  <c r="H303" i="4"/>
  <c r="C304" i="4"/>
  <c r="E304" i="4"/>
  <c r="H304" i="4"/>
  <c r="C305" i="4"/>
  <c r="L305" i="4" s="1"/>
  <c r="O305" i="4" s="1"/>
  <c r="E305" i="4"/>
  <c r="H305" i="4"/>
  <c r="C306" i="4"/>
  <c r="N306" i="4" s="1"/>
  <c r="P306" i="4" s="1"/>
  <c r="E306" i="4"/>
  <c r="H306" i="4"/>
  <c r="C307" i="4"/>
  <c r="E307" i="4"/>
  <c r="H307" i="4"/>
  <c r="C308" i="4"/>
  <c r="E308" i="4"/>
  <c r="H308" i="4"/>
  <c r="C309" i="4"/>
  <c r="E309" i="4"/>
  <c r="H309" i="4"/>
  <c r="C310" i="4"/>
  <c r="L310" i="4" s="1"/>
  <c r="O310" i="4" s="1"/>
  <c r="E310" i="4"/>
  <c r="H310" i="4"/>
  <c r="C311" i="4"/>
  <c r="L311" i="4" s="1"/>
  <c r="O311" i="4" s="1"/>
  <c r="E311" i="4"/>
  <c r="H311" i="4"/>
  <c r="C312" i="4"/>
  <c r="L312" i="4" s="1"/>
  <c r="O312" i="4" s="1"/>
  <c r="E312" i="4"/>
  <c r="H312" i="4"/>
  <c r="C313" i="4"/>
  <c r="L313" i="4" s="1"/>
  <c r="O313" i="4" s="1"/>
  <c r="E313" i="4"/>
  <c r="H313" i="4"/>
  <c r="C314" i="4"/>
  <c r="L314" i="4" s="1"/>
  <c r="O314" i="4" s="1"/>
  <c r="E314" i="4"/>
  <c r="H314" i="4"/>
  <c r="C315" i="4"/>
  <c r="L315" i="4" s="1"/>
  <c r="O315" i="4" s="1"/>
  <c r="E315" i="4"/>
  <c r="H315" i="4"/>
  <c r="C316" i="4"/>
  <c r="N316" i="4" s="1"/>
  <c r="P316" i="4" s="1"/>
  <c r="E316" i="4"/>
  <c r="H316" i="4"/>
  <c r="C317" i="4"/>
  <c r="L317" i="4" s="1"/>
  <c r="O317" i="4" s="1"/>
  <c r="E317" i="4"/>
  <c r="H317" i="4"/>
  <c r="C318" i="4"/>
  <c r="E318" i="4"/>
  <c r="H318" i="4"/>
  <c r="C319" i="4"/>
  <c r="E319" i="4"/>
  <c r="H319" i="4"/>
  <c r="C320" i="4"/>
  <c r="L320" i="4" s="1"/>
  <c r="O320" i="4" s="1"/>
  <c r="E320" i="4"/>
  <c r="H320" i="4"/>
  <c r="C321" i="4"/>
  <c r="L321" i="4" s="1"/>
  <c r="O321" i="4" s="1"/>
  <c r="E321" i="4"/>
  <c r="H321" i="4"/>
  <c r="C322" i="4"/>
  <c r="E322" i="4"/>
  <c r="H322" i="4"/>
  <c r="C323" i="4"/>
  <c r="L323" i="4" s="1"/>
  <c r="O323" i="4" s="1"/>
  <c r="E323" i="4"/>
  <c r="H323" i="4"/>
  <c r="C324" i="4"/>
  <c r="N324" i="4" s="1"/>
  <c r="P324" i="4" s="1"/>
  <c r="E324" i="4"/>
  <c r="H324" i="4"/>
  <c r="C325" i="4"/>
  <c r="E325" i="4"/>
  <c r="H325" i="4"/>
  <c r="C326" i="4"/>
  <c r="E326" i="4"/>
  <c r="H326" i="4"/>
  <c r="C327" i="4"/>
  <c r="L327" i="4" s="1"/>
  <c r="O327" i="4" s="1"/>
  <c r="E327" i="4"/>
  <c r="H327" i="4"/>
  <c r="C328" i="4"/>
  <c r="M328" i="4" s="1"/>
  <c r="E328" i="4"/>
  <c r="H328" i="4"/>
  <c r="C329" i="4"/>
  <c r="E329" i="4"/>
  <c r="H329" i="4"/>
  <c r="C330" i="4"/>
  <c r="M330" i="4" s="1"/>
  <c r="E330" i="4"/>
  <c r="H330" i="4"/>
  <c r="C331" i="4"/>
  <c r="E331" i="4"/>
  <c r="H331" i="4"/>
  <c r="C332" i="4"/>
  <c r="E332" i="4"/>
  <c r="H332" i="4"/>
  <c r="C333" i="4"/>
  <c r="E333" i="4"/>
  <c r="H333" i="4"/>
  <c r="C334" i="4"/>
  <c r="E334" i="4"/>
  <c r="H334" i="4"/>
  <c r="C335" i="4"/>
  <c r="L335" i="4" s="1"/>
  <c r="O335" i="4" s="1"/>
  <c r="E335" i="4"/>
  <c r="H335" i="4"/>
  <c r="C336" i="4"/>
  <c r="L336" i="4" s="1"/>
  <c r="O336" i="4" s="1"/>
  <c r="E336" i="4"/>
  <c r="H336" i="4"/>
  <c r="C337" i="4"/>
  <c r="L337" i="4" s="1"/>
  <c r="O337" i="4" s="1"/>
  <c r="E337" i="4"/>
  <c r="H337" i="4"/>
  <c r="C338" i="4"/>
  <c r="E338" i="4"/>
  <c r="H338" i="4"/>
  <c r="C339" i="4"/>
  <c r="E339" i="4"/>
  <c r="H339" i="4"/>
  <c r="C340" i="4"/>
  <c r="E340" i="4"/>
  <c r="H340" i="4"/>
  <c r="C341" i="4"/>
  <c r="E341" i="4"/>
  <c r="H341" i="4"/>
  <c r="C342" i="4"/>
  <c r="E342" i="4"/>
  <c r="H342" i="4"/>
  <c r="C343" i="4"/>
  <c r="N343" i="4" s="1"/>
  <c r="P343" i="4" s="1"/>
  <c r="E343" i="4"/>
  <c r="H343" i="4"/>
  <c r="C344" i="4"/>
  <c r="E344" i="4"/>
  <c r="H344" i="4"/>
  <c r="C345" i="4"/>
  <c r="E345" i="4"/>
  <c r="H345" i="4"/>
  <c r="C346" i="4"/>
  <c r="M346" i="4" s="1"/>
  <c r="E346" i="4"/>
  <c r="H346" i="4"/>
  <c r="C347" i="4"/>
  <c r="L347" i="4" s="1"/>
  <c r="O347" i="4" s="1"/>
  <c r="E347" i="4"/>
  <c r="H347" i="4"/>
  <c r="C348" i="4"/>
  <c r="E348" i="4"/>
  <c r="H348" i="4"/>
  <c r="C349" i="4"/>
  <c r="E349" i="4"/>
  <c r="H349" i="4"/>
  <c r="C350" i="4"/>
  <c r="E350" i="4"/>
  <c r="H350" i="4"/>
  <c r="C351" i="4"/>
  <c r="M351" i="4" s="1"/>
  <c r="E351" i="4"/>
  <c r="H351" i="4"/>
  <c r="C352" i="4"/>
  <c r="E352" i="4"/>
  <c r="H352" i="4"/>
  <c r="C353" i="4"/>
  <c r="L353" i="4" s="1"/>
  <c r="O353" i="4" s="1"/>
  <c r="E353" i="4"/>
  <c r="H353" i="4"/>
  <c r="C354" i="4"/>
  <c r="E354" i="4"/>
  <c r="H354" i="4"/>
  <c r="C355" i="4"/>
  <c r="L355" i="4" s="1"/>
  <c r="O355" i="4" s="1"/>
  <c r="E355" i="4"/>
  <c r="H355" i="4"/>
  <c r="C356" i="4"/>
  <c r="L356" i="4" s="1"/>
  <c r="O356" i="4" s="1"/>
  <c r="E356" i="4"/>
  <c r="H356" i="4"/>
  <c r="C357" i="4"/>
  <c r="L357" i="4" s="1"/>
  <c r="O357" i="4" s="1"/>
  <c r="E357" i="4"/>
  <c r="H357" i="4"/>
  <c r="C358" i="4"/>
  <c r="E358" i="4"/>
  <c r="H358" i="4"/>
  <c r="C359" i="4"/>
  <c r="L359" i="4" s="1"/>
  <c r="O359" i="4" s="1"/>
  <c r="E359" i="4"/>
  <c r="H359" i="4"/>
  <c r="C360" i="4"/>
  <c r="E360" i="4"/>
  <c r="H360" i="4"/>
  <c r="C361" i="4"/>
  <c r="E361" i="4"/>
  <c r="H361" i="4"/>
  <c r="C362" i="4"/>
  <c r="M362" i="4" s="1"/>
  <c r="E362" i="4"/>
  <c r="H362" i="4"/>
  <c r="C363" i="4"/>
  <c r="L363" i="4" s="1"/>
  <c r="O363" i="4" s="1"/>
  <c r="E363" i="4"/>
  <c r="H363" i="4"/>
  <c r="C364" i="4"/>
  <c r="M364" i="4" s="1"/>
  <c r="E364" i="4"/>
  <c r="H364" i="4"/>
  <c r="C365" i="4"/>
  <c r="E365" i="4"/>
  <c r="H365" i="4"/>
  <c r="C366" i="4"/>
  <c r="L366" i="4" s="1"/>
  <c r="O366" i="4" s="1"/>
  <c r="E366" i="4"/>
  <c r="H366" i="4"/>
  <c r="C367" i="4"/>
  <c r="L367" i="4" s="1"/>
  <c r="O367" i="4" s="1"/>
  <c r="E367" i="4"/>
  <c r="H367" i="4"/>
  <c r="C368" i="4"/>
  <c r="E368" i="4"/>
  <c r="H368" i="4"/>
  <c r="C369" i="4"/>
  <c r="E369" i="4"/>
  <c r="H369" i="4"/>
  <c r="C370" i="4"/>
  <c r="M370" i="4" s="1"/>
  <c r="E370" i="4"/>
  <c r="H370" i="4"/>
  <c r="C371" i="4"/>
  <c r="L371" i="4" s="1"/>
  <c r="O371" i="4" s="1"/>
  <c r="E371" i="4"/>
  <c r="H371" i="4"/>
  <c r="C372" i="4"/>
  <c r="E372" i="4"/>
  <c r="H372" i="4"/>
  <c r="C373" i="4"/>
  <c r="L373" i="4" s="1"/>
  <c r="O373" i="4" s="1"/>
  <c r="E373" i="4"/>
  <c r="H373" i="4"/>
  <c r="C374" i="4"/>
  <c r="L374" i="4" s="1"/>
  <c r="O374" i="4" s="1"/>
  <c r="E374" i="4"/>
  <c r="H374" i="4"/>
  <c r="C375" i="4"/>
  <c r="M375" i="4" s="1"/>
  <c r="E375" i="4"/>
  <c r="H375" i="4"/>
  <c r="C376" i="4"/>
  <c r="L376" i="4" s="1"/>
  <c r="O376" i="4" s="1"/>
  <c r="E376" i="4"/>
  <c r="H376" i="4"/>
  <c r="C377" i="4"/>
  <c r="E377" i="4"/>
  <c r="H377" i="4"/>
  <c r="C378" i="4"/>
  <c r="N378" i="4" s="1"/>
  <c r="P378" i="4" s="1"/>
  <c r="E378" i="4"/>
  <c r="H378" i="4"/>
  <c r="C379" i="4"/>
  <c r="E379" i="4"/>
  <c r="H379" i="4"/>
  <c r="C380" i="4"/>
  <c r="N380" i="4" s="1"/>
  <c r="P380" i="4" s="1"/>
  <c r="E380" i="4"/>
  <c r="H380" i="4"/>
  <c r="C381" i="4"/>
  <c r="L381" i="4" s="1"/>
  <c r="O381" i="4" s="1"/>
  <c r="E381" i="4"/>
  <c r="H381" i="4"/>
  <c r="C382" i="4"/>
  <c r="L382" i="4" s="1"/>
  <c r="O382" i="4" s="1"/>
  <c r="E382" i="4"/>
  <c r="H382" i="4"/>
  <c r="C383" i="4"/>
  <c r="M383" i="4" s="1"/>
  <c r="E383" i="4"/>
  <c r="H383" i="4"/>
  <c r="C384" i="4"/>
  <c r="L384" i="4" s="1"/>
  <c r="O384" i="4" s="1"/>
  <c r="E384" i="4"/>
  <c r="H384" i="4"/>
  <c r="C385" i="4"/>
  <c r="N385" i="4" s="1"/>
  <c r="P385" i="4" s="1"/>
  <c r="E385" i="4"/>
  <c r="H385" i="4"/>
  <c r="C386" i="4"/>
  <c r="N386" i="4" s="1"/>
  <c r="P386" i="4" s="1"/>
  <c r="E386" i="4"/>
  <c r="H386" i="4"/>
  <c r="C387" i="4"/>
  <c r="L387" i="4" s="1"/>
  <c r="O387" i="4" s="1"/>
  <c r="E387" i="4"/>
  <c r="H387" i="4"/>
  <c r="C388" i="4"/>
  <c r="N388" i="4" s="1"/>
  <c r="P388" i="4" s="1"/>
  <c r="E388" i="4"/>
  <c r="H388" i="4"/>
  <c r="C389" i="4"/>
  <c r="L389" i="4" s="1"/>
  <c r="O389" i="4" s="1"/>
  <c r="E389" i="4"/>
  <c r="H389" i="4"/>
  <c r="C390" i="4"/>
  <c r="L390" i="4" s="1"/>
  <c r="O390" i="4" s="1"/>
  <c r="E390" i="4"/>
  <c r="H390" i="4"/>
  <c r="C391" i="4"/>
  <c r="L391" i="4" s="1"/>
  <c r="O391" i="4" s="1"/>
  <c r="E391" i="4"/>
  <c r="H391" i="4"/>
  <c r="C392" i="4"/>
  <c r="M392" i="4" s="1"/>
  <c r="E392" i="4"/>
  <c r="H392" i="4"/>
  <c r="C393" i="4"/>
  <c r="N393" i="4" s="1"/>
  <c r="P393" i="4" s="1"/>
  <c r="E393" i="4"/>
  <c r="H393" i="4"/>
  <c r="C394" i="4"/>
  <c r="E394" i="4"/>
  <c r="H394" i="4"/>
  <c r="C395" i="4"/>
  <c r="L395" i="4" s="1"/>
  <c r="O395" i="4" s="1"/>
  <c r="E395" i="4"/>
  <c r="H395" i="4"/>
  <c r="C396" i="4"/>
  <c r="E396" i="4"/>
  <c r="H396" i="4"/>
  <c r="C397" i="4"/>
  <c r="E397" i="4"/>
  <c r="H397" i="4"/>
  <c r="C398" i="4"/>
  <c r="L398" i="4" s="1"/>
  <c r="O398" i="4" s="1"/>
  <c r="E398" i="4"/>
  <c r="H398" i="4"/>
  <c r="C399" i="4"/>
  <c r="E399" i="4"/>
  <c r="H399" i="4"/>
  <c r="C400" i="4"/>
  <c r="L400" i="4" s="1"/>
  <c r="O400" i="4" s="1"/>
  <c r="E400" i="4"/>
  <c r="H400" i="4"/>
  <c r="C401" i="4"/>
  <c r="E401" i="4"/>
  <c r="H401" i="4"/>
  <c r="C402" i="4"/>
  <c r="E402" i="4"/>
  <c r="H402" i="4"/>
  <c r="C403" i="4"/>
  <c r="L403" i="4" s="1"/>
  <c r="O403" i="4" s="1"/>
  <c r="E403" i="4"/>
  <c r="H403" i="4"/>
  <c r="C404" i="4"/>
  <c r="M404" i="4" s="1"/>
  <c r="E404" i="4"/>
  <c r="H404" i="4"/>
  <c r="C405" i="4"/>
  <c r="L405" i="4" s="1"/>
  <c r="O405" i="4" s="1"/>
  <c r="E405" i="4"/>
  <c r="H405" i="4"/>
  <c r="C406" i="4"/>
  <c r="E406" i="4"/>
  <c r="H406" i="4"/>
  <c r="C407" i="4"/>
  <c r="M407" i="4" s="1"/>
  <c r="E407" i="4"/>
  <c r="H407" i="4"/>
  <c r="C408" i="4"/>
  <c r="L408" i="4" s="1"/>
  <c r="O408" i="4" s="1"/>
  <c r="E408" i="4"/>
  <c r="H408" i="4"/>
  <c r="C409" i="4"/>
  <c r="L409" i="4" s="1"/>
  <c r="O409" i="4" s="1"/>
  <c r="E409" i="4"/>
  <c r="H409" i="4"/>
  <c r="C410" i="4"/>
  <c r="E410" i="4"/>
  <c r="H410" i="4"/>
  <c r="C411" i="4"/>
  <c r="N411" i="4" s="1"/>
  <c r="P411" i="4" s="1"/>
  <c r="E411" i="4"/>
  <c r="H411" i="4"/>
  <c r="C412" i="4"/>
  <c r="E412" i="4"/>
  <c r="H412" i="4"/>
  <c r="C413" i="4"/>
  <c r="E413" i="4"/>
  <c r="H413" i="4"/>
  <c r="C414" i="4"/>
  <c r="L414" i="4" s="1"/>
  <c r="O414" i="4" s="1"/>
  <c r="E414" i="4"/>
  <c r="H414" i="4"/>
  <c r="C415" i="4"/>
  <c r="L415" i="4" s="1"/>
  <c r="O415" i="4" s="1"/>
  <c r="E415" i="4"/>
  <c r="H415" i="4"/>
  <c r="C416" i="4"/>
  <c r="E416" i="4"/>
  <c r="H416" i="4"/>
  <c r="C417" i="4"/>
  <c r="L417" i="4" s="1"/>
  <c r="O417" i="4" s="1"/>
  <c r="E417" i="4"/>
  <c r="H417" i="4"/>
  <c r="C418" i="4"/>
  <c r="M418" i="4" s="1"/>
  <c r="E418" i="4"/>
  <c r="H418" i="4"/>
  <c r="C419" i="4"/>
  <c r="N419" i="4" s="1"/>
  <c r="P419" i="4" s="1"/>
  <c r="E419" i="4"/>
  <c r="H419" i="4"/>
  <c r="C420" i="4"/>
  <c r="L420" i="4" s="1"/>
  <c r="O420" i="4" s="1"/>
  <c r="E420" i="4"/>
  <c r="H420" i="4"/>
  <c r="C421" i="4"/>
  <c r="E421" i="4"/>
  <c r="H421" i="4"/>
  <c r="C422" i="4"/>
  <c r="L422" i="4" s="1"/>
  <c r="O422" i="4" s="1"/>
  <c r="E422" i="4"/>
  <c r="H422" i="4"/>
  <c r="C423" i="4"/>
  <c r="M423" i="4" s="1"/>
  <c r="E423" i="4"/>
  <c r="H423" i="4"/>
  <c r="C424" i="4"/>
  <c r="E424" i="4"/>
  <c r="H424" i="4"/>
  <c r="C425" i="4"/>
  <c r="L425" i="4" s="1"/>
  <c r="O425" i="4" s="1"/>
  <c r="E425" i="4"/>
  <c r="H425" i="4"/>
  <c r="C426" i="4"/>
  <c r="E426" i="4"/>
  <c r="H426" i="4"/>
  <c r="C427" i="4"/>
  <c r="L427" i="4" s="1"/>
  <c r="O427" i="4" s="1"/>
  <c r="E427" i="4"/>
  <c r="H427" i="4"/>
  <c r="C428" i="4"/>
  <c r="E428" i="4"/>
  <c r="H428" i="4"/>
  <c r="C429" i="4"/>
  <c r="L429" i="4" s="1"/>
  <c r="O429" i="4" s="1"/>
  <c r="E429" i="4"/>
  <c r="H429" i="4"/>
  <c r="C430" i="4"/>
  <c r="L430" i="4" s="1"/>
  <c r="O430" i="4" s="1"/>
  <c r="E430" i="4"/>
  <c r="H430" i="4"/>
  <c r="C431" i="4"/>
  <c r="L431" i="4" s="1"/>
  <c r="O431" i="4" s="1"/>
  <c r="E431" i="4"/>
  <c r="H431" i="4"/>
  <c r="C432" i="4"/>
  <c r="M432" i="4" s="1"/>
  <c r="E432" i="4"/>
  <c r="H432" i="4"/>
  <c r="C433" i="4"/>
  <c r="L433" i="4" s="1"/>
  <c r="O433" i="4" s="1"/>
  <c r="E433" i="4"/>
  <c r="H433" i="4"/>
  <c r="C434" i="4"/>
  <c r="M434" i="4" s="1"/>
  <c r="E434" i="4"/>
  <c r="H434" i="4"/>
  <c r="C435" i="4"/>
  <c r="L435" i="4" s="1"/>
  <c r="O435" i="4" s="1"/>
  <c r="E435" i="4"/>
  <c r="H435" i="4"/>
  <c r="C436" i="4"/>
  <c r="L436" i="4" s="1"/>
  <c r="O436" i="4" s="1"/>
  <c r="E436" i="4"/>
  <c r="H436" i="4"/>
  <c r="C437" i="4"/>
  <c r="L437" i="4" s="1"/>
  <c r="O437" i="4" s="1"/>
  <c r="E437" i="4"/>
  <c r="H437" i="4"/>
  <c r="C438" i="4"/>
  <c r="L438" i="4" s="1"/>
  <c r="O438" i="4" s="1"/>
  <c r="E438" i="4"/>
  <c r="H438" i="4"/>
  <c r="C439" i="4"/>
  <c r="L439" i="4" s="1"/>
  <c r="O439" i="4" s="1"/>
  <c r="E439" i="4"/>
  <c r="H439" i="4"/>
  <c r="C440" i="4"/>
  <c r="E440" i="4"/>
  <c r="H440" i="4"/>
  <c r="C441" i="4"/>
  <c r="N441" i="4" s="1"/>
  <c r="P441" i="4" s="1"/>
  <c r="E441" i="4"/>
  <c r="H441" i="4"/>
  <c r="C442" i="4"/>
  <c r="L442" i="4" s="1"/>
  <c r="O442" i="4" s="1"/>
  <c r="E442" i="4"/>
  <c r="H442" i="4"/>
  <c r="C443" i="4"/>
  <c r="L443" i="4" s="1"/>
  <c r="O443" i="4" s="1"/>
  <c r="E443" i="4"/>
  <c r="H443" i="4"/>
  <c r="C444" i="4"/>
  <c r="E444" i="4"/>
  <c r="H444" i="4"/>
  <c r="C445" i="4"/>
  <c r="L445" i="4" s="1"/>
  <c r="O445" i="4" s="1"/>
  <c r="E445" i="4"/>
  <c r="H445" i="4"/>
  <c r="C446" i="4"/>
  <c r="N446" i="4" s="1"/>
  <c r="P446" i="4" s="1"/>
  <c r="E446" i="4"/>
  <c r="H446" i="4"/>
  <c r="C447" i="4"/>
  <c r="E447" i="4"/>
  <c r="H447" i="4"/>
  <c r="C448" i="4"/>
  <c r="E448" i="4"/>
  <c r="H448" i="4"/>
  <c r="C449" i="4"/>
  <c r="E449" i="4"/>
  <c r="H449" i="4"/>
  <c r="C450" i="4"/>
  <c r="L450" i="4" s="1"/>
  <c r="O450" i="4" s="1"/>
  <c r="E450" i="4"/>
  <c r="H450" i="4"/>
  <c r="C451" i="4"/>
  <c r="L451" i="4" s="1"/>
  <c r="O451" i="4" s="1"/>
  <c r="E451" i="4"/>
  <c r="H451" i="4"/>
  <c r="C452" i="4"/>
  <c r="L452" i="4" s="1"/>
  <c r="O452" i="4" s="1"/>
  <c r="E452" i="4"/>
  <c r="H452" i="4"/>
  <c r="C453" i="4"/>
  <c r="M453" i="4" s="1"/>
  <c r="E453" i="4"/>
  <c r="H453" i="4"/>
  <c r="C454" i="4"/>
  <c r="M454" i="4" s="1"/>
  <c r="E454" i="4"/>
  <c r="H454" i="4"/>
  <c r="C455" i="4"/>
  <c r="L455" i="4" s="1"/>
  <c r="O455" i="4" s="1"/>
  <c r="E455" i="4"/>
  <c r="H455" i="4"/>
  <c r="C456" i="4"/>
  <c r="M456" i="4" s="1"/>
  <c r="E456" i="4"/>
  <c r="H456" i="4"/>
  <c r="C457" i="4"/>
  <c r="L457" i="4" s="1"/>
  <c r="O457" i="4" s="1"/>
  <c r="E457" i="4"/>
  <c r="H457" i="4"/>
  <c r="C458" i="4"/>
  <c r="L458" i="4" s="1"/>
  <c r="O458" i="4" s="1"/>
  <c r="E458" i="4"/>
  <c r="H458" i="4"/>
  <c r="C459" i="4"/>
  <c r="E459" i="4"/>
  <c r="H459" i="4"/>
  <c r="C460" i="4"/>
  <c r="M460" i="4" s="1"/>
  <c r="E460" i="4"/>
  <c r="H460" i="4"/>
  <c r="C461" i="4"/>
  <c r="M461" i="4" s="1"/>
  <c r="E461" i="4"/>
  <c r="H461" i="4"/>
  <c r="C462" i="4"/>
  <c r="N462" i="4" s="1"/>
  <c r="P462" i="4" s="1"/>
  <c r="E462" i="4"/>
  <c r="H462" i="4"/>
  <c r="C463" i="4"/>
  <c r="L463" i="4" s="1"/>
  <c r="O463" i="4" s="1"/>
  <c r="E463" i="4"/>
  <c r="H463" i="4"/>
  <c r="C464" i="4"/>
  <c r="L464" i="4" s="1"/>
  <c r="O464" i="4" s="1"/>
  <c r="E464" i="4"/>
  <c r="H464" i="4"/>
  <c r="C465" i="4"/>
  <c r="L465" i="4" s="1"/>
  <c r="O465" i="4" s="1"/>
  <c r="E465" i="4"/>
  <c r="H465" i="4"/>
  <c r="C466" i="4"/>
  <c r="L466" i="4" s="1"/>
  <c r="O466" i="4" s="1"/>
  <c r="E466" i="4"/>
  <c r="H466" i="4"/>
  <c r="C467" i="4"/>
  <c r="L467" i="4" s="1"/>
  <c r="O467" i="4" s="1"/>
  <c r="E467" i="4"/>
  <c r="H467" i="4"/>
  <c r="C468" i="4"/>
  <c r="M468" i="4" s="1"/>
  <c r="E468" i="4"/>
  <c r="H468" i="4"/>
  <c r="C469" i="4"/>
  <c r="M469" i="4" s="1"/>
  <c r="E469" i="4"/>
  <c r="H469" i="4"/>
  <c r="C470" i="4"/>
  <c r="M470" i="4" s="1"/>
  <c r="E470" i="4"/>
  <c r="H470" i="4"/>
  <c r="C471" i="4"/>
  <c r="L471" i="4" s="1"/>
  <c r="O471" i="4" s="1"/>
  <c r="E471" i="4"/>
  <c r="H471" i="4"/>
  <c r="C472" i="4"/>
  <c r="L472" i="4" s="1"/>
  <c r="O472" i="4" s="1"/>
  <c r="E472" i="4"/>
  <c r="H472" i="4"/>
  <c r="C473" i="4"/>
  <c r="E473" i="4"/>
  <c r="H473" i="4"/>
  <c r="C474" i="4"/>
  <c r="L474" i="4" s="1"/>
  <c r="O474" i="4" s="1"/>
  <c r="E474" i="4"/>
  <c r="H474" i="4"/>
  <c r="C475" i="4"/>
  <c r="L475" i="4" s="1"/>
  <c r="O475" i="4" s="1"/>
  <c r="E475" i="4"/>
  <c r="H475" i="4"/>
  <c r="C476" i="4"/>
  <c r="L476" i="4" s="1"/>
  <c r="O476" i="4" s="1"/>
  <c r="E476" i="4"/>
  <c r="H476" i="4"/>
  <c r="C477" i="4"/>
  <c r="M477" i="4" s="1"/>
  <c r="E477" i="4"/>
  <c r="H477" i="4"/>
  <c r="C478" i="4"/>
  <c r="E478" i="4"/>
  <c r="H478" i="4"/>
  <c r="C479" i="4"/>
  <c r="E479" i="4"/>
  <c r="H479" i="4"/>
  <c r="C480" i="4"/>
  <c r="E480" i="4"/>
  <c r="H480" i="4"/>
  <c r="C481" i="4"/>
  <c r="L481" i="4" s="1"/>
  <c r="O481" i="4" s="1"/>
  <c r="E481" i="4"/>
  <c r="H481" i="4"/>
  <c r="C482" i="4"/>
  <c r="L482" i="4" s="1"/>
  <c r="O482" i="4" s="1"/>
  <c r="E482" i="4"/>
  <c r="H482" i="4"/>
  <c r="C483" i="4"/>
  <c r="L483" i="4" s="1"/>
  <c r="O483" i="4" s="1"/>
  <c r="E483" i="4"/>
  <c r="H483" i="4"/>
  <c r="C484" i="4"/>
  <c r="L484" i="4" s="1"/>
  <c r="O484" i="4" s="1"/>
  <c r="E484" i="4"/>
  <c r="H484" i="4"/>
  <c r="C485" i="4"/>
  <c r="M485" i="4" s="1"/>
  <c r="E485" i="4"/>
  <c r="H485" i="4"/>
  <c r="C486" i="4"/>
  <c r="E486" i="4"/>
  <c r="H486" i="4"/>
  <c r="C487" i="4"/>
  <c r="L487" i="4" s="1"/>
  <c r="O487" i="4" s="1"/>
  <c r="E487" i="4"/>
  <c r="H487" i="4"/>
  <c r="C488" i="4"/>
  <c r="L488" i="4" s="1"/>
  <c r="O488" i="4" s="1"/>
  <c r="E488" i="4"/>
  <c r="H488" i="4"/>
  <c r="C489" i="4"/>
  <c r="L489" i="4" s="1"/>
  <c r="O489" i="4" s="1"/>
  <c r="E489" i="4"/>
  <c r="H489" i="4"/>
  <c r="C490" i="4"/>
  <c r="L490" i="4" s="1"/>
  <c r="O490" i="4" s="1"/>
  <c r="E490" i="4"/>
  <c r="H490" i="4"/>
  <c r="C491" i="4"/>
  <c r="M491" i="4" s="1"/>
  <c r="E491" i="4"/>
  <c r="H491" i="4"/>
  <c r="C492" i="4"/>
  <c r="L492" i="4" s="1"/>
  <c r="O492" i="4" s="1"/>
  <c r="E492" i="4"/>
  <c r="H492" i="4"/>
  <c r="C493" i="4"/>
  <c r="E493" i="4"/>
  <c r="H493" i="4"/>
  <c r="C494" i="4"/>
  <c r="M494" i="4" s="1"/>
  <c r="E494" i="4"/>
  <c r="H494" i="4"/>
  <c r="C495" i="4"/>
  <c r="L495" i="4" s="1"/>
  <c r="O495" i="4" s="1"/>
  <c r="E495" i="4"/>
  <c r="H495" i="4"/>
  <c r="C496" i="4"/>
  <c r="E496" i="4"/>
  <c r="H496" i="4"/>
  <c r="C497" i="4"/>
  <c r="L497" i="4" s="1"/>
  <c r="O497" i="4" s="1"/>
  <c r="E497" i="4"/>
  <c r="H497" i="4"/>
  <c r="C498" i="4"/>
  <c r="L498" i="4" s="1"/>
  <c r="O498" i="4" s="1"/>
  <c r="E498" i="4"/>
  <c r="H498" i="4"/>
  <c r="C499" i="4"/>
  <c r="L499" i="4" s="1"/>
  <c r="O499" i="4" s="1"/>
  <c r="E499" i="4"/>
  <c r="H499" i="4"/>
  <c r="C500" i="4"/>
  <c r="L500" i="4" s="1"/>
  <c r="O500" i="4" s="1"/>
  <c r="E500" i="4"/>
  <c r="H500" i="4"/>
  <c r="C501" i="4"/>
  <c r="E501" i="4"/>
  <c r="H501" i="4"/>
  <c r="E2" i="4"/>
  <c r="E3" i="4"/>
  <c r="E5" i="4"/>
  <c r="E6" i="4"/>
  <c r="E7" i="4"/>
  <c r="E10" i="4"/>
  <c r="E22" i="4"/>
  <c r="E31" i="4"/>
  <c r="C3" i="4"/>
  <c r="L3" i="4" s="1"/>
  <c r="O3" i="4" s="1"/>
  <c r="C2" i="4"/>
  <c r="L2" i="4" s="1"/>
  <c r="O2" i="4" s="1"/>
  <c r="C5" i="4"/>
  <c r="M5" i="4" s="1"/>
  <c r="C6" i="4"/>
  <c r="M6" i="4" s="1"/>
  <c r="C7" i="4"/>
  <c r="M7" i="4" s="1"/>
  <c r="C10" i="4"/>
  <c r="M10" i="4" s="1"/>
  <c r="C22" i="4"/>
  <c r="M22" i="4" s="1"/>
  <c r="C31" i="4"/>
  <c r="M31" i="4" s="1"/>
  <c r="H2" i="4"/>
  <c r="H3" i="4"/>
  <c r="H5" i="4"/>
  <c r="H6" i="4"/>
  <c r="H7" i="4"/>
  <c r="H10" i="4"/>
  <c r="H22" i="4"/>
  <c r="H31" i="4"/>
  <c r="B5" i="9"/>
  <c r="G5" i="9"/>
  <c r="F5" i="9"/>
  <c r="E5" i="9"/>
  <c r="D5" i="9"/>
  <c r="C5" i="9"/>
  <c r="N20" i="4" l="1"/>
  <c r="P20" i="4" s="1"/>
  <c r="M234" i="4"/>
  <c r="M20" i="4"/>
  <c r="N132" i="4"/>
  <c r="P132" i="4" s="1"/>
  <c r="N434" i="4"/>
  <c r="P434" i="4" s="1"/>
  <c r="L434" i="4"/>
  <c r="O434" i="4" s="1"/>
  <c r="M253" i="4"/>
  <c r="L261" i="4"/>
  <c r="O261" i="4" s="1"/>
  <c r="L86" i="4"/>
  <c r="O86" i="4" s="1"/>
  <c r="N54" i="4"/>
  <c r="P54" i="4" s="1"/>
  <c r="L470" i="4"/>
  <c r="O470" i="4" s="1"/>
  <c r="L423" i="4"/>
  <c r="O423" i="4" s="1"/>
  <c r="L73" i="4"/>
  <c r="O73" i="4" s="1"/>
  <c r="M451" i="4"/>
  <c r="L446" i="4"/>
  <c r="O446" i="4" s="1"/>
  <c r="Q446" i="4" s="1"/>
  <c r="R446" i="4" s="1"/>
  <c r="M190" i="4"/>
  <c r="L190" i="4"/>
  <c r="O190" i="4" s="1"/>
  <c r="Q190" i="4" s="1"/>
  <c r="R190" i="4" s="1"/>
  <c r="N373" i="4"/>
  <c r="P373" i="4" s="1"/>
  <c r="Q373" i="4" s="1"/>
  <c r="R373" i="4" s="1"/>
  <c r="N470" i="4"/>
  <c r="P470" i="4" s="1"/>
  <c r="M356" i="4"/>
  <c r="N351" i="4"/>
  <c r="P351" i="4" s="1"/>
  <c r="N142" i="4"/>
  <c r="P142" i="4" s="1"/>
  <c r="N219" i="4"/>
  <c r="P219" i="4" s="1"/>
  <c r="M146" i="4"/>
  <c r="N443" i="4"/>
  <c r="P443" i="4" s="1"/>
  <c r="N166" i="4"/>
  <c r="P166" i="4" s="1"/>
  <c r="M166" i="4"/>
  <c r="N488" i="4"/>
  <c r="P488" i="4" s="1"/>
  <c r="M483" i="4"/>
  <c r="N452" i="4"/>
  <c r="P452" i="4" s="1"/>
  <c r="Q452" i="4" s="1"/>
  <c r="R452" i="4" s="1"/>
  <c r="L238" i="4"/>
  <c r="O238" i="4" s="1"/>
  <c r="M145" i="4"/>
  <c r="N423" i="4"/>
  <c r="P423" i="4" s="1"/>
  <c r="N51" i="4"/>
  <c r="P51" i="4" s="1"/>
  <c r="Q51" i="4" s="1"/>
  <c r="R51" i="4" s="1"/>
  <c r="M51" i="4"/>
  <c r="M442" i="4"/>
  <c r="L351" i="4"/>
  <c r="O351" i="4" s="1"/>
  <c r="L346" i="4"/>
  <c r="O346" i="4" s="1"/>
  <c r="M218" i="4"/>
  <c r="M203" i="4"/>
  <c r="L198" i="4"/>
  <c r="O198" i="4" s="1"/>
  <c r="N145" i="4"/>
  <c r="P145" i="4" s="1"/>
  <c r="M65" i="4"/>
  <c r="L46" i="4"/>
  <c r="O46" i="4" s="1"/>
  <c r="M41" i="4"/>
  <c r="M335" i="4"/>
  <c r="N222" i="4"/>
  <c r="P222" i="4" s="1"/>
  <c r="Q222" i="4" s="1"/>
  <c r="R222" i="4" s="1"/>
  <c r="N174" i="4"/>
  <c r="P174" i="4" s="1"/>
  <c r="Q174" i="4" s="1"/>
  <c r="R174" i="4" s="1"/>
  <c r="M174" i="4"/>
  <c r="N436" i="4"/>
  <c r="P436" i="4" s="1"/>
  <c r="Q436" i="4" s="1"/>
  <c r="R436" i="4" s="1"/>
  <c r="M226" i="4"/>
  <c r="M197" i="4"/>
  <c r="L54" i="4"/>
  <c r="O54" i="4" s="1"/>
  <c r="N78" i="4"/>
  <c r="P78" i="4" s="1"/>
  <c r="N73" i="4"/>
  <c r="P73" i="4" s="1"/>
  <c r="M211" i="4"/>
  <c r="N187" i="4"/>
  <c r="P187" i="4" s="1"/>
  <c r="L153" i="4"/>
  <c r="O153" i="4" s="1"/>
  <c r="N124" i="4"/>
  <c r="P124" i="4" s="1"/>
  <c r="L235" i="4"/>
  <c r="O235" i="4" s="1"/>
  <c r="M187" i="4"/>
  <c r="L291" i="4"/>
  <c r="O291" i="4" s="1"/>
  <c r="N286" i="4"/>
  <c r="P286" i="4" s="1"/>
  <c r="N27" i="4"/>
  <c r="P27" i="4" s="1"/>
  <c r="Q27" i="4" s="1"/>
  <c r="R27" i="4" s="1"/>
  <c r="L17" i="4"/>
  <c r="O17" i="4" s="1"/>
  <c r="M420" i="4"/>
  <c r="L286" i="4"/>
  <c r="O286" i="4" s="1"/>
  <c r="N123" i="4"/>
  <c r="P123" i="4" s="1"/>
  <c r="L72" i="4"/>
  <c r="O72" i="4" s="1"/>
  <c r="L158" i="4"/>
  <c r="O158" i="4" s="1"/>
  <c r="N158" i="4"/>
  <c r="P158" i="4" s="1"/>
  <c r="N139" i="4"/>
  <c r="P139" i="4" s="1"/>
  <c r="L139" i="4"/>
  <c r="O139" i="4" s="1"/>
  <c r="M134" i="4"/>
  <c r="L134" i="4"/>
  <c r="O134" i="4" s="1"/>
  <c r="M501" i="4"/>
  <c r="L501" i="4"/>
  <c r="O501" i="4" s="1"/>
  <c r="L259" i="4"/>
  <c r="O259" i="4" s="1"/>
  <c r="M259" i="4"/>
  <c r="M182" i="4"/>
  <c r="L182" i="4"/>
  <c r="O182" i="4" s="1"/>
  <c r="Q182" i="4" s="1"/>
  <c r="R182" i="4" s="1"/>
  <c r="L108" i="4"/>
  <c r="O108" i="4" s="1"/>
  <c r="N108" i="4"/>
  <c r="P108" i="4" s="1"/>
  <c r="L82" i="4"/>
  <c r="O82" i="4" s="1"/>
  <c r="M82" i="4"/>
  <c r="L332" i="4"/>
  <c r="O332" i="4" s="1"/>
  <c r="M332" i="4"/>
  <c r="L361" i="4"/>
  <c r="O361" i="4" s="1"/>
  <c r="N361" i="4"/>
  <c r="P361" i="4" s="1"/>
  <c r="L341" i="4"/>
  <c r="O341" i="4" s="1"/>
  <c r="N341" i="4"/>
  <c r="P341" i="4" s="1"/>
  <c r="M195" i="4"/>
  <c r="L195" i="4"/>
  <c r="O195" i="4" s="1"/>
  <c r="L412" i="4"/>
  <c r="O412" i="4" s="1"/>
  <c r="M412" i="4"/>
  <c r="L138" i="4"/>
  <c r="O138" i="4" s="1"/>
  <c r="M138" i="4"/>
  <c r="M386" i="4"/>
  <c r="L386" i="4"/>
  <c r="O386" i="4" s="1"/>
  <c r="Q386" i="4" s="1"/>
  <c r="R386" i="4" s="1"/>
  <c r="L67" i="4"/>
  <c r="O67" i="4" s="1"/>
  <c r="N67" i="4"/>
  <c r="P67" i="4" s="1"/>
  <c r="L33" i="4"/>
  <c r="O33" i="4" s="1"/>
  <c r="M33" i="4"/>
  <c r="N407" i="4"/>
  <c r="P407" i="4" s="1"/>
  <c r="L407" i="4"/>
  <c r="O407" i="4" s="1"/>
  <c r="N460" i="4"/>
  <c r="P460" i="4" s="1"/>
  <c r="L460" i="4"/>
  <c r="O460" i="4" s="1"/>
  <c r="L304" i="4"/>
  <c r="O304" i="4" s="1"/>
  <c r="N304" i="4"/>
  <c r="P304" i="4" s="1"/>
  <c r="M181" i="4"/>
  <c r="L181" i="4"/>
  <c r="O181" i="4" s="1"/>
  <c r="N186" i="4"/>
  <c r="P186" i="4" s="1"/>
  <c r="L186" i="4"/>
  <c r="O186" i="4" s="1"/>
  <c r="L107" i="4"/>
  <c r="O107" i="4" s="1"/>
  <c r="N107" i="4"/>
  <c r="P107" i="4" s="1"/>
  <c r="M62" i="4"/>
  <c r="L62" i="4"/>
  <c r="O62" i="4" s="1"/>
  <c r="Q62" i="4" s="1"/>
  <c r="R62" i="4" s="1"/>
  <c r="M441" i="4"/>
  <c r="L441" i="4"/>
  <c r="O441" i="4" s="1"/>
  <c r="Q441" i="4" s="1"/>
  <c r="R441" i="4" s="1"/>
  <c r="L360" i="4"/>
  <c r="O360" i="4" s="1"/>
  <c r="M360" i="4"/>
  <c r="L340" i="4"/>
  <c r="O340" i="4" s="1"/>
  <c r="M340" i="4"/>
  <c r="N194" i="4"/>
  <c r="P194" i="4" s="1"/>
  <c r="M194" i="4"/>
  <c r="L137" i="4"/>
  <c r="O137" i="4" s="1"/>
  <c r="M137" i="4"/>
  <c r="L377" i="4"/>
  <c r="O377" i="4" s="1"/>
  <c r="N377" i="4"/>
  <c r="P377" i="4" s="1"/>
  <c r="M380" i="4"/>
  <c r="L380" i="4"/>
  <c r="O380" i="4" s="1"/>
  <c r="N278" i="4"/>
  <c r="P278" i="4" s="1"/>
  <c r="L278" i="4"/>
  <c r="O278" i="4" s="1"/>
  <c r="N242" i="4"/>
  <c r="P242" i="4" s="1"/>
  <c r="M242" i="4"/>
  <c r="L494" i="4"/>
  <c r="O494" i="4" s="1"/>
  <c r="N494" i="4"/>
  <c r="P494" i="4" s="1"/>
  <c r="N454" i="4"/>
  <c r="P454" i="4" s="1"/>
  <c r="L454" i="4"/>
  <c r="O454" i="4" s="1"/>
  <c r="N375" i="4"/>
  <c r="P375" i="4" s="1"/>
  <c r="L375" i="4"/>
  <c r="O375" i="4" s="1"/>
  <c r="L329" i="4"/>
  <c r="O329" i="4" s="1"/>
  <c r="N329" i="4"/>
  <c r="P329" i="4" s="1"/>
  <c r="L232" i="4"/>
  <c r="O232" i="4" s="1"/>
  <c r="Q232" i="4" s="1"/>
  <c r="R232" i="4" s="1"/>
  <c r="N232" i="4"/>
  <c r="P232" i="4" s="1"/>
  <c r="M440" i="4"/>
  <c r="L440" i="4"/>
  <c r="O440" i="4" s="1"/>
  <c r="L116" i="4"/>
  <c r="O116" i="4" s="1"/>
  <c r="N116" i="4"/>
  <c r="P116" i="4" s="1"/>
  <c r="M75" i="4"/>
  <c r="L75" i="4"/>
  <c r="O75" i="4" s="1"/>
  <c r="M275" i="4"/>
  <c r="L275" i="4"/>
  <c r="O275" i="4" s="1"/>
  <c r="L449" i="4"/>
  <c r="O449" i="4" s="1"/>
  <c r="N449" i="4"/>
  <c r="P449" i="4" s="1"/>
  <c r="L339" i="4"/>
  <c r="O339" i="4" s="1"/>
  <c r="N339" i="4"/>
  <c r="P339" i="4" s="1"/>
  <c r="N308" i="4"/>
  <c r="P308" i="4" s="1"/>
  <c r="L308" i="4"/>
  <c r="O308" i="4" s="1"/>
  <c r="M394" i="4"/>
  <c r="N394" i="4"/>
  <c r="P394" i="4" s="1"/>
  <c r="L344" i="4"/>
  <c r="O344" i="4" s="1"/>
  <c r="M344" i="4"/>
  <c r="M277" i="4"/>
  <c r="N277" i="4"/>
  <c r="P277" i="4" s="1"/>
  <c r="L121" i="4"/>
  <c r="O121" i="4" s="1"/>
  <c r="M121" i="4"/>
  <c r="N70" i="4"/>
  <c r="P70" i="4" s="1"/>
  <c r="L70" i="4"/>
  <c r="O70" i="4" s="1"/>
  <c r="M424" i="4"/>
  <c r="L424" i="4"/>
  <c r="O424" i="4" s="1"/>
  <c r="L333" i="4"/>
  <c r="O333" i="4" s="1"/>
  <c r="N333" i="4"/>
  <c r="P333" i="4" s="1"/>
  <c r="L328" i="4"/>
  <c r="O328" i="4" s="1"/>
  <c r="N328" i="4"/>
  <c r="P328" i="4" s="1"/>
  <c r="L307" i="4"/>
  <c r="O307" i="4" s="1"/>
  <c r="N307" i="4"/>
  <c r="P307" i="4" s="1"/>
  <c r="M251" i="4"/>
  <c r="L251" i="4"/>
  <c r="O251" i="4" s="1"/>
  <c r="M179" i="4"/>
  <c r="L179" i="4"/>
  <c r="O179" i="4" s="1"/>
  <c r="Q179" i="4" s="1"/>
  <c r="R179" i="4" s="1"/>
  <c r="L205" i="4"/>
  <c r="O205" i="4" s="1"/>
  <c r="M205" i="4"/>
  <c r="M29" i="4"/>
  <c r="L29" i="4"/>
  <c r="O29" i="4" s="1"/>
  <c r="L352" i="4"/>
  <c r="O352" i="4" s="1"/>
  <c r="M352" i="4"/>
  <c r="N210" i="4"/>
  <c r="P210" i="4" s="1"/>
  <c r="L210" i="4"/>
  <c r="O210" i="4" s="1"/>
  <c r="M478" i="4"/>
  <c r="L478" i="4"/>
  <c r="O478" i="4" s="1"/>
  <c r="M378" i="4"/>
  <c r="L378" i="4"/>
  <c r="O378" i="4" s="1"/>
  <c r="Q378" i="4" s="1"/>
  <c r="R378" i="4" s="1"/>
  <c r="N275" i="4"/>
  <c r="P275" i="4" s="1"/>
  <c r="M210" i="4"/>
  <c r="L206" i="4"/>
  <c r="O206" i="4" s="1"/>
  <c r="Q206" i="4" s="1"/>
  <c r="R206" i="4" s="1"/>
  <c r="M206" i="4"/>
  <c r="M104" i="4"/>
  <c r="L104" i="4"/>
  <c r="O104" i="4" s="1"/>
  <c r="Q73" i="4"/>
  <c r="R73" i="4" s="1"/>
  <c r="N253" i="4"/>
  <c r="P253" i="4" s="1"/>
  <c r="Q253" i="4" s="1"/>
  <c r="R253" i="4" s="1"/>
  <c r="N203" i="4"/>
  <c r="P203" i="4" s="1"/>
  <c r="Q203" i="4" s="1"/>
  <c r="R203" i="4" s="1"/>
  <c r="N86" i="4"/>
  <c r="P86" i="4" s="1"/>
  <c r="Q86" i="4" s="1"/>
  <c r="R86" i="4" s="1"/>
  <c r="N336" i="4"/>
  <c r="P336" i="4" s="1"/>
  <c r="Q336" i="4" s="1"/>
  <c r="R336" i="4" s="1"/>
  <c r="N311" i="4"/>
  <c r="P311" i="4" s="1"/>
  <c r="Q311" i="4" s="1"/>
  <c r="R311" i="4" s="1"/>
  <c r="M304" i="4"/>
  <c r="Q278" i="4"/>
  <c r="R278" i="4" s="1"/>
  <c r="M163" i="4"/>
  <c r="N150" i="4"/>
  <c r="P150" i="4" s="1"/>
  <c r="Q150" i="4" s="1"/>
  <c r="R150" i="4" s="1"/>
  <c r="N33" i="4"/>
  <c r="P33" i="4" s="1"/>
  <c r="Q20" i="4"/>
  <c r="R20" i="4" s="1"/>
  <c r="N357" i="4"/>
  <c r="P357" i="4" s="1"/>
  <c r="N353" i="4"/>
  <c r="P353" i="4" s="1"/>
  <c r="M336" i="4"/>
  <c r="N332" i="4"/>
  <c r="P332" i="4" s="1"/>
  <c r="M311" i="4"/>
  <c r="M274" i="4"/>
  <c r="N265" i="4"/>
  <c r="P265" i="4" s="1"/>
  <c r="Q265" i="4" s="1"/>
  <c r="R265" i="4" s="1"/>
  <c r="M214" i="4"/>
  <c r="L163" i="4"/>
  <c r="O163" i="4" s="1"/>
  <c r="Q163" i="4" s="1"/>
  <c r="R163" i="4" s="1"/>
  <c r="M150" i="4"/>
  <c r="N129" i="4"/>
  <c r="P129" i="4" s="1"/>
  <c r="Q129" i="4" s="1"/>
  <c r="R129" i="4" s="1"/>
  <c r="N113" i="4"/>
  <c r="P113" i="4" s="1"/>
  <c r="Q113" i="4" s="1"/>
  <c r="R113" i="4" s="1"/>
  <c r="N100" i="4"/>
  <c r="P100" i="4" s="1"/>
  <c r="Q100" i="4" s="1"/>
  <c r="R100" i="4" s="1"/>
  <c r="M433" i="4"/>
  <c r="M415" i="4"/>
  <c r="L364" i="4"/>
  <c r="O364" i="4" s="1"/>
  <c r="N314" i="4"/>
  <c r="P314" i="4" s="1"/>
  <c r="N281" i="4"/>
  <c r="P281" i="4" s="1"/>
  <c r="L226" i="4"/>
  <c r="O226" i="4" s="1"/>
  <c r="L218" i="4"/>
  <c r="O218" i="4" s="1"/>
  <c r="Q218" i="4" s="1"/>
  <c r="R218" i="4" s="1"/>
  <c r="M488" i="4"/>
  <c r="N481" i="4"/>
  <c r="P481" i="4" s="1"/>
  <c r="Q481" i="4" s="1"/>
  <c r="R481" i="4" s="1"/>
  <c r="N472" i="4"/>
  <c r="P472" i="4" s="1"/>
  <c r="M436" i="4"/>
  <c r="L392" i="4"/>
  <c r="O392" i="4" s="1"/>
  <c r="N384" i="4"/>
  <c r="P384" i="4" s="1"/>
  <c r="N356" i="4"/>
  <c r="P356" i="4" s="1"/>
  <c r="Q356" i="4" s="1"/>
  <c r="R356" i="4" s="1"/>
  <c r="N352" i="4"/>
  <c r="P352" i="4" s="1"/>
  <c r="Q352" i="4" s="1"/>
  <c r="R352" i="4" s="1"/>
  <c r="N335" i="4"/>
  <c r="P335" i="4" s="1"/>
  <c r="Q335" i="4" s="1"/>
  <c r="R335" i="4" s="1"/>
  <c r="N310" i="4"/>
  <c r="P310" i="4" s="1"/>
  <c r="Q310" i="4" s="1"/>
  <c r="R310" i="4" s="1"/>
  <c r="N273" i="4"/>
  <c r="P273" i="4" s="1"/>
  <c r="Q273" i="4" s="1"/>
  <c r="R273" i="4" s="1"/>
  <c r="N213" i="4"/>
  <c r="P213" i="4" s="1"/>
  <c r="Q213" i="4" s="1"/>
  <c r="R213" i="4" s="1"/>
  <c r="L194" i="4"/>
  <c r="O194" i="4" s="1"/>
  <c r="M153" i="4"/>
  <c r="N99" i="4"/>
  <c r="P99" i="4" s="1"/>
  <c r="N94" i="4"/>
  <c r="P94" i="4" s="1"/>
  <c r="L78" i="4"/>
  <c r="O78" i="4" s="1"/>
  <c r="M70" i="4"/>
  <c r="L41" i="4"/>
  <c r="O41" i="4" s="1"/>
  <c r="Q41" i="4" s="1"/>
  <c r="R41" i="4" s="1"/>
  <c r="N24" i="4"/>
  <c r="P24" i="4" s="1"/>
  <c r="Q24" i="4" s="1"/>
  <c r="R24" i="4" s="1"/>
  <c r="N376" i="4"/>
  <c r="P376" i="4" s="1"/>
  <c r="Q376" i="4" s="1"/>
  <c r="R376" i="4" s="1"/>
  <c r="M310" i="4"/>
  <c r="N221" i="4"/>
  <c r="P221" i="4" s="1"/>
  <c r="Q221" i="4" s="1"/>
  <c r="R221" i="4" s="1"/>
  <c r="M213" i="4"/>
  <c r="N169" i="4"/>
  <c r="P169" i="4" s="1"/>
  <c r="Q169" i="4" s="1"/>
  <c r="R169" i="4" s="1"/>
  <c r="M94" i="4"/>
  <c r="N36" i="4"/>
  <c r="P36" i="4" s="1"/>
  <c r="N484" i="4"/>
  <c r="P484" i="4" s="1"/>
  <c r="N464" i="4"/>
  <c r="P464" i="4" s="1"/>
  <c r="Q464" i="4" s="1"/>
  <c r="R464" i="4" s="1"/>
  <c r="N492" i="4"/>
  <c r="P492" i="4" s="1"/>
  <c r="Q492" i="4" s="1"/>
  <c r="R492" i="4" s="1"/>
  <c r="M484" i="4"/>
  <c r="N468" i="4"/>
  <c r="P468" i="4" s="1"/>
  <c r="M464" i="4"/>
  <c r="M452" i="4"/>
  <c r="N418" i="4"/>
  <c r="P418" i="4" s="1"/>
  <c r="M376" i="4"/>
  <c r="N363" i="4"/>
  <c r="P363" i="4" s="1"/>
  <c r="Q363" i="4" s="1"/>
  <c r="R363" i="4" s="1"/>
  <c r="M313" i="4"/>
  <c r="L242" i="4"/>
  <c r="O242" i="4" s="1"/>
  <c r="Q242" i="4" s="1"/>
  <c r="R242" i="4" s="1"/>
  <c r="N229" i="4"/>
  <c r="P229" i="4" s="1"/>
  <c r="Q229" i="4" s="1"/>
  <c r="R229" i="4" s="1"/>
  <c r="N225" i="4"/>
  <c r="P225" i="4" s="1"/>
  <c r="Q225" i="4" s="1"/>
  <c r="R225" i="4" s="1"/>
  <c r="M221" i="4"/>
  <c r="N209" i="4"/>
  <c r="P209" i="4" s="1"/>
  <c r="N205" i="4"/>
  <c r="P205" i="4" s="1"/>
  <c r="N197" i="4"/>
  <c r="P197" i="4" s="1"/>
  <c r="Q197" i="4" s="1"/>
  <c r="R197" i="4" s="1"/>
  <c r="M169" i="4"/>
  <c r="N115" i="4"/>
  <c r="P115" i="4" s="1"/>
  <c r="N89" i="4"/>
  <c r="P89" i="4" s="1"/>
  <c r="Q89" i="4" s="1"/>
  <c r="R89" i="4" s="1"/>
  <c r="N65" i="4"/>
  <c r="P65" i="4" s="1"/>
  <c r="M57" i="4"/>
  <c r="M49" i="4"/>
  <c r="L468" i="4"/>
  <c r="O468" i="4" s="1"/>
  <c r="L418" i="4"/>
  <c r="O418" i="4" s="1"/>
  <c r="N387" i="4"/>
  <c r="P387" i="4" s="1"/>
  <c r="Q387" i="4" s="1"/>
  <c r="R387" i="4" s="1"/>
  <c r="N327" i="4"/>
  <c r="P327" i="4" s="1"/>
  <c r="Q327" i="4" s="1"/>
  <c r="R327" i="4" s="1"/>
  <c r="L267" i="4"/>
  <c r="O267" i="4" s="1"/>
  <c r="M229" i="4"/>
  <c r="N181" i="4"/>
  <c r="P181" i="4" s="1"/>
  <c r="N161" i="4"/>
  <c r="P161" i="4" s="1"/>
  <c r="Q161" i="4" s="1"/>
  <c r="R161" i="4" s="1"/>
  <c r="M115" i="4"/>
  <c r="M89" i="4"/>
  <c r="M81" i="4"/>
  <c r="L14" i="4"/>
  <c r="O14" i="4" s="1"/>
  <c r="N487" i="4"/>
  <c r="P487" i="4" s="1"/>
  <c r="N471" i="4"/>
  <c r="P471" i="4" s="1"/>
  <c r="N400" i="4"/>
  <c r="P400" i="4" s="1"/>
  <c r="Q400" i="4" s="1"/>
  <c r="R400" i="4" s="1"/>
  <c r="M391" i="4"/>
  <c r="N383" i="4"/>
  <c r="P383" i="4" s="1"/>
  <c r="M367" i="4"/>
  <c r="N359" i="4"/>
  <c r="P359" i="4" s="1"/>
  <c r="Q359" i="4" s="1"/>
  <c r="R359" i="4" s="1"/>
  <c r="M327" i="4"/>
  <c r="M317" i="4"/>
  <c r="M258" i="4"/>
  <c r="L177" i="4"/>
  <c r="O177" i="4" s="1"/>
  <c r="Q132" i="4"/>
  <c r="R132" i="4" s="1"/>
  <c r="M123" i="4"/>
  <c r="M107" i="4"/>
  <c r="L23" i="4"/>
  <c r="O23" i="4" s="1"/>
  <c r="N499" i="4"/>
  <c r="P499" i="4" s="1"/>
  <c r="Q499" i="4" s="1"/>
  <c r="R499" i="4" s="1"/>
  <c r="M487" i="4"/>
  <c r="M471" i="4"/>
  <c r="N439" i="4"/>
  <c r="P439" i="4" s="1"/>
  <c r="M435" i="4"/>
  <c r="N408" i="4"/>
  <c r="P408" i="4" s="1"/>
  <c r="M400" i="4"/>
  <c r="L383" i="4"/>
  <c r="O383" i="4" s="1"/>
  <c r="M359" i="4"/>
  <c r="L330" i="4"/>
  <c r="O330" i="4" s="1"/>
  <c r="L258" i="4"/>
  <c r="O258" i="4" s="1"/>
  <c r="Q258" i="4" s="1"/>
  <c r="R258" i="4" s="1"/>
  <c r="N254" i="4"/>
  <c r="P254" i="4" s="1"/>
  <c r="Q254" i="4" s="1"/>
  <c r="R254" i="4" s="1"/>
  <c r="M250" i="4"/>
  <c r="N237" i="4"/>
  <c r="P237" i="4" s="1"/>
  <c r="N216" i="4"/>
  <c r="P216" i="4" s="1"/>
  <c r="N26" i="4"/>
  <c r="P26" i="4" s="1"/>
  <c r="Q26" i="4" s="1"/>
  <c r="R26" i="4" s="1"/>
  <c r="M475" i="4"/>
  <c r="M312" i="4"/>
  <c r="M305" i="4"/>
  <c r="N245" i="4"/>
  <c r="P245" i="4" s="1"/>
  <c r="Q245" i="4" s="1"/>
  <c r="R245" i="4" s="1"/>
  <c r="N241" i="4"/>
  <c r="P241" i="4" s="1"/>
  <c r="Q241" i="4" s="1"/>
  <c r="R241" i="4" s="1"/>
  <c r="L237" i="4"/>
  <c r="O237" i="4" s="1"/>
  <c r="N208" i="4"/>
  <c r="P208" i="4" s="1"/>
  <c r="Q208" i="4" s="1"/>
  <c r="R208" i="4" s="1"/>
  <c r="N118" i="4"/>
  <c r="P118" i="4" s="1"/>
  <c r="Q118" i="4" s="1"/>
  <c r="R118" i="4" s="1"/>
  <c r="L56" i="4"/>
  <c r="O56" i="4" s="1"/>
  <c r="M26" i="4"/>
  <c r="M499" i="4"/>
  <c r="M408" i="4"/>
  <c r="N362" i="4"/>
  <c r="P362" i="4" s="1"/>
  <c r="N297" i="4"/>
  <c r="P297" i="4" s="1"/>
  <c r="Q297" i="4" s="1"/>
  <c r="R297" i="4" s="1"/>
  <c r="N483" i="4"/>
  <c r="P483" i="4" s="1"/>
  <c r="Q483" i="4" s="1"/>
  <c r="R483" i="4" s="1"/>
  <c r="M467" i="4"/>
  <c r="M463" i="4"/>
  <c r="N451" i="4"/>
  <c r="P451" i="4" s="1"/>
  <c r="Q451" i="4" s="1"/>
  <c r="R451" i="4" s="1"/>
  <c r="M417" i="4"/>
  <c r="L404" i="4"/>
  <c r="O404" i="4" s="1"/>
  <c r="L362" i="4"/>
  <c r="O362" i="4" s="1"/>
  <c r="N301" i="4"/>
  <c r="P301" i="4" s="1"/>
  <c r="Q301" i="4" s="1"/>
  <c r="R301" i="4" s="1"/>
  <c r="M266" i="4"/>
  <c r="M245" i="4"/>
  <c r="N200" i="4"/>
  <c r="P200" i="4" s="1"/>
  <c r="Q200" i="4" s="1"/>
  <c r="R200" i="4" s="1"/>
  <c r="N184" i="4"/>
  <c r="P184" i="4" s="1"/>
  <c r="Q184" i="4" s="1"/>
  <c r="R184" i="4" s="1"/>
  <c r="N126" i="4"/>
  <c r="P126" i="4" s="1"/>
  <c r="Q126" i="4" s="1"/>
  <c r="R126" i="4" s="1"/>
  <c r="M118" i="4"/>
  <c r="M114" i="4"/>
  <c r="N110" i="4"/>
  <c r="P110" i="4" s="1"/>
  <c r="Q110" i="4" s="1"/>
  <c r="R110" i="4" s="1"/>
  <c r="L80" i="4"/>
  <c r="O80" i="4" s="1"/>
  <c r="N43" i="4"/>
  <c r="P43" i="4" s="1"/>
  <c r="N29" i="4"/>
  <c r="P29" i="4" s="1"/>
  <c r="Q29" i="4" s="1"/>
  <c r="R29" i="4" s="1"/>
  <c r="N17" i="4"/>
  <c r="P17" i="4" s="1"/>
  <c r="Q351" i="4"/>
  <c r="R351" i="4" s="1"/>
  <c r="M126" i="4"/>
  <c r="M110" i="4"/>
  <c r="L88" i="4"/>
  <c r="O88" i="4" s="1"/>
  <c r="N84" i="4"/>
  <c r="P84" i="4" s="1"/>
  <c r="Q84" i="4" s="1"/>
  <c r="R84" i="4" s="1"/>
  <c r="L64" i="4"/>
  <c r="O64" i="4" s="1"/>
  <c r="N60" i="4"/>
  <c r="P60" i="4" s="1"/>
  <c r="Q60" i="4" s="1"/>
  <c r="R60" i="4" s="1"/>
  <c r="M43" i="4"/>
  <c r="L416" i="4"/>
  <c r="O416" i="4" s="1"/>
  <c r="M416" i="4"/>
  <c r="N416" i="4"/>
  <c r="P416" i="4" s="1"/>
  <c r="Q219" i="4"/>
  <c r="R219" i="4" s="1"/>
  <c r="Q187" i="4"/>
  <c r="R187" i="4" s="1"/>
  <c r="M112" i="4"/>
  <c r="L112" i="4"/>
  <c r="O112" i="4" s="1"/>
  <c r="L12" i="4"/>
  <c r="O12" i="4" s="1"/>
  <c r="M12" i="4"/>
  <c r="N12" i="4"/>
  <c r="P12" i="4" s="1"/>
  <c r="L447" i="4"/>
  <c r="O447" i="4" s="1"/>
  <c r="M447" i="4"/>
  <c r="N447" i="4"/>
  <c r="P447" i="4" s="1"/>
  <c r="Q407" i="4"/>
  <c r="R407" i="4" s="1"/>
  <c r="L379" i="4"/>
  <c r="O379" i="4" s="1"/>
  <c r="N379" i="4"/>
  <c r="P379" i="4" s="1"/>
  <c r="L368" i="4"/>
  <c r="O368" i="4" s="1"/>
  <c r="M368" i="4"/>
  <c r="N368" i="4"/>
  <c r="P368" i="4" s="1"/>
  <c r="L349" i="4"/>
  <c r="O349" i="4" s="1"/>
  <c r="N349" i="4"/>
  <c r="P349" i="4" s="1"/>
  <c r="L90" i="4"/>
  <c r="O90" i="4" s="1"/>
  <c r="M90" i="4"/>
  <c r="L396" i="4"/>
  <c r="O396" i="4" s="1"/>
  <c r="M396" i="4"/>
  <c r="N396" i="4"/>
  <c r="P396" i="4" s="1"/>
  <c r="L448" i="4"/>
  <c r="O448" i="4" s="1"/>
  <c r="M448" i="4"/>
  <c r="N448" i="4"/>
  <c r="P448" i="4" s="1"/>
  <c r="L369" i="4"/>
  <c r="O369" i="4" s="1"/>
  <c r="N369" i="4"/>
  <c r="P369" i="4" s="1"/>
  <c r="L462" i="4"/>
  <c r="O462" i="4" s="1"/>
  <c r="Q462" i="4" s="1"/>
  <c r="R462" i="4" s="1"/>
  <c r="M462" i="4"/>
  <c r="Q484" i="4"/>
  <c r="R484" i="4" s="1"/>
  <c r="L432" i="4"/>
  <c r="O432" i="4" s="1"/>
  <c r="N432" i="4"/>
  <c r="P432" i="4" s="1"/>
  <c r="L372" i="4"/>
  <c r="O372" i="4" s="1"/>
  <c r="M372" i="4"/>
  <c r="N372" i="4"/>
  <c r="P372" i="4" s="1"/>
  <c r="L283" i="4"/>
  <c r="O283" i="4" s="1"/>
  <c r="M283" i="4"/>
  <c r="N283" i="4"/>
  <c r="P283" i="4" s="1"/>
  <c r="L74" i="4"/>
  <c r="O74" i="4" s="1"/>
  <c r="M74" i="4"/>
  <c r="L473" i="4"/>
  <c r="O473" i="4" s="1"/>
  <c r="N473" i="4"/>
  <c r="P473" i="4" s="1"/>
  <c r="L428" i="4"/>
  <c r="O428" i="4" s="1"/>
  <c r="M428" i="4"/>
  <c r="N428" i="4"/>
  <c r="P428" i="4" s="1"/>
  <c r="M495" i="4"/>
  <c r="N495" i="4"/>
  <c r="P495" i="4" s="1"/>
  <c r="L325" i="4"/>
  <c r="O325" i="4" s="1"/>
  <c r="N325" i="4"/>
  <c r="P325" i="4" s="1"/>
  <c r="L262" i="4"/>
  <c r="O262" i="4" s="1"/>
  <c r="M262" i="4"/>
  <c r="N262" i="4"/>
  <c r="P262" i="4" s="1"/>
  <c r="L246" i="4"/>
  <c r="O246" i="4" s="1"/>
  <c r="Q246" i="4" s="1"/>
  <c r="R246" i="4" s="1"/>
  <c r="M246" i="4"/>
  <c r="L230" i="4"/>
  <c r="O230" i="4" s="1"/>
  <c r="Q230" i="4" s="1"/>
  <c r="R230" i="4" s="1"/>
  <c r="M230" i="4"/>
  <c r="L171" i="4"/>
  <c r="O171" i="4" s="1"/>
  <c r="M171" i="4"/>
  <c r="N171" i="4"/>
  <c r="P171" i="4" s="1"/>
  <c r="Q33" i="4"/>
  <c r="R33" i="4" s="1"/>
  <c r="Q384" i="4"/>
  <c r="R384" i="4" s="1"/>
  <c r="M496" i="4"/>
  <c r="L496" i="4"/>
  <c r="O496" i="4" s="1"/>
  <c r="N496" i="4"/>
  <c r="P496" i="4" s="1"/>
  <c r="Q487" i="4"/>
  <c r="R487" i="4" s="1"/>
  <c r="M476" i="4"/>
  <c r="N476" i="4"/>
  <c r="P476" i="4" s="1"/>
  <c r="Q476" i="4" s="1"/>
  <c r="R476" i="4" s="1"/>
  <c r="L399" i="4"/>
  <c r="O399" i="4" s="1"/>
  <c r="M399" i="4"/>
  <c r="N399" i="4"/>
  <c r="P399" i="4" s="1"/>
  <c r="L348" i="4"/>
  <c r="O348" i="4" s="1"/>
  <c r="M348" i="4"/>
  <c r="N348" i="4"/>
  <c r="P348" i="4" s="1"/>
  <c r="M493" i="4"/>
  <c r="L493" i="4"/>
  <c r="O493" i="4" s="1"/>
  <c r="L83" i="4"/>
  <c r="O83" i="4" s="1"/>
  <c r="M83" i="4"/>
  <c r="N83" i="4"/>
  <c r="P83" i="4" s="1"/>
  <c r="L243" i="4"/>
  <c r="O243" i="4" s="1"/>
  <c r="M243" i="4"/>
  <c r="L480" i="4"/>
  <c r="O480" i="4" s="1"/>
  <c r="M480" i="4"/>
  <c r="N480" i="4"/>
  <c r="P480" i="4" s="1"/>
  <c r="M410" i="4"/>
  <c r="L410" i="4"/>
  <c r="O410" i="4" s="1"/>
  <c r="N410" i="4"/>
  <c r="P410" i="4" s="1"/>
  <c r="N282" i="4"/>
  <c r="P282" i="4" s="1"/>
  <c r="L282" i="4"/>
  <c r="O282" i="4" s="1"/>
  <c r="M282" i="4"/>
  <c r="L270" i="4"/>
  <c r="O270" i="4" s="1"/>
  <c r="M270" i="4"/>
  <c r="N270" i="4"/>
  <c r="P270" i="4" s="1"/>
  <c r="L98" i="4"/>
  <c r="O98" i="4" s="1"/>
  <c r="M98" i="4"/>
  <c r="Q65" i="4"/>
  <c r="R65" i="4" s="1"/>
  <c r="L343" i="4"/>
  <c r="O343" i="4" s="1"/>
  <c r="Q343" i="4" s="1"/>
  <c r="R343" i="4" s="1"/>
  <c r="M343" i="4"/>
  <c r="L319" i="4"/>
  <c r="O319" i="4" s="1"/>
  <c r="N319" i="4"/>
  <c r="P319" i="4" s="1"/>
  <c r="L154" i="4"/>
  <c r="O154" i="4" s="1"/>
  <c r="M154" i="4"/>
  <c r="M32" i="4"/>
  <c r="L32" i="4"/>
  <c r="O32" i="4" s="1"/>
  <c r="L15" i="4"/>
  <c r="O15" i="4" s="1"/>
  <c r="M15" i="4"/>
  <c r="N15" i="4"/>
  <c r="P15" i="4" s="1"/>
  <c r="L345" i="4"/>
  <c r="O345" i="4" s="1"/>
  <c r="N345" i="4"/>
  <c r="P345" i="4" s="1"/>
  <c r="N467" i="4"/>
  <c r="P467" i="4" s="1"/>
  <c r="Q467" i="4" s="1"/>
  <c r="R467" i="4" s="1"/>
  <c r="Q434" i="4"/>
  <c r="R434" i="4" s="1"/>
  <c r="M402" i="4"/>
  <c r="L402" i="4"/>
  <c r="O402" i="4" s="1"/>
  <c r="N402" i="4"/>
  <c r="P402" i="4" s="1"/>
  <c r="L331" i="4"/>
  <c r="O331" i="4" s="1"/>
  <c r="N331" i="4"/>
  <c r="P331" i="4" s="1"/>
  <c r="L299" i="4"/>
  <c r="O299" i="4" s="1"/>
  <c r="M299" i="4"/>
  <c r="N299" i="4"/>
  <c r="P299" i="4" s="1"/>
  <c r="L102" i="4"/>
  <c r="O102" i="4" s="1"/>
  <c r="Q102" i="4" s="1"/>
  <c r="R102" i="4" s="1"/>
  <c r="M102" i="4"/>
  <c r="L459" i="4"/>
  <c r="O459" i="4" s="1"/>
  <c r="M459" i="4"/>
  <c r="N459" i="4"/>
  <c r="P459" i="4" s="1"/>
  <c r="L227" i="4"/>
  <c r="O227" i="4" s="1"/>
  <c r="M227" i="4"/>
  <c r="M338" i="4"/>
  <c r="L338" i="4"/>
  <c r="O338" i="4" s="1"/>
  <c r="N338" i="4"/>
  <c r="P338" i="4" s="1"/>
  <c r="L249" i="4"/>
  <c r="O249" i="4" s="1"/>
  <c r="N249" i="4"/>
  <c r="P249" i="4" s="1"/>
  <c r="L233" i="4"/>
  <c r="O233" i="4" s="1"/>
  <c r="N233" i="4"/>
  <c r="P233" i="4" s="1"/>
  <c r="L217" i="4"/>
  <c r="O217" i="4" s="1"/>
  <c r="N217" i="4"/>
  <c r="P217" i="4" s="1"/>
  <c r="N202" i="4"/>
  <c r="P202" i="4" s="1"/>
  <c r="L202" i="4"/>
  <c r="O202" i="4" s="1"/>
  <c r="M202" i="4"/>
  <c r="L322" i="4"/>
  <c r="O322" i="4" s="1"/>
  <c r="M322" i="4"/>
  <c r="N322" i="4"/>
  <c r="P322" i="4" s="1"/>
  <c r="N455" i="4"/>
  <c r="P455" i="4" s="1"/>
  <c r="Q455" i="4" s="1"/>
  <c r="R455" i="4" s="1"/>
  <c r="L318" i="4"/>
  <c r="O318" i="4" s="1"/>
  <c r="M318" i="4"/>
  <c r="N318" i="4"/>
  <c r="P318" i="4" s="1"/>
  <c r="L178" i="4"/>
  <c r="O178" i="4" s="1"/>
  <c r="M178" i="4"/>
  <c r="Q153" i="4"/>
  <c r="R153" i="4" s="1"/>
  <c r="L97" i="4"/>
  <c r="O97" i="4" s="1"/>
  <c r="M97" i="4"/>
  <c r="N97" i="4"/>
  <c r="P97" i="4" s="1"/>
  <c r="M426" i="4"/>
  <c r="L426" i="4"/>
  <c r="O426" i="4" s="1"/>
  <c r="N426" i="4"/>
  <c r="P426" i="4" s="1"/>
  <c r="L479" i="4"/>
  <c r="O479" i="4" s="1"/>
  <c r="M479" i="4"/>
  <c r="N479" i="4"/>
  <c r="P479" i="4" s="1"/>
  <c r="L456" i="4"/>
  <c r="O456" i="4" s="1"/>
  <c r="N456" i="4"/>
  <c r="P456" i="4" s="1"/>
  <c r="N497" i="4"/>
  <c r="P497" i="4" s="1"/>
  <c r="Q497" i="4" s="1"/>
  <c r="R497" i="4" s="1"/>
  <c r="N500" i="4"/>
  <c r="P500" i="4" s="1"/>
  <c r="Q500" i="4" s="1"/>
  <c r="R500" i="4" s="1"/>
  <c r="M455" i="4"/>
  <c r="L397" i="4"/>
  <c r="O397" i="4" s="1"/>
  <c r="N397" i="4"/>
  <c r="P397" i="4" s="1"/>
  <c r="L189" i="4"/>
  <c r="O189" i="4" s="1"/>
  <c r="M189" i="4"/>
  <c r="N189" i="4"/>
  <c r="P189" i="4" s="1"/>
  <c r="L44" i="4"/>
  <c r="O44" i="4" s="1"/>
  <c r="N44" i="4"/>
  <c r="P44" i="4" s="1"/>
  <c r="L309" i="4"/>
  <c r="O309" i="4" s="1"/>
  <c r="N309" i="4"/>
  <c r="P309" i="4" s="1"/>
  <c r="Q495" i="4"/>
  <c r="R495" i="4" s="1"/>
  <c r="L491" i="4"/>
  <c r="O491" i="4" s="1"/>
  <c r="N491" i="4"/>
  <c r="P491" i="4" s="1"/>
  <c r="M500" i="4"/>
  <c r="L486" i="4"/>
  <c r="O486" i="4" s="1"/>
  <c r="M486" i="4"/>
  <c r="N486" i="4"/>
  <c r="P486" i="4" s="1"/>
  <c r="N440" i="4"/>
  <c r="P440" i="4" s="1"/>
  <c r="N424" i="4"/>
  <c r="P424" i="4" s="1"/>
  <c r="L413" i="4"/>
  <c r="O413" i="4" s="1"/>
  <c r="N413" i="4"/>
  <c r="P413" i="4" s="1"/>
  <c r="N404" i="4"/>
  <c r="P404" i="4" s="1"/>
  <c r="Q404" i="4" s="1"/>
  <c r="R404" i="4" s="1"/>
  <c r="L365" i="4"/>
  <c r="O365" i="4" s="1"/>
  <c r="N365" i="4"/>
  <c r="P365" i="4" s="1"/>
  <c r="M354" i="4"/>
  <c r="L354" i="4"/>
  <c r="O354" i="4" s="1"/>
  <c r="N354" i="4"/>
  <c r="P354" i="4" s="1"/>
  <c r="L92" i="4"/>
  <c r="O92" i="4" s="1"/>
  <c r="N92" i="4"/>
  <c r="P92" i="4" s="1"/>
  <c r="L68" i="4"/>
  <c r="O68" i="4" s="1"/>
  <c r="N68" i="4"/>
  <c r="P68" i="4" s="1"/>
  <c r="L35" i="4"/>
  <c r="O35" i="4" s="1"/>
  <c r="M35" i="4"/>
  <c r="N35" i="4"/>
  <c r="P35" i="4" s="1"/>
  <c r="L192" i="4"/>
  <c r="O192" i="4" s="1"/>
  <c r="N192" i="4"/>
  <c r="P192" i="4" s="1"/>
  <c r="L444" i="4"/>
  <c r="O444" i="4" s="1"/>
  <c r="N444" i="4"/>
  <c r="P444" i="4" s="1"/>
  <c r="L388" i="4"/>
  <c r="O388" i="4" s="1"/>
  <c r="Q388" i="4" s="1"/>
  <c r="R388" i="4" s="1"/>
  <c r="M388" i="4"/>
  <c r="M293" i="4"/>
  <c r="L293" i="4"/>
  <c r="O293" i="4" s="1"/>
  <c r="N293" i="4"/>
  <c r="P293" i="4" s="1"/>
  <c r="M285" i="4"/>
  <c r="L285" i="4"/>
  <c r="O285" i="4" s="1"/>
  <c r="N285" i="4"/>
  <c r="P285" i="4" s="1"/>
  <c r="N243" i="4"/>
  <c r="P243" i="4" s="1"/>
  <c r="Q243" i="4" s="1"/>
  <c r="R243" i="4" s="1"/>
  <c r="N227" i="4"/>
  <c r="P227" i="4" s="1"/>
  <c r="L105" i="4"/>
  <c r="O105" i="4" s="1"/>
  <c r="M105" i="4"/>
  <c r="N105" i="4"/>
  <c r="P105" i="4" s="1"/>
  <c r="M492" i="4"/>
  <c r="N478" i="4"/>
  <c r="P478" i="4" s="1"/>
  <c r="M472" i="4"/>
  <c r="N395" i="4"/>
  <c r="P395" i="4" s="1"/>
  <c r="Q395" i="4" s="1"/>
  <c r="R395" i="4" s="1"/>
  <c r="N392" i="4"/>
  <c r="P392" i="4" s="1"/>
  <c r="M384" i="4"/>
  <c r="N370" i="4"/>
  <c r="P370" i="4" s="1"/>
  <c r="N364" i="4"/>
  <c r="P364" i="4" s="1"/>
  <c r="Q364" i="4" s="1"/>
  <c r="R364" i="4" s="1"/>
  <c r="N347" i="4"/>
  <c r="P347" i="4" s="1"/>
  <c r="Q347" i="4" s="1"/>
  <c r="R347" i="4" s="1"/>
  <c r="M301" i="4"/>
  <c r="N291" i="4"/>
  <c r="P291" i="4" s="1"/>
  <c r="N267" i="4"/>
  <c r="P267" i="4" s="1"/>
  <c r="M254" i="4"/>
  <c r="N251" i="4"/>
  <c r="P251" i="4" s="1"/>
  <c r="Q251" i="4" s="1"/>
  <c r="R251" i="4" s="1"/>
  <c r="N248" i="4"/>
  <c r="P248" i="4" s="1"/>
  <c r="N238" i="4"/>
  <c r="P238" i="4" s="1"/>
  <c r="N235" i="4"/>
  <c r="P235" i="4" s="1"/>
  <c r="M222" i="4"/>
  <c r="M219" i="4"/>
  <c r="N177" i="4"/>
  <c r="P177" i="4" s="1"/>
  <c r="M161" i="4"/>
  <c r="M142" i="4"/>
  <c r="M129" i="4"/>
  <c r="Q123" i="4"/>
  <c r="R123" i="4" s="1"/>
  <c r="M113" i="4"/>
  <c r="N91" i="4"/>
  <c r="P91" i="4" s="1"/>
  <c r="Q91" i="4" s="1"/>
  <c r="R91" i="4" s="1"/>
  <c r="N76" i="4"/>
  <c r="P76" i="4" s="1"/>
  <c r="Q76" i="4" s="1"/>
  <c r="R76" i="4" s="1"/>
  <c r="M67" i="4"/>
  <c r="N52" i="4"/>
  <c r="P52" i="4" s="1"/>
  <c r="Q52" i="4" s="1"/>
  <c r="R52" i="4" s="1"/>
  <c r="N46" i="4"/>
  <c r="P46" i="4" s="1"/>
  <c r="M24" i="4"/>
  <c r="N489" i="4"/>
  <c r="P489" i="4" s="1"/>
  <c r="Q489" i="4" s="1"/>
  <c r="R489" i="4" s="1"/>
  <c r="N475" i="4"/>
  <c r="P475" i="4" s="1"/>
  <c r="Q475" i="4" s="1"/>
  <c r="R475" i="4" s="1"/>
  <c r="N463" i="4"/>
  <c r="P463" i="4" s="1"/>
  <c r="M446" i="4"/>
  <c r="N420" i="4"/>
  <c r="P420" i="4" s="1"/>
  <c r="Q420" i="4" s="1"/>
  <c r="R420" i="4" s="1"/>
  <c r="N417" i="4"/>
  <c r="P417" i="4" s="1"/>
  <c r="Q417" i="4" s="1"/>
  <c r="R417" i="4" s="1"/>
  <c r="N415" i="4"/>
  <c r="P415" i="4" s="1"/>
  <c r="Q415" i="4" s="1"/>
  <c r="R415" i="4" s="1"/>
  <c r="N412" i="4"/>
  <c r="P412" i="4" s="1"/>
  <c r="N381" i="4"/>
  <c r="P381" i="4" s="1"/>
  <c r="Q381" i="4" s="1"/>
  <c r="R381" i="4" s="1"/>
  <c r="L370" i="4"/>
  <c r="O370" i="4" s="1"/>
  <c r="N367" i="4"/>
  <c r="P367" i="4" s="1"/>
  <c r="Q367" i="4" s="1"/>
  <c r="R367" i="4" s="1"/>
  <c r="N344" i="4"/>
  <c r="P344" i="4" s="1"/>
  <c r="N330" i="4"/>
  <c r="P330" i="4" s="1"/>
  <c r="L324" i="4"/>
  <c r="O324" i="4" s="1"/>
  <c r="Q324" i="4" s="1"/>
  <c r="R324" i="4" s="1"/>
  <c r="N317" i="4"/>
  <c r="P317" i="4" s="1"/>
  <c r="Q317" i="4" s="1"/>
  <c r="R317" i="4" s="1"/>
  <c r="Q216" i="4"/>
  <c r="R216" i="4" s="1"/>
  <c r="N193" i="4"/>
  <c r="P193" i="4" s="1"/>
  <c r="Q193" i="4" s="1"/>
  <c r="R193" i="4" s="1"/>
  <c r="M170" i="4"/>
  <c r="M122" i="4"/>
  <c r="M106" i="4"/>
  <c r="M91" i="4"/>
  <c r="N49" i="4"/>
  <c r="P49" i="4" s="1"/>
  <c r="Q49" i="4" s="1"/>
  <c r="R49" i="4" s="1"/>
  <c r="L40" i="4"/>
  <c r="O40" i="4" s="1"/>
  <c r="Q281" i="4"/>
  <c r="R281" i="4" s="1"/>
  <c r="N457" i="4"/>
  <c r="P457" i="4" s="1"/>
  <c r="Q457" i="4" s="1"/>
  <c r="R457" i="4" s="1"/>
  <c r="N403" i="4"/>
  <c r="P403" i="4" s="1"/>
  <c r="Q403" i="4" s="1"/>
  <c r="R403" i="4" s="1"/>
  <c r="N389" i="4"/>
  <c r="P389" i="4" s="1"/>
  <c r="Q389" i="4" s="1"/>
  <c r="R389" i="4" s="1"/>
  <c r="N355" i="4"/>
  <c r="P355" i="4" s="1"/>
  <c r="Q355" i="4" s="1"/>
  <c r="R355" i="4" s="1"/>
  <c r="L277" i="4"/>
  <c r="O277" i="4" s="1"/>
  <c r="Q277" i="4" s="1"/>
  <c r="R277" i="4" s="1"/>
  <c r="L274" i="4"/>
  <c r="O274" i="4" s="1"/>
  <c r="Q274" i="4" s="1"/>
  <c r="R274" i="4" s="1"/>
  <c r="N257" i="4"/>
  <c r="P257" i="4" s="1"/>
  <c r="Q257" i="4" s="1"/>
  <c r="R257" i="4" s="1"/>
  <c r="N8" i="4"/>
  <c r="P8" i="4" s="1"/>
  <c r="Q8" i="4" s="1"/>
  <c r="R8" i="4" s="1"/>
  <c r="Q341" i="4"/>
  <c r="R341" i="4" s="1"/>
  <c r="Q209" i="4"/>
  <c r="R209" i="4" s="1"/>
  <c r="M66" i="4"/>
  <c r="M8" i="4"/>
  <c r="Q332" i="4"/>
  <c r="R332" i="4" s="1"/>
  <c r="N198" i="4"/>
  <c r="P198" i="4" s="1"/>
  <c r="Q198" i="4" s="1"/>
  <c r="R198" i="4" s="1"/>
  <c r="N195" i="4"/>
  <c r="P195" i="4" s="1"/>
  <c r="Q195" i="4" s="1"/>
  <c r="R195" i="4" s="1"/>
  <c r="N465" i="4"/>
  <c r="P465" i="4" s="1"/>
  <c r="Q465" i="4" s="1"/>
  <c r="R465" i="4" s="1"/>
  <c r="Q439" i="4"/>
  <c r="R439" i="4" s="1"/>
  <c r="N435" i="4"/>
  <c r="P435" i="4" s="1"/>
  <c r="Q435" i="4" s="1"/>
  <c r="R435" i="4" s="1"/>
  <c r="N405" i="4"/>
  <c r="P405" i="4" s="1"/>
  <c r="Q405" i="4" s="1"/>
  <c r="R405" i="4" s="1"/>
  <c r="L394" i="4"/>
  <c r="O394" i="4" s="1"/>
  <c r="N391" i="4"/>
  <c r="P391" i="4" s="1"/>
  <c r="Q391" i="4" s="1"/>
  <c r="R391" i="4" s="1"/>
  <c r="N360" i="4"/>
  <c r="P360" i="4" s="1"/>
  <c r="Q360" i="4" s="1"/>
  <c r="R360" i="4" s="1"/>
  <c r="N346" i="4"/>
  <c r="P346" i="4" s="1"/>
  <c r="Q346" i="4" s="1"/>
  <c r="R346" i="4" s="1"/>
  <c r="N340" i="4"/>
  <c r="P340" i="4" s="1"/>
  <c r="Q340" i="4" s="1"/>
  <c r="R340" i="4" s="1"/>
  <c r="N312" i="4"/>
  <c r="P312" i="4" s="1"/>
  <c r="Q312" i="4" s="1"/>
  <c r="R312" i="4" s="1"/>
  <c r="L266" i="4"/>
  <c r="O266" i="4" s="1"/>
  <c r="Q266" i="4" s="1"/>
  <c r="R266" i="4" s="1"/>
  <c r="N259" i="4"/>
  <c r="P259" i="4" s="1"/>
  <c r="L250" i="4"/>
  <c r="O250" i="4" s="1"/>
  <c r="Q250" i="4" s="1"/>
  <c r="R250" i="4" s="1"/>
  <c r="N240" i="4"/>
  <c r="P240" i="4" s="1"/>
  <c r="Q240" i="4" s="1"/>
  <c r="R240" i="4" s="1"/>
  <c r="L234" i="4"/>
  <c r="O234" i="4" s="1"/>
  <c r="Q234" i="4" s="1"/>
  <c r="R234" i="4" s="1"/>
  <c r="N224" i="4"/>
  <c r="P224" i="4" s="1"/>
  <c r="Q224" i="4" s="1"/>
  <c r="R224" i="4" s="1"/>
  <c r="N214" i="4"/>
  <c r="P214" i="4" s="1"/>
  <c r="Q214" i="4" s="1"/>
  <c r="R214" i="4" s="1"/>
  <c r="N211" i="4"/>
  <c r="P211" i="4" s="1"/>
  <c r="Q211" i="4" s="1"/>
  <c r="R211" i="4" s="1"/>
  <c r="M162" i="4"/>
  <c r="N155" i="4"/>
  <c r="P155" i="4" s="1"/>
  <c r="Q155" i="4" s="1"/>
  <c r="R155" i="4" s="1"/>
  <c r="N137" i="4"/>
  <c r="P137" i="4" s="1"/>
  <c r="N121" i="4"/>
  <c r="P121" i="4" s="1"/>
  <c r="Q121" i="4" s="1"/>
  <c r="R121" i="4" s="1"/>
  <c r="Q115" i="4"/>
  <c r="R115" i="4" s="1"/>
  <c r="M99" i="4"/>
  <c r="N81" i="4"/>
  <c r="P81" i="4" s="1"/>
  <c r="Q81" i="4" s="1"/>
  <c r="R81" i="4" s="1"/>
  <c r="N57" i="4"/>
  <c r="P57" i="4" s="1"/>
  <c r="Q57" i="4" s="1"/>
  <c r="R57" i="4" s="1"/>
  <c r="L48" i="4"/>
  <c r="O48" i="4" s="1"/>
  <c r="Q36" i="4"/>
  <c r="R36" i="4" s="1"/>
  <c r="N18" i="4"/>
  <c r="P18" i="4" s="1"/>
  <c r="Q18" i="4" s="1"/>
  <c r="R18" i="4" s="1"/>
  <c r="N371" i="4"/>
  <c r="P371" i="4" s="1"/>
  <c r="Q371" i="4" s="1"/>
  <c r="R371" i="4" s="1"/>
  <c r="N337" i="4"/>
  <c r="P337" i="4" s="1"/>
  <c r="Q337" i="4" s="1"/>
  <c r="R337" i="4" s="1"/>
  <c r="N201" i="4"/>
  <c r="P201" i="4" s="1"/>
  <c r="Q201" i="4" s="1"/>
  <c r="R201" i="4" s="1"/>
  <c r="N185" i="4"/>
  <c r="P185" i="4" s="1"/>
  <c r="Q185" i="4" s="1"/>
  <c r="R185" i="4" s="1"/>
  <c r="N140" i="4"/>
  <c r="P140" i="4" s="1"/>
  <c r="Q140" i="4" s="1"/>
  <c r="R140" i="4" s="1"/>
  <c r="M130" i="4"/>
  <c r="L96" i="4"/>
  <c r="O96" i="4" s="1"/>
  <c r="N59" i="4"/>
  <c r="P59" i="4" s="1"/>
  <c r="Q59" i="4" s="1"/>
  <c r="R59" i="4" s="1"/>
  <c r="N38" i="4"/>
  <c r="P38" i="4" s="1"/>
  <c r="Q38" i="4" s="1"/>
  <c r="R38" i="4" s="1"/>
  <c r="Q357" i="4"/>
  <c r="R357" i="4" s="1"/>
  <c r="Q124" i="4"/>
  <c r="R124" i="4" s="1"/>
  <c r="M59" i="4"/>
  <c r="M38" i="4"/>
  <c r="Q443" i="4"/>
  <c r="R443" i="4" s="1"/>
  <c r="Q463" i="4"/>
  <c r="R463" i="4" s="1"/>
  <c r="Q472" i="4"/>
  <c r="R472" i="4" s="1"/>
  <c r="Q471" i="4"/>
  <c r="R471" i="4" s="1"/>
  <c r="Q496" i="4"/>
  <c r="R496" i="4" s="1"/>
  <c r="Q488" i="4"/>
  <c r="R488" i="4" s="1"/>
  <c r="Q470" i="4"/>
  <c r="R470" i="4" s="1"/>
  <c r="L485" i="4"/>
  <c r="O485" i="4" s="1"/>
  <c r="L477" i="4"/>
  <c r="O477" i="4" s="1"/>
  <c r="L469" i="4"/>
  <c r="O469" i="4" s="1"/>
  <c r="L461" i="4"/>
  <c r="O461" i="4" s="1"/>
  <c r="L453" i="4"/>
  <c r="O453" i="4" s="1"/>
  <c r="M406" i="4"/>
  <c r="N406" i="4"/>
  <c r="P406" i="4" s="1"/>
  <c r="M443" i="4"/>
  <c r="L421" i="4"/>
  <c r="O421" i="4" s="1"/>
  <c r="M421" i="4"/>
  <c r="L401" i="4"/>
  <c r="O401" i="4" s="1"/>
  <c r="M401" i="4"/>
  <c r="M342" i="4"/>
  <c r="N342" i="4"/>
  <c r="P342" i="4" s="1"/>
  <c r="L342" i="4"/>
  <c r="O342" i="4" s="1"/>
  <c r="Q248" i="4"/>
  <c r="R248" i="4" s="1"/>
  <c r="Q353" i="4"/>
  <c r="R353" i="4" s="1"/>
  <c r="Q380" i="4"/>
  <c r="R380" i="4" s="1"/>
  <c r="M350" i="4"/>
  <c r="N350" i="4"/>
  <c r="P350" i="4" s="1"/>
  <c r="L350" i="4"/>
  <c r="O350" i="4" s="1"/>
  <c r="Q314" i="4"/>
  <c r="R314" i="4" s="1"/>
  <c r="L393" i="4"/>
  <c r="O393" i="4" s="1"/>
  <c r="Q393" i="4" s="1"/>
  <c r="R393" i="4" s="1"/>
  <c r="M393" i="4"/>
  <c r="Q424" i="4"/>
  <c r="R424" i="4" s="1"/>
  <c r="N409" i="4"/>
  <c r="P409" i="4" s="1"/>
  <c r="Q409" i="4" s="1"/>
  <c r="R409" i="4" s="1"/>
  <c r="M398" i="4"/>
  <c r="N398" i="4"/>
  <c r="P398" i="4" s="1"/>
  <c r="Q398" i="4" s="1"/>
  <c r="R398" i="4" s="1"/>
  <c r="L385" i="4"/>
  <c r="O385" i="4" s="1"/>
  <c r="Q385" i="4" s="1"/>
  <c r="R385" i="4" s="1"/>
  <c r="M385" i="4"/>
  <c r="Q361" i="4"/>
  <c r="R361" i="4" s="1"/>
  <c r="M497" i="4"/>
  <c r="M489" i="4"/>
  <c r="M481" i="4"/>
  <c r="M473" i="4"/>
  <c r="M465" i="4"/>
  <c r="M457" i="4"/>
  <c r="M449" i="4"/>
  <c r="M444" i="4"/>
  <c r="M439" i="4"/>
  <c r="N437" i="4"/>
  <c r="P437" i="4" s="1"/>
  <c r="Q437" i="4" s="1"/>
  <c r="R437" i="4" s="1"/>
  <c r="M414" i="4"/>
  <c r="N414" i="4"/>
  <c r="P414" i="4" s="1"/>
  <c r="Q414" i="4" s="1"/>
  <c r="R414" i="4" s="1"/>
  <c r="M409" i="4"/>
  <c r="M358" i="4"/>
  <c r="N358" i="4"/>
  <c r="P358" i="4" s="1"/>
  <c r="L358" i="4"/>
  <c r="O358" i="4" s="1"/>
  <c r="M437" i="4"/>
  <c r="M430" i="4"/>
  <c r="N430" i="4"/>
  <c r="P430" i="4" s="1"/>
  <c r="Q430" i="4" s="1"/>
  <c r="R430" i="4" s="1"/>
  <c r="M390" i="4"/>
  <c r="N390" i="4"/>
  <c r="P390" i="4" s="1"/>
  <c r="Q390" i="4" s="1"/>
  <c r="R390" i="4" s="1"/>
  <c r="N442" i="4"/>
  <c r="P442" i="4" s="1"/>
  <c r="Q442" i="4" s="1"/>
  <c r="R442" i="4" s="1"/>
  <c r="N433" i="4"/>
  <c r="P433" i="4" s="1"/>
  <c r="Q433" i="4" s="1"/>
  <c r="R433" i="4" s="1"/>
  <c r="M382" i="4"/>
  <c r="N382" i="4"/>
  <c r="P382" i="4" s="1"/>
  <c r="Q382" i="4" s="1"/>
  <c r="R382" i="4" s="1"/>
  <c r="M422" i="4"/>
  <c r="N422" i="4"/>
  <c r="P422" i="4" s="1"/>
  <c r="Q422" i="4" s="1"/>
  <c r="R422" i="4" s="1"/>
  <c r="M374" i="4"/>
  <c r="N374" i="4"/>
  <c r="P374" i="4" s="1"/>
  <c r="Q374" i="4" s="1"/>
  <c r="R374" i="4" s="1"/>
  <c r="M366" i="4"/>
  <c r="N366" i="4"/>
  <c r="P366" i="4" s="1"/>
  <c r="Q366" i="4" s="1"/>
  <c r="R366" i="4" s="1"/>
  <c r="M326" i="4"/>
  <c r="N326" i="4"/>
  <c r="P326" i="4" s="1"/>
  <c r="L326" i="4"/>
  <c r="O326" i="4" s="1"/>
  <c r="M438" i="4"/>
  <c r="N438" i="4"/>
  <c r="P438" i="4" s="1"/>
  <c r="Q438" i="4" s="1"/>
  <c r="R438" i="4" s="1"/>
  <c r="N498" i="4"/>
  <c r="P498" i="4" s="1"/>
  <c r="Q498" i="4" s="1"/>
  <c r="R498" i="4" s="1"/>
  <c r="N490" i="4"/>
  <c r="P490" i="4" s="1"/>
  <c r="Q490" i="4" s="1"/>
  <c r="R490" i="4" s="1"/>
  <c r="N482" i="4"/>
  <c r="P482" i="4" s="1"/>
  <c r="Q482" i="4" s="1"/>
  <c r="R482" i="4" s="1"/>
  <c r="N474" i="4"/>
  <c r="P474" i="4" s="1"/>
  <c r="Q474" i="4" s="1"/>
  <c r="R474" i="4" s="1"/>
  <c r="N466" i="4"/>
  <c r="P466" i="4" s="1"/>
  <c r="Q466" i="4" s="1"/>
  <c r="R466" i="4" s="1"/>
  <c r="N458" i="4"/>
  <c r="P458" i="4" s="1"/>
  <c r="Q458" i="4" s="1"/>
  <c r="R458" i="4" s="1"/>
  <c r="N450" i="4"/>
  <c r="P450" i="4" s="1"/>
  <c r="Q450" i="4" s="1"/>
  <c r="R450" i="4" s="1"/>
  <c r="N431" i="4"/>
  <c r="P431" i="4" s="1"/>
  <c r="Q431" i="4" s="1"/>
  <c r="R431" i="4" s="1"/>
  <c r="N429" i="4"/>
  <c r="P429" i="4" s="1"/>
  <c r="Q429" i="4" s="1"/>
  <c r="R429" i="4" s="1"/>
  <c r="N427" i="4"/>
  <c r="P427" i="4" s="1"/>
  <c r="Q427" i="4" s="1"/>
  <c r="R427" i="4" s="1"/>
  <c r="N425" i="4"/>
  <c r="P425" i="4" s="1"/>
  <c r="Q425" i="4" s="1"/>
  <c r="R425" i="4" s="1"/>
  <c r="L411" i="4"/>
  <c r="O411" i="4" s="1"/>
  <c r="Q411" i="4" s="1"/>
  <c r="R411" i="4" s="1"/>
  <c r="M411" i="4"/>
  <c r="M498" i="4"/>
  <c r="M490" i="4"/>
  <c r="M482" i="4"/>
  <c r="M474" i="4"/>
  <c r="M466" i="4"/>
  <c r="M458" i="4"/>
  <c r="M450" i="4"/>
  <c r="N445" i="4"/>
  <c r="P445" i="4" s="1"/>
  <c r="Q445" i="4" s="1"/>
  <c r="R445" i="4" s="1"/>
  <c r="M431" i="4"/>
  <c r="M429" i="4"/>
  <c r="M427" i="4"/>
  <c r="M425" i="4"/>
  <c r="L406" i="4"/>
  <c r="O406" i="4" s="1"/>
  <c r="N501" i="4"/>
  <c r="P501" i="4" s="1"/>
  <c r="Q501" i="4" s="1"/>
  <c r="R501" i="4" s="1"/>
  <c r="N493" i="4"/>
  <c r="P493" i="4" s="1"/>
  <c r="N485" i="4"/>
  <c r="P485" i="4" s="1"/>
  <c r="N477" i="4"/>
  <c r="P477" i="4" s="1"/>
  <c r="N469" i="4"/>
  <c r="P469" i="4" s="1"/>
  <c r="N461" i="4"/>
  <c r="P461" i="4" s="1"/>
  <c r="N453" i="4"/>
  <c r="P453" i="4" s="1"/>
  <c r="M445" i="4"/>
  <c r="N421" i="4"/>
  <c r="P421" i="4" s="1"/>
  <c r="N401" i="4"/>
  <c r="P401" i="4" s="1"/>
  <c r="M334" i="4"/>
  <c r="N334" i="4"/>
  <c r="P334" i="4" s="1"/>
  <c r="L334" i="4"/>
  <c r="O334" i="4" s="1"/>
  <c r="L419" i="4"/>
  <c r="O419" i="4" s="1"/>
  <c r="Q419" i="4" s="1"/>
  <c r="R419" i="4" s="1"/>
  <c r="M419" i="4"/>
  <c r="Q408" i="4"/>
  <c r="R408" i="4" s="1"/>
  <c r="L300" i="4"/>
  <c r="O300" i="4" s="1"/>
  <c r="N300" i="4"/>
  <c r="P300" i="4" s="1"/>
  <c r="L296" i="4"/>
  <c r="O296" i="4" s="1"/>
  <c r="L294" i="4"/>
  <c r="O294" i="4" s="1"/>
  <c r="L290" i="4"/>
  <c r="O290" i="4" s="1"/>
  <c r="Q290" i="4" s="1"/>
  <c r="R290" i="4" s="1"/>
  <c r="L264" i="4"/>
  <c r="O264" i="4" s="1"/>
  <c r="M264" i="4"/>
  <c r="M377" i="4"/>
  <c r="M369" i="4"/>
  <c r="M361" i="4"/>
  <c r="M353" i="4"/>
  <c r="M345" i="4"/>
  <c r="M337" i="4"/>
  <c r="M329" i="4"/>
  <c r="M319" i="4"/>
  <c r="M314" i="4"/>
  <c r="M307" i="4"/>
  <c r="L288" i="4"/>
  <c r="O288" i="4" s="1"/>
  <c r="M288" i="4"/>
  <c r="L276" i="4"/>
  <c r="O276" i="4" s="1"/>
  <c r="M276" i="4"/>
  <c r="N276" i="4"/>
  <c r="P276" i="4" s="1"/>
  <c r="L271" i="4"/>
  <c r="O271" i="4" s="1"/>
  <c r="M271" i="4"/>
  <c r="N271" i="4"/>
  <c r="P271" i="4" s="1"/>
  <c r="L256" i="4"/>
  <c r="O256" i="4" s="1"/>
  <c r="M256" i="4"/>
  <c r="M324" i="4"/>
  <c r="N305" i="4"/>
  <c r="P305" i="4" s="1"/>
  <c r="Q305" i="4" s="1"/>
  <c r="R305" i="4" s="1"/>
  <c r="L292" i="4"/>
  <c r="O292" i="4" s="1"/>
  <c r="N292" i="4"/>
  <c r="P292" i="4" s="1"/>
  <c r="L263" i="4"/>
  <c r="O263" i="4" s="1"/>
  <c r="M263" i="4"/>
  <c r="N263" i="4"/>
  <c r="P263" i="4" s="1"/>
  <c r="L255" i="4"/>
  <c r="O255" i="4" s="1"/>
  <c r="M255" i="4"/>
  <c r="N255" i="4"/>
  <c r="P255" i="4" s="1"/>
  <c r="L244" i="4"/>
  <c r="O244" i="4" s="1"/>
  <c r="M244" i="4"/>
  <c r="N244" i="4"/>
  <c r="P244" i="4" s="1"/>
  <c r="Q142" i="4"/>
  <c r="R142" i="4" s="1"/>
  <c r="L268" i="4"/>
  <c r="O268" i="4" s="1"/>
  <c r="M268" i="4"/>
  <c r="N268" i="4"/>
  <c r="P268" i="4" s="1"/>
  <c r="L303" i="4"/>
  <c r="O303" i="4" s="1"/>
  <c r="N303" i="4"/>
  <c r="P303" i="4" s="1"/>
  <c r="L287" i="4"/>
  <c r="O287" i="4" s="1"/>
  <c r="N287" i="4"/>
  <c r="P287" i="4" s="1"/>
  <c r="L252" i="4"/>
  <c r="O252" i="4" s="1"/>
  <c r="M252" i="4"/>
  <c r="N252" i="4"/>
  <c r="P252" i="4" s="1"/>
  <c r="Q237" i="4"/>
  <c r="R237" i="4" s="1"/>
  <c r="Q205" i="4"/>
  <c r="R205" i="4" s="1"/>
  <c r="N320" i="4"/>
  <c r="P320" i="4" s="1"/>
  <c r="Q320" i="4" s="1"/>
  <c r="R320" i="4" s="1"/>
  <c r="N315" i="4"/>
  <c r="P315" i="4" s="1"/>
  <c r="Q315" i="4" s="1"/>
  <c r="R315" i="4" s="1"/>
  <c r="M308" i="4"/>
  <c r="M297" i="4"/>
  <c r="L260" i="4"/>
  <c r="O260" i="4" s="1"/>
  <c r="M260" i="4"/>
  <c r="N260" i="4"/>
  <c r="P260" i="4" s="1"/>
  <c r="Q145" i="4"/>
  <c r="R145" i="4" s="1"/>
  <c r="M320" i="4"/>
  <c r="M315" i="4"/>
  <c r="L280" i="4"/>
  <c r="O280" i="4" s="1"/>
  <c r="Q280" i="4" s="1"/>
  <c r="R280" i="4" s="1"/>
  <c r="M280" i="4"/>
  <c r="M413" i="4"/>
  <c r="M405" i="4"/>
  <c r="M397" i="4"/>
  <c r="M389" i="4"/>
  <c r="M381" i="4"/>
  <c r="M373" i="4"/>
  <c r="M365" i="4"/>
  <c r="M357" i="4"/>
  <c r="M349" i="4"/>
  <c r="M341" i="4"/>
  <c r="M333" i="4"/>
  <c r="M325" i="4"/>
  <c r="M306" i="4"/>
  <c r="L295" i="4"/>
  <c r="O295" i="4" s="1"/>
  <c r="N295" i="4"/>
  <c r="P295" i="4" s="1"/>
  <c r="N313" i="4"/>
  <c r="P313" i="4" s="1"/>
  <c r="Q313" i="4" s="1"/>
  <c r="R313" i="4" s="1"/>
  <c r="L306" i="4"/>
  <c r="O306" i="4" s="1"/>
  <c r="Q306" i="4" s="1"/>
  <c r="R306" i="4" s="1"/>
  <c r="L289" i="4"/>
  <c r="O289" i="4" s="1"/>
  <c r="Q289" i="4" s="1"/>
  <c r="R289" i="4" s="1"/>
  <c r="M289" i="4"/>
  <c r="N323" i="4"/>
  <c r="P323" i="4" s="1"/>
  <c r="Q323" i="4" s="1"/>
  <c r="R323" i="4" s="1"/>
  <c r="N302" i="4"/>
  <c r="P302" i="4" s="1"/>
  <c r="Q302" i="4" s="1"/>
  <c r="R302" i="4" s="1"/>
  <c r="N269" i="4"/>
  <c r="P269" i="4" s="1"/>
  <c r="Q269" i="4" s="1"/>
  <c r="R269" i="4" s="1"/>
  <c r="M323" i="4"/>
  <c r="M302" i="4"/>
  <c r="L284" i="4"/>
  <c r="O284" i="4" s="1"/>
  <c r="M284" i="4"/>
  <c r="N284" i="4"/>
  <c r="P284" i="4" s="1"/>
  <c r="L279" i="4"/>
  <c r="O279" i="4" s="1"/>
  <c r="M279" i="4"/>
  <c r="N279" i="4"/>
  <c r="P279" i="4" s="1"/>
  <c r="M269" i="4"/>
  <c r="M403" i="4"/>
  <c r="M395" i="4"/>
  <c r="M387" i="4"/>
  <c r="M379" i="4"/>
  <c r="M371" i="4"/>
  <c r="M363" i="4"/>
  <c r="M355" i="4"/>
  <c r="M347" i="4"/>
  <c r="M339" i="4"/>
  <c r="M331" i="4"/>
  <c r="M300" i="4"/>
  <c r="M298" i="4"/>
  <c r="L272" i="4"/>
  <c r="O272" i="4" s="1"/>
  <c r="Q272" i="4" s="1"/>
  <c r="R272" i="4" s="1"/>
  <c r="M272" i="4"/>
  <c r="N264" i="4"/>
  <c r="P264" i="4" s="1"/>
  <c r="Q226" i="4"/>
  <c r="R226" i="4" s="1"/>
  <c r="N321" i="4"/>
  <c r="P321" i="4" s="1"/>
  <c r="Q321" i="4" s="1"/>
  <c r="R321" i="4" s="1"/>
  <c r="M316" i="4"/>
  <c r="M309" i="4"/>
  <c r="L298" i="4"/>
  <c r="O298" i="4" s="1"/>
  <c r="Q298" i="4" s="1"/>
  <c r="R298" i="4" s="1"/>
  <c r="N296" i="4"/>
  <c r="P296" i="4" s="1"/>
  <c r="N294" i="4"/>
  <c r="P294" i="4" s="1"/>
  <c r="N288" i="4"/>
  <c r="P288" i="4" s="1"/>
  <c r="N261" i="4"/>
  <c r="P261" i="4" s="1"/>
  <c r="Q261" i="4" s="1"/>
  <c r="R261" i="4" s="1"/>
  <c r="N256" i="4"/>
  <c r="P256" i="4" s="1"/>
  <c r="M321" i="4"/>
  <c r="L316" i="4"/>
  <c r="O316" i="4" s="1"/>
  <c r="Q316" i="4" s="1"/>
  <c r="R316" i="4" s="1"/>
  <c r="M292" i="4"/>
  <c r="M290" i="4"/>
  <c r="L157" i="4"/>
  <c r="O157" i="4" s="1"/>
  <c r="M157" i="4"/>
  <c r="N157" i="4"/>
  <c r="P157" i="4" s="1"/>
  <c r="M120" i="4"/>
  <c r="N120" i="4"/>
  <c r="P120" i="4" s="1"/>
  <c r="M176" i="4"/>
  <c r="N176" i="4"/>
  <c r="P176" i="4" s="1"/>
  <c r="Q139" i="4"/>
  <c r="R139" i="4" s="1"/>
  <c r="Q166" i="4"/>
  <c r="R166" i="4" s="1"/>
  <c r="M152" i="4"/>
  <c r="N152" i="4"/>
  <c r="P152" i="4" s="1"/>
  <c r="L125" i="4"/>
  <c r="O125" i="4" s="1"/>
  <c r="M125" i="4"/>
  <c r="N125" i="4"/>
  <c r="P125" i="4" s="1"/>
  <c r="M128" i="4"/>
  <c r="N128" i="4"/>
  <c r="P128" i="4" s="1"/>
  <c r="Q128" i="4" s="1"/>
  <c r="R128" i="4" s="1"/>
  <c r="Q43" i="4"/>
  <c r="R43" i="4" s="1"/>
  <c r="M248" i="4"/>
  <c r="M240" i="4"/>
  <c r="M232" i="4"/>
  <c r="M224" i="4"/>
  <c r="M216" i="4"/>
  <c r="M208" i="4"/>
  <c r="M200" i="4"/>
  <c r="M192" i="4"/>
  <c r="M184" i="4"/>
  <c r="L164" i="4"/>
  <c r="O164" i="4" s="1"/>
  <c r="Q164" i="4" s="1"/>
  <c r="R164" i="4" s="1"/>
  <c r="M164" i="4"/>
  <c r="L149" i="4"/>
  <c r="O149" i="4" s="1"/>
  <c r="M149" i="4"/>
  <c r="N149" i="4"/>
  <c r="P149" i="4" s="1"/>
  <c r="Q94" i="4"/>
  <c r="R94" i="4" s="1"/>
  <c r="M144" i="4"/>
  <c r="N144" i="4"/>
  <c r="P144" i="4" s="1"/>
  <c r="Q144" i="4" s="1"/>
  <c r="R144" i="4" s="1"/>
  <c r="L133" i="4"/>
  <c r="O133" i="4" s="1"/>
  <c r="M133" i="4"/>
  <c r="N133" i="4"/>
  <c r="P133" i="4" s="1"/>
  <c r="L173" i="4"/>
  <c r="O173" i="4" s="1"/>
  <c r="N173" i="4"/>
  <c r="P173" i="4" s="1"/>
  <c r="L141" i="4"/>
  <c r="O141" i="4" s="1"/>
  <c r="M141" i="4"/>
  <c r="N141" i="4"/>
  <c r="P141" i="4" s="1"/>
  <c r="M136" i="4"/>
  <c r="N136" i="4"/>
  <c r="P136" i="4" s="1"/>
  <c r="Q136" i="4" s="1"/>
  <c r="R136" i="4" s="1"/>
  <c r="L175" i="4"/>
  <c r="O175" i="4" s="1"/>
  <c r="N175" i="4"/>
  <c r="P175" i="4" s="1"/>
  <c r="L156" i="4"/>
  <c r="O156" i="4" s="1"/>
  <c r="Q156" i="4" s="1"/>
  <c r="R156" i="4" s="1"/>
  <c r="M156" i="4"/>
  <c r="Q78" i="4"/>
  <c r="R78" i="4" s="1"/>
  <c r="Q54" i="4"/>
  <c r="R54" i="4" s="1"/>
  <c r="Q75" i="4"/>
  <c r="R75" i="4" s="1"/>
  <c r="M281" i="4"/>
  <c r="M273" i="4"/>
  <c r="M265" i="4"/>
  <c r="M257" i="4"/>
  <c r="M249" i="4"/>
  <c r="M241" i="4"/>
  <c r="M233" i="4"/>
  <c r="M225" i="4"/>
  <c r="M217" i="4"/>
  <c r="M209" i="4"/>
  <c r="M201" i="4"/>
  <c r="M193" i="4"/>
  <c r="M185" i="4"/>
  <c r="M168" i="4"/>
  <c r="N168" i="4"/>
  <c r="P168" i="4" s="1"/>
  <c r="Q168" i="4" s="1"/>
  <c r="R168" i="4" s="1"/>
  <c r="M155" i="4"/>
  <c r="N236" i="4"/>
  <c r="P236" i="4" s="1"/>
  <c r="Q236" i="4" s="1"/>
  <c r="R236" i="4" s="1"/>
  <c r="N228" i="4"/>
  <c r="P228" i="4" s="1"/>
  <c r="Q228" i="4" s="1"/>
  <c r="R228" i="4" s="1"/>
  <c r="N220" i="4"/>
  <c r="P220" i="4" s="1"/>
  <c r="Q220" i="4" s="1"/>
  <c r="R220" i="4" s="1"/>
  <c r="N212" i="4"/>
  <c r="P212" i="4" s="1"/>
  <c r="Q212" i="4" s="1"/>
  <c r="R212" i="4" s="1"/>
  <c r="N204" i="4"/>
  <c r="P204" i="4" s="1"/>
  <c r="Q204" i="4" s="1"/>
  <c r="R204" i="4" s="1"/>
  <c r="N196" i="4"/>
  <c r="P196" i="4" s="1"/>
  <c r="Q196" i="4" s="1"/>
  <c r="R196" i="4" s="1"/>
  <c r="N188" i="4"/>
  <c r="P188" i="4" s="1"/>
  <c r="Q188" i="4" s="1"/>
  <c r="R188" i="4" s="1"/>
  <c r="N180" i="4"/>
  <c r="P180" i="4" s="1"/>
  <c r="Q180" i="4" s="1"/>
  <c r="R180" i="4" s="1"/>
  <c r="M236" i="4"/>
  <c r="M228" i="4"/>
  <c r="M220" i="4"/>
  <c r="M212" i="4"/>
  <c r="M204" i="4"/>
  <c r="M196" i="4"/>
  <c r="M188" i="4"/>
  <c r="M180" i="4"/>
  <c r="L165" i="4"/>
  <c r="O165" i="4" s="1"/>
  <c r="M165" i="4"/>
  <c r="N165" i="4"/>
  <c r="P165" i="4" s="1"/>
  <c r="L148" i="4"/>
  <c r="O148" i="4" s="1"/>
  <c r="Q148" i="4" s="1"/>
  <c r="R148" i="4" s="1"/>
  <c r="M148" i="4"/>
  <c r="Q134" i="4"/>
  <c r="R134" i="4" s="1"/>
  <c r="N247" i="4"/>
  <c r="P247" i="4" s="1"/>
  <c r="Q247" i="4" s="1"/>
  <c r="R247" i="4" s="1"/>
  <c r="N239" i="4"/>
  <c r="P239" i="4" s="1"/>
  <c r="Q239" i="4" s="1"/>
  <c r="R239" i="4" s="1"/>
  <c r="N231" i="4"/>
  <c r="P231" i="4" s="1"/>
  <c r="Q231" i="4" s="1"/>
  <c r="R231" i="4" s="1"/>
  <c r="N223" i="4"/>
  <c r="P223" i="4" s="1"/>
  <c r="Q223" i="4" s="1"/>
  <c r="R223" i="4" s="1"/>
  <c r="N215" i="4"/>
  <c r="P215" i="4" s="1"/>
  <c r="Q215" i="4" s="1"/>
  <c r="R215" i="4" s="1"/>
  <c r="N207" i="4"/>
  <c r="P207" i="4" s="1"/>
  <c r="Q207" i="4" s="1"/>
  <c r="R207" i="4" s="1"/>
  <c r="N199" i="4"/>
  <c r="P199" i="4" s="1"/>
  <c r="Q199" i="4" s="1"/>
  <c r="R199" i="4" s="1"/>
  <c r="N191" i="4"/>
  <c r="P191" i="4" s="1"/>
  <c r="Q191" i="4" s="1"/>
  <c r="R191" i="4" s="1"/>
  <c r="N183" i="4"/>
  <c r="P183" i="4" s="1"/>
  <c r="Q183" i="4" s="1"/>
  <c r="R183" i="4" s="1"/>
  <c r="N147" i="4"/>
  <c r="P147" i="4" s="1"/>
  <c r="Q147" i="4" s="1"/>
  <c r="R147" i="4" s="1"/>
  <c r="N131" i="4"/>
  <c r="P131" i="4" s="1"/>
  <c r="Q131" i="4" s="1"/>
  <c r="R131" i="4" s="1"/>
  <c r="L120" i="4"/>
  <c r="O120" i="4" s="1"/>
  <c r="Q99" i="4"/>
  <c r="R99" i="4" s="1"/>
  <c r="M247" i="4"/>
  <c r="M239" i="4"/>
  <c r="M231" i="4"/>
  <c r="M223" i="4"/>
  <c r="M215" i="4"/>
  <c r="M207" i="4"/>
  <c r="M199" i="4"/>
  <c r="M191" i="4"/>
  <c r="M183" i="4"/>
  <c r="L176" i="4"/>
  <c r="O176" i="4" s="1"/>
  <c r="L172" i="4"/>
  <c r="O172" i="4" s="1"/>
  <c r="Q172" i="4" s="1"/>
  <c r="R172" i="4" s="1"/>
  <c r="M172" i="4"/>
  <c r="M160" i="4"/>
  <c r="N160" i="4"/>
  <c r="P160" i="4" s="1"/>
  <c r="Q160" i="4" s="1"/>
  <c r="R160" i="4" s="1"/>
  <c r="M147" i="4"/>
  <c r="M131" i="4"/>
  <c r="L117" i="4"/>
  <c r="O117" i="4" s="1"/>
  <c r="M117" i="4"/>
  <c r="N117" i="4"/>
  <c r="P117" i="4" s="1"/>
  <c r="L152" i="4"/>
  <c r="O152" i="4" s="1"/>
  <c r="N9" i="4"/>
  <c r="P9" i="4" s="1"/>
  <c r="Q9" i="4" s="1"/>
  <c r="R9" i="4" s="1"/>
  <c r="M140" i="4"/>
  <c r="M132" i="4"/>
  <c r="M124" i="4"/>
  <c r="M116" i="4"/>
  <c r="M108" i="4"/>
  <c r="M100" i="4"/>
  <c r="M92" i="4"/>
  <c r="M84" i="4"/>
  <c r="M76" i="4"/>
  <c r="M68" i="4"/>
  <c r="M60" i="4"/>
  <c r="M52" i="4"/>
  <c r="M44" i="4"/>
  <c r="M36" i="4"/>
  <c r="M27" i="4"/>
  <c r="M18" i="4"/>
  <c r="M9" i="4"/>
  <c r="N167" i="4"/>
  <c r="P167" i="4" s="1"/>
  <c r="Q167" i="4" s="1"/>
  <c r="R167" i="4" s="1"/>
  <c r="N159" i="4"/>
  <c r="P159" i="4" s="1"/>
  <c r="Q159" i="4" s="1"/>
  <c r="R159" i="4" s="1"/>
  <c r="N151" i="4"/>
  <c r="P151" i="4" s="1"/>
  <c r="Q151" i="4" s="1"/>
  <c r="R151" i="4" s="1"/>
  <c r="N143" i="4"/>
  <c r="P143" i="4" s="1"/>
  <c r="Q143" i="4" s="1"/>
  <c r="R143" i="4" s="1"/>
  <c r="N135" i="4"/>
  <c r="P135" i="4" s="1"/>
  <c r="Q135" i="4" s="1"/>
  <c r="R135" i="4" s="1"/>
  <c r="N127" i="4"/>
  <c r="P127" i="4" s="1"/>
  <c r="Q127" i="4" s="1"/>
  <c r="R127" i="4" s="1"/>
  <c r="N119" i="4"/>
  <c r="P119" i="4" s="1"/>
  <c r="Q119" i="4" s="1"/>
  <c r="R119" i="4" s="1"/>
  <c r="N111" i="4"/>
  <c r="P111" i="4" s="1"/>
  <c r="Q111" i="4" s="1"/>
  <c r="R111" i="4" s="1"/>
  <c r="N103" i="4"/>
  <c r="P103" i="4" s="1"/>
  <c r="Q103" i="4" s="1"/>
  <c r="R103" i="4" s="1"/>
  <c r="N95" i="4"/>
  <c r="P95" i="4" s="1"/>
  <c r="Q95" i="4" s="1"/>
  <c r="R95" i="4" s="1"/>
  <c r="N87" i="4"/>
  <c r="P87" i="4" s="1"/>
  <c r="Q87" i="4" s="1"/>
  <c r="R87" i="4" s="1"/>
  <c r="N79" i="4"/>
  <c r="P79" i="4" s="1"/>
  <c r="Q79" i="4" s="1"/>
  <c r="R79" i="4" s="1"/>
  <c r="N71" i="4"/>
  <c r="P71" i="4" s="1"/>
  <c r="Q71" i="4" s="1"/>
  <c r="R71" i="4" s="1"/>
  <c r="N63" i="4"/>
  <c r="P63" i="4" s="1"/>
  <c r="Q63" i="4" s="1"/>
  <c r="R63" i="4" s="1"/>
  <c r="N55" i="4"/>
  <c r="P55" i="4" s="1"/>
  <c r="Q55" i="4" s="1"/>
  <c r="R55" i="4" s="1"/>
  <c r="N47" i="4"/>
  <c r="P47" i="4" s="1"/>
  <c r="Q47" i="4" s="1"/>
  <c r="R47" i="4" s="1"/>
  <c r="N39" i="4"/>
  <c r="P39" i="4" s="1"/>
  <c r="Q39" i="4" s="1"/>
  <c r="R39" i="4" s="1"/>
  <c r="N30" i="4"/>
  <c r="P30" i="4" s="1"/>
  <c r="Q30" i="4" s="1"/>
  <c r="R30" i="4" s="1"/>
  <c r="N21" i="4"/>
  <c r="P21" i="4" s="1"/>
  <c r="Q21" i="4" s="1"/>
  <c r="R21" i="4" s="1"/>
  <c r="N13" i="4"/>
  <c r="P13" i="4" s="1"/>
  <c r="Q13" i="4" s="1"/>
  <c r="R13" i="4" s="1"/>
  <c r="M167" i="4"/>
  <c r="M159" i="4"/>
  <c r="M151" i="4"/>
  <c r="M143" i="4"/>
  <c r="M135" i="4"/>
  <c r="M127" i="4"/>
  <c r="M119" i="4"/>
  <c r="M111" i="4"/>
  <c r="M103" i="4"/>
  <c r="M95" i="4"/>
  <c r="M87" i="4"/>
  <c r="M79" i="4"/>
  <c r="M71" i="4"/>
  <c r="M63" i="4"/>
  <c r="M55" i="4"/>
  <c r="M47" i="4"/>
  <c r="M39" i="4"/>
  <c r="M30" i="4"/>
  <c r="M21" i="4"/>
  <c r="M13" i="4"/>
  <c r="N178" i="4"/>
  <c r="P178" i="4" s="1"/>
  <c r="N170" i="4"/>
  <c r="P170" i="4" s="1"/>
  <c r="Q170" i="4" s="1"/>
  <c r="R170" i="4" s="1"/>
  <c r="N162" i="4"/>
  <c r="P162" i="4" s="1"/>
  <c r="Q162" i="4" s="1"/>
  <c r="R162" i="4" s="1"/>
  <c r="N154" i="4"/>
  <c r="P154" i="4" s="1"/>
  <c r="N146" i="4"/>
  <c r="P146" i="4" s="1"/>
  <c r="Q146" i="4" s="1"/>
  <c r="R146" i="4" s="1"/>
  <c r="N138" i="4"/>
  <c r="P138" i="4" s="1"/>
  <c r="N130" i="4"/>
  <c r="P130" i="4" s="1"/>
  <c r="Q130" i="4" s="1"/>
  <c r="R130" i="4" s="1"/>
  <c r="N122" i="4"/>
  <c r="P122" i="4" s="1"/>
  <c r="Q122" i="4" s="1"/>
  <c r="R122" i="4" s="1"/>
  <c r="N114" i="4"/>
  <c r="P114" i="4" s="1"/>
  <c r="Q114" i="4" s="1"/>
  <c r="R114" i="4" s="1"/>
  <c r="N106" i="4"/>
  <c r="P106" i="4" s="1"/>
  <c r="Q106" i="4" s="1"/>
  <c r="R106" i="4" s="1"/>
  <c r="N98" i="4"/>
  <c r="P98" i="4" s="1"/>
  <c r="N90" i="4"/>
  <c r="P90" i="4" s="1"/>
  <c r="Q90" i="4" s="1"/>
  <c r="R90" i="4" s="1"/>
  <c r="N82" i="4"/>
  <c r="P82" i="4" s="1"/>
  <c r="Q82" i="4" s="1"/>
  <c r="R82" i="4" s="1"/>
  <c r="N74" i="4"/>
  <c r="P74" i="4" s="1"/>
  <c r="N66" i="4"/>
  <c r="P66" i="4" s="1"/>
  <c r="Q66" i="4" s="1"/>
  <c r="R66" i="4" s="1"/>
  <c r="N58" i="4"/>
  <c r="P58" i="4" s="1"/>
  <c r="Q58" i="4" s="1"/>
  <c r="R58" i="4" s="1"/>
  <c r="N50" i="4"/>
  <c r="P50" i="4" s="1"/>
  <c r="Q50" i="4" s="1"/>
  <c r="R50" i="4" s="1"/>
  <c r="N42" i="4"/>
  <c r="P42" i="4" s="1"/>
  <c r="Q42" i="4" s="1"/>
  <c r="R42" i="4" s="1"/>
  <c r="N34" i="4"/>
  <c r="P34" i="4" s="1"/>
  <c r="Q34" i="4" s="1"/>
  <c r="R34" i="4" s="1"/>
  <c r="N25" i="4"/>
  <c r="P25" i="4" s="1"/>
  <c r="Q25" i="4" s="1"/>
  <c r="R25" i="4" s="1"/>
  <c r="N16" i="4"/>
  <c r="P16" i="4" s="1"/>
  <c r="Q16" i="4" s="1"/>
  <c r="R16" i="4" s="1"/>
  <c r="N4" i="4"/>
  <c r="P4" i="4" s="1"/>
  <c r="Q4" i="4" s="1"/>
  <c r="R4" i="4" s="1"/>
  <c r="M58" i="4"/>
  <c r="M50" i="4"/>
  <c r="M42" i="4"/>
  <c r="M34" i="4"/>
  <c r="M25" i="4"/>
  <c r="M16" i="4"/>
  <c r="M4" i="4"/>
  <c r="N109" i="4"/>
  <c r="P109" i="4" s="1"/>
  <c r="Q109" i="4" s="1"/>
  <c r="R109" i="4" s="1"/>
  <c r="N101" i="4"/>
  <c r="P101" i="4" s="1"/>
  <c r="Q101" i="4" s="1"/>
  <c r="R101" i="4" s="1"/>
  <c r="N93" i="4"/>
  <c r="P93" i="4" s="1"/>
  <c r="Q93" i="4" s="1"/>
  <c r="R93" i="4" s="1"/>
  <c r="N85" i="4"/>
  <c r="P85" i="4" s="1"/>
  <c r="Q85" i="4" s="1"/>
  <c r="R85" i="4" s="1"/>
  <c r="N77" i="4"/>
  <c r="P77" i="4" s="1"/>
  <c r="Q77" i="4" s="1"/>
  <c r="R77" i="4" s="1"/>
  <c r="N69" i="4"/>
  <c r="P69" i="4" s="1"/>
  <c r="Q69" i="4" s="1"/>
  <c r="R69" i="4" s="1"/>
  <c r="N61" i="4"/>
  <c r="P61" i="4" s="1"/>
  <c r="Q61" i="4" s="1"/>
  <c r="R61" i="4" s="1"/>
  <c r="N53" i="4"/>
  <c r="P53" i="4" s="1"/>
  <c r="Q53" i="4" s="1"/>
  <c r="R53" i="4" s="1"/>
  <c r="N45" i="4"/>
  <c r="P45" i="4" s="1"/>
  <c r="Q45" i="4" s="1"/>
  <c r="R45" i="4" s="1"/>
  <c r="N37" i="4"/>
  <c r="P37" i="4" s="1"/>
  <c r="Q37" i="4" s="1"/>
  <c r="R37" i="4" s="1"/>
  <c r="N28" i="4"/>
  <c r="P28" i="4" s="1"/>
  <c r="Q28" i="4" s="1"/>
  <c r="R28" i="4" s="1"/>
  <c r="N19" i="4"/>
  <c r="P19" i="4" s="1"/>
  <c r="Q19" i="4" s="1"/>
  <c r="R19" i="4" s="1"/>
  <c r="N11" i="4"/>
  <c r="P11" i="4" s="1"/>
  <c r="Q11" i="4" s="1"/>
  <c r="R11" i="4" s="1"/>
  <c r="M109" i="4"/>
  <c r="M101" i="4"/>
  <c r="M93" i="4"/>
  <c r="M85" i="4"/>
  <c r="M77" i="4"/>
  <c r="M69" i="4"/>
  <c r="M61" i="4"/>
  <c r="M53" i="4"/>
  <c r="M45" i="4"/>
  <c r="M37" i="4"/>
  <c r="M28" i="4"/>
  <c r="M19" i="4"/>
  <c r="M11" i="4"/>
  <c r="N112" i="4"/>
  <c r="P112" i="4" s="1"/>
  <c r="Q112" i="4" s="1"/>
  <c r="R112" i="4" s="1"/>
  <c r="N104" i="4"/>
  <c r="P104" i="4" s="1"/>
  <c r="Q104" i="4" s="1"/>
  <c r="R104" i="4" s="1"/>
  <c r="N96" i="4"/>
  <c r="P96" i="4" s="1"/>
  <c r="N88" i="4"/>
  <c r="P88" i="4" s="1"/>
  <c r="Q88" i="4" s="1"/>
  <c r="R88" i="4" s="1"/>
  <c r="N80" i="4"/>
  <c r="P80" i="4" s="1"/>
  <c r="Q80" i="4" s="1"/>
  <c r="R80" i="4" s="1"/>
  <c r="N72" i="4"/>
  <c r="P72" i="4" s="1"/>
  <c r="Q72" i="4" s="1"/>
  <c r="R72" i="4" s="1"/>
  <c r="N64" i="4"/>
  <c r="P64" i="4" s="1"/>
  <c r="N56" i="4"/>
  <c r="P56" i="4" s="1"/>
  <c r="N48" i="4"/>
  <c r="P48" i="4" s="1"/>
  <c r="Q48" i="4" s="1"/>
  <c r="R48" i="4" s="1"/>
  <c r="N40" i="4"/>
  <c r="P40" i="4" s="1"/>
  <c r="N32" i="4"/>
  <c r="P32" i="4" s="1"/>
  <c r="Q32" i="4" s="1"/>
  <c r="R32" i="4" s="1"/>
  <c r="N23" i="4"/>
  <c r="P23" i="4" s="1"/>
  <c r="Q23" i="4" s="1"/>
  <c r="R23" i="4" s="1"/>
  <c r="N14" i="4"/>
  <c r="P14" i="4" s="1"/>
  <c r="Q14" i="4" s="1"/>
  <c r="R14" i="4" s="1"/>
  <c r="L31" i="4"/>
  <c r="O31" i="4" s="1"/>
  <c r="L5" i="4"/>
  <c r="O5" i="4" s="1"/>
  <c r="L7" i="4"/>
  <c r="O7" i="4" s="1"/>
  <c r="L10" i="4"/>
  <c r="O10" i="4" s="1"/>
  <c r="L6" i="4"/>
  <c r="O6" i="4" s="1"/>
  <c r="L22" i="4"/>
  <c r="O22" i="4" s="1"/>
  <c r="N31" i="4"/>
  <c r="P31" i="4" s="1"/>
  <c r="N10" i="4"/>
  <c r="P10" i="4" s="1"/>
  <c r="N7" i="4"/>
  <c r="P7" i="4" s="1"/>
  <c r="N22" i="4"/>
  <c r="P22" i="4" s="1"/>
  <c r="N6" i="4"/>
  <c r="P6" i="4" s="1"/>
  <c r="N5" i="4"/>
  <c r="P5" i="4" s="1"/>
  <c r="N3" i="4"/>
  <c r="P3" i="4" s="1"/>
  <c r="Q3" i="4" s="1"/>
  <c r="R3" i="4" s="1"/>
  <c r="N2" i="4"/>
  <c r="P2" i="4" s="1"/>
  <c r="Q2" i="4" s="1"/>
  <c r="R2" i="4" s="1"/>
  <c r="M3" i="4"/>
  <c r="M2" i="4"/>
  <c r="Q412" i="4" l="1"/>
  <c r="R412" i="4" s="1"/>
  <c r="Q447" i="4"/>
  <c r="R447" i="4" s="1"/>
  <c r="Q275" i="4"/>
  <c r="R275" i="4" s="1"/>
  <c r="Q235" i="4"/>
  <c r="R235" i="4" s="1"/>
  <c r="Q397" i="4"/>
  <c r="R397" i="4" s="1"/>
  <c r="Q249" i="4"/>
  <c r="R249" i="4" s="1"/>
  <c r="Q259" i="4"/>
  <c r="R259" i="4" s="1"/>
  <c r="Q107" i="4"/>
  <c r="R107" i="4" s="1"/>
  <c r="Q210" i="4"/>
  <c r="R210" i="4" s="1"/>
  <c r="Q333" i="4"/>
  <c r="R333" i="4" s="1"/>
  <c r="Q238" i="4"/>
  <c r="R238" i="4" s="1"/>
  <c r="Q137" i="4"/>
  <c r="R137" i="4" s="1"/>
  <c r="Q40" i="4"/>
  <c r="R40" i="4" s="1"/>
  <c r="Q64" i="4"/>
  <c r="R64" i="4" s="1"/>
  <c r="Q291" i="4"/>
  <c r="R291" i="4" s="1"/>
  <c r="Q227" i="4"/>
  <c r="R227" i="4" s="1"/>
  <c r="Q423" i="4"/>
  <c r="R423" i="4" s="1"/>
  <c r="Q369" i="4"/>
  <c r="R369" i="4" s="1"/>
  <c r="Q177" i="4"/>
  <c r="R177" i="4" s="1"/>
  <c r="Q189" i="4"/>
  <c r="R189" i="4" s="1"/>
  <c r="Q449" i="4"/>
  <c r="R449" i="4" s="1"/>
  <c r="Q460" i="4"/>
  <c r="R460" i="4" s="1"/>
  <c r="Q344" i="4"/>
  <c r="R344" i="4" s="1"/>
  <c r="Q17" i="4"/>
  <c r="R17" i="4" s="1"/>
  <c r="Q138" i="4"/>
  <c r="R138" i="4" s="1"/>
  <c r="Q154" i="4"/>
  <c r="R154" i="4" s="1"/>
  <c r="Q394" i="4"/>
  <c r="R394" i="4" s="1"/>
  <c r="Q56" i="4"/>
  <c r="R56" i="4" s="1"/>
  <c r="Q108" i="4"/>
  <c r="R108" i="4" s="1"/>
  <c r="Q308" i="4"/>
  <c r="R308" i="4" s="1"/>
  <c r="Q329" i="4"/>
  <c r="R329" i="4" s="1"/>
  <c r="Q375" i="4"/>
  <c r="R375" i="4" s="1"/>
  <c r="Q194" i="4"/>
  <c r="R194" i="4" s="1"/>
  <c r="Q46" i="4"/>
  <c r="R46" i="4" s="1"/>
  <c r="Q454" i="4"/>
  <c r="R454" i="4" s="1"/>
  <c r="Q486" i="4"/>
  <c r="R486" i="4" s="1"/>
  <c r="Q468" i="4"/>
  <c r="R468" i="4" s="1"/>
  <c r="Q70" i="4"/>
  <c r="R70" i="4" s="1"/>
  <c r="Q494" i="4"/>
  <c r="R494" i="4" s="1"/>
  <c r="Q479" i="4"/>
  <c r="R479" i="4" s="1"/>
  <c r="Q372" i="4"/>
  <c r="R372" i="4" s="1"/>
  <c r="Q176" i="4"/>
  <c r="R176" i="4" s="1"/>
  <c r="Q116" i="4"/>
  <c r="R116" i="4" s="1"/>
  <c r="Q192" i="4"/>
  <c r="R192" i="4" s="1"/>
  <c r="Q383" i="4"/>
  <c r="R383" i="4" s="1"/>
  <c r="Q339" i="4"/>
  <c r="R339" i="4" s="1"/>
  <c r="Q328" i="4"/>
  <c r="R328" i="4" s="1"/>
  <c r="Q304" i="4"/>
  <c r="R304" i="4" s="1"/>
  <c r="Q322" i="4"/>
  <c r="R322" i="4" s="1"/>
  <c r="Q428" i="4"/>
  <c r="R428" i="4" s="1"/>
  <c r="Q350" i="4"/>
  <c r="R350" i="4" s="1"/>
  <c r="Q282" i="4"/>
  <c r="R282" i="4" s="1"/>
  <c r="Q181" i="4"/>
  <c r="R181" i="4" s="1"/>
  <c r="Q158" i="4"/>
  <c r="R158" i="4" s="1"/>
  <c r="Q67" i="4"/>
  <c r="R67" i="4" s="1"/>
  <c r="Q286" i="4"/>
  <c r="R286" i="4" s="1"/>
  <c r="Q399" i="4"/>
  <c r="R399" i="4" s="1"/>
  <c r="Q418" i="4"/>
  <c r="R418" i="4" s="1"/>
  <c r="Q406" i="4"/>
  <c r="R406" i="4" s="1"/>
  <c r="Q307" i="4"/>
  <c r="R307" i="4" s="1"/>
  <c r="Q377" i="4"/>
  <c r="R377" i="4" s="1"/>
  <c r="Q120" i="4"/>
  <c r="R120" i="4" s="1"/>
  <c r="Q330" i="4"/>
  <c r="R330" i="4" s="1"/>
  <c r="Q478" i="4"/>
  <c r="R478" i="4" s="1"/>
  <c r="Q202" i="4"/>
  <c r="R202" i="4" s="1"/>
  <c r="Q7" i="4"/>
  <c r="R7" i="4" s="1"/>
  <c r="Q334" i="4"/>
  <c r="R334" i="4" s="1"/>
  <c r="Q10" i="4"/>
  <c r="R10" i="4" s="1"/>
  <c r="Q440" i="4"/>
  <c r="R440" i="4" s="1"/>
  <c r="Q267" i="4"/>
  <c r="R267" i="4" s="1"/>
  <c r="Q186" i="4"/>
  <c r="R186" i="4" s="1"/>
  <c r="Q402" i="4"/>
  <c r="R402" i="4" s="1"/>
  <c r="Q152" i="4"/>
  <c r="R152" i="4" s="1"/>
  <c r="Q456" i="4"/>
  <c r="R456" i="4" s="1"/>
  <c r="Q303" i="4"/>
  <c r="R303" i="4" s="1"/>
  <c r="Q493" i="4"/>
  <c r="R493" i="4" s="1"/>
  <c r="Q392" i="4"/>
  <c r="R392" i="4" s="1"/>
  <c r="Q379" i="4"/>
  <c r="R379" i="4" s="1"/>
  <c r="Q173" i="4"/>
  <c r="R173" i="4" s="1"/>
  <c r="Q426" i="4"/>
  <c r="R426" i="4" s="1"/>
  <c r="Q362" i="4"/>
  <c r="R362" i="4" s="1"/>
  <c r="Q217" i="4"/>
  <c r="R217" i="4" s="1"/>
  <c r="Q12" i="4"/>
  <c r="R12" i="4" s="1"/>
  <c r="Q171" i="4"/>
  <c r="R171" i="4" s="1"/>
  <c r="Q326" i="4"/>
  <c r="R326" i="4" s="1"/>
  <c r="Q491" i="4"/>
  <c r="R491" i="4" s="1"/>
  <c r="Q233" i="4"/>
  <c r="R233" i="4" s="1"/>
  <c r="Q354" i="4"/>
  <c r="R354" i="4" s="1"/>
  <c r="Q318" i="4"/>
  <c r="R318" i="4" s="1"/>
  <c r="Q299" i="4"/>
  <c r="R299" i="4" s="1"/>
  <c r="Q98" i="4"/>
  <c r="R98" i="4" s="1"/>
  <c r="Q342" i="4"/>
  <c r="R342" i="4" s="1"/>
  <c r="Q309" i="4"/>
  <c r="R309" i="4" s="1"/>
  <c r="Q262" i="4"/>
  <c r="R262" i="4" s="1"/>
  <c r="Q283" i="4"/>
  <c r="R283" i="4" s="1"/>
  <c r="Q300" i="4"/>
  <c r="R300" i="4" s="1"/>
  <c r="Q365" i="4"/>
  <c r="R365" i="4" s="1"/>
  <c r="Q331" i="4"/>
  <c r="R331" i="4" s="1"/>
  <c r="Q252" i="4"/>
  <c r="R252" i="4" s="1"/>
  <c r="Q141" i="4"/>
  <c r="R141" i="4" s="1"/>
  <c r="Q125" i="4"/>
  <c r="R125" i="4" s="1"/>
  <c r="Q292" i="4"/>
  <c r="R292" i="4" s="1"/>
  <c r="Q444" i="4"/>
  <c r="R444" i="4" s="1"/>
  <c r="Q44" i="4"/>
  <c r="R44" i="4" s="1"/>
  <c r="Q338" i="4"/>
  <c r="R338" i="4" s="1"/>
  <c r="Q270" i="4"/>
  <c r="R270" i="4" s="1"/>
  <c r="Q325" i="4"/>
  <c r="R325" i="4" s="1"/>
  <c r="Q368" i="4"/>
  <c r="R368" i="4" s="1"/>
  <c r="Q276" i="4"/>
  <c r="R276" i="4" s="1"/>
  <c r="Q413" i="4"/>
  <c r="R413" i="4" s="1"/>
  <c r="Q83" i="4"/>
  <c r="R83" i="4" s="1"/>
  <c r="Q448" i="4"/>
  <c r="R448" i="4" s="1"/>
  <c r="Q92" i="4"/>
  <c r="R92" i="4" s="1"/>
  <c r="Q370" i="4"/>
  <c r="R370" i="4" s="1"/>
  <c r="Q319" i="4"/>
  <c r="R319" i="4" s="1"/>
  <c r="Q175" i="4"/>
  <c r="R175" i="4" s="1"/>
  <c r="Q74" i="4"/>
  <c r="R74" i="4" s="1"/>
  <c r="Q15" i="4"/>
  <c r="R15" i="4" s="1"/>
  <c r="Q96" i="4"/>
  <c r="R96" i="4" s="1"/>
  <c r="Q279" i="4"/>
  <c r="R279" i="4" s="1"/>
  <c r="Q105" i="4"/>
  <c r="R105" i="4" s="1"/>
  <c r="Q396" i="4"/>
  <c r="R396" i="4" s="1"/>
  <c r="Q349" i="4"/>
  <c r="R349" i="4" s="1"/>
  <c r="Q358" i="4"/>
  <c r="R358" i="4" s="1"/>
  <c r="Q416" i="4"/>
  <c r="R416" i="4" s="1"/>
  <c r="Q480" i="4"/>
  <c r="R480" i="4" s="1"/>
  <c r="Q35" i="4"/>
  <c r="R35" i="4" s="1"/>
  <c r="Q97" i="4"/>
  <c r="R97" i="4" s="1"/>
  <c r="Q410" i="4"/>
  <c r="R410" i="4" s="1"/>
  <c r="Q348" i="4"/>
  <c r="R348" i="4" s="1"/>
  <c r="Q432" i="4"/>
  <c r="R432" i="4" s="1"/>
  <c r="Q293" i="4"/>
  <c r="R293" i="4" s="1"/>
  <c r="Q345" i="4"/>
  <c r="R345" i="4" s="1"/>
  <c r="Q178" i="4"/>
  <c r="R178" i="4" s="1"/>
  <c r="Q285" i="4"/>
  <c r="R285" i="4" s="1"/>
  <c r="Q68" i="4"/>
  <c r="R68" i="4" s="1"/>
  <c r="Q459" i="4"/>
  <c r="R459" i="4" s="1"/>
  <c r="Q473" i="4"/>
  <c r="R473" i="4" s="1"/>
  <c r="Q421" i="4"/>
  <c r="R421" i="4" s="1"/>
  <c r="Q287" i="4"/>
  <c r="R287" i="4" s="1"/>
  <c r="Q244" i="4"/>
  <c r="R244" i="4" s="1"/>
  <c r="Q149" i="4"/>
  <c r="R149" i="4" s="1"/>
  <c r="Q256" i="4"/>
  <c r="R256" i="4" s="1"/>
  <c r="Q260" i="4"/>
  <c r="R260" i="4" s="1"/>
  <c r="Q255" i="4"/>
  <c r="R255" i="4" s="1"/>
  <c r="Q157" i="4"/>
  <c r="R157" i="4" s="1"/>
  <c r="Q453" i="4"/>
  <c r="R453" i="4" s="1"/>
  <c r="Q165" i="4"/>
  <c r="R165" i="4" s="1"/>
  <c r="Q284" i="4"/>
  <c r="R284" i="4" s="1"/>
  <c r="Q295" i="4"/>
  <c r="R295" i="4" s="1"/>
  <c r="Q271" i="4"/>
  <c r="R271" i="4" s="1"/>
  <c r="Q461" i="4"/>
  <c r="R461" i="4" s="1"/>
  <c r="Q268" i="4"/>
  <c r="R268" i="4" s="1"/>
  <c r="Q263" i="4"/>
  <c r="R263" i="4" s="1"/>
  <c r="Q469" i="4"/>
  <c r="R469" i="4" s="1"/>
  <c r="Q477" i="4"/>
  <c r="R477" i="4" s="1"/>
  <c r="Q5" i="4"/>
  <c r="R5" i="4" s="1"/>
  <c r="Q133" i="4"/>
  <c r="R133" i="4" s="1"/>
  <c r="Q264" i="4"/>
  <c r="R264" i="4" s="1"/>
  <c r="Q485" i="4"/>
  <c r="R485" i="4" s="1"/>
  <c r="Q117" i="4"/>
  <c r="R117" i="4" s="1"/>
  <c r="Q288" i="4"/>
  <c r="R288" i="4" s="1"/>
  <c r="Q31" i="4"/>
  <c r="R31" i="4" s="1"/>
  <c r="Q294" i="4"/>
  <c r="R294" i="4" s="1"/>
  <c r="Q296" i="4"/>
  <c r="R296" i="4" s="1"/>
  <c r="Q401" i="4"/>
  <c r="R401" i="4" s="1"/>
  <c r="Q22" i="4"/>
  <c r="R22" i="4" s="1"/>
  <c r="Q6" i="4"/>
  <c r="R6"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A04DFF-2FBE-40A3-9F7A-4F8FB4DDA8C3}" keepAlive="1" name="Query - Shoe_Sale" description="Connection to the 'Shoe_Sale' query in the workbook." type="5" refreshedVersion="8" background="1" saveData="1">
    <dbPr connection="Provider=Microsoft.Mashup.OleDb.1;Data Source=$Workbook$;Location=Shoe_Sale;Extended Properties=&quot;&quot;" command="SELECT * FROM [Shoe_Sale]"/>
  </connection>
</connections>
</file>

<file path=xl/sharedStrings.xml><?xml version="1.0" encoding="utf-8"?>
<sst xmlns="http://schemas.openxmlformats.org/spreadsheetml/2006/main" count="12148" uniqueCount="137">
  <si>
    <t>Product</t>
  </si>
  <si>
    <t>Date</t>
  </si>
  <si>
    <t>Business Questions:</t>
  </si>
  <si>
    <t>Price</t>
  </si>
  <si>
    <t>Cost</t>
  </si>
  <si>
    <t>Monk Straps</t>
  </si>
  <si>
    <t>Loafers</t>
  </si>
  <si>
    <t>Derby</t>
  </si>
  <si>
    <t>Boots</t>
  </si>
  <si>
    <t>Canvas</t>
  </si>
  <si>
    <t>Oxford</t>
  </si>
  <si>
    <t>1. How is the business performing overall?</t>
  </si>
  <si>
    <t>Brogues</t>
  </si>
  <si>
    <t>2. How have revenue and profit changed over time?</t>
  </si>
  <si>
    <t>3. Which products are driving sales?</t>
  </si>
  <si>
    <t>Slippers</t>
  </si>
  <si>
    <t>4. Which products are driving profitability?</t>
  </si>
  <si>
    <t>5. Which categories and brands perform best?</t>
  </si>
  <si>
    <t>6. Which countries contribute the most to the business?</t>
  </si>
  <si>
    <t>7. What purchasing patterns can we identify from payment method and product preferences?</t>
  </si>
  <si>
    <t>Category</t>
  </si>
  <si>
    <t>8. What actions should management take based on the findings?</t>
  </si>
  <si>
    <t>Color</t>
  </si>
  <si>
    <t>Brand</t>
  </si>
  <si>
    <t>Country</t>
  </si>
  <si>
    <t>Quantity</t>
  </si>
  <si>
    <t>Payment Type</t>
  </si>
  <si>
    <t>monk straps</t>
  </si>
  <si>
    <t>Formal</t>
  </si>
  <si>
    <t>Red</t>
  </si>
  <si>
    <t>Nike</t>
  </si>
  <si>
    <t>Uganda</t>
  </si>
  <si>
    <t>Bank Transfer</t>
  </si>
  <si>
    <t>loafers</t>
  </si>
  <si>
    <t>Black</t>
  </si>
  <si>
    <t>nike</t>
  </si>
  <si>
    <t>Card</t>
  </si>
  <si>
    <t>FORMAL</t>
  </si>
  <si>
    <t>Green</t>
  </si>
  <si>
    <t>clarks</t>
  </si>
  <si>
    <t>Nigeria</t>
  </si>
  <si>
    <t>boots</t>
  </si>
  <si>
    <t>UTILITY</t>
  </si>
  <si>
    <t>Canada</t>
  </si>
  <si>
    <t>BOOTS</t>
  </si>
  <si>
    <t>casual</t>
  </si>
  <si>
    <t>CLARKS</t>
  </si>
  <si>
    <t>UK</t>
  </si>
  <si>
    <t>Utility</t>
  </si>
  <si>
    <t>Blue</t>
  </si>
  <si>
    <t>NIKE</t>
  </si>
  <si>
    <t>Ghana</t>
  </si>
  <si>
    <t>canvas</t>
  </si>
  <si>
    <t>USA</t>
  </si>
  <si>
    <t>Cash</t>
  </si>
  <si>
    <t xml:space="preserve">monk straps </t>
  </si>
  <si>
    <t>Brown</t>
  </si>
  <si>
    <t>timberland</t>
  </si>
  <si>
    <t>formal</t>
  </si>
  <si>
    <t>Australia</t>
  </si>
  <si>
    <t>OXFORD</t>
  </si>
  <si>
    <t>Cyprus</t>
  </si>
  <si>
    <t>Mobile Money</t>
  </si>
  <si>
    <t>Clarks</t>
  </si>
  <si>
    <t>India</t>
  </si>
  <si>
    <t xml:space="preserve">BROGUES </t>
  </si>
  <si>
    <t>Germany</t>
  </si>
  <si>
    <t>oxford</t>
  </si>
  <si>
    <t>SLIPPERS</t>
  </si>
  <si>
    <t>ZARA</t>
  </si>
  <si>
    <t>derby</t>
  </si>
  <si>
    <t>Casual</t>
  </si>
  <si>
    <t>Zara</t>
  </si>
  <si>
    <t>Philippines</t>
  </si>
  <si>
    <t>OPEN</t>
  </si>
  <si>
    <t>Steve Madden</t>
  </si>
  <si>
    <t>DERBY</t>
  </si>
  <si>
    <t>CASUAL</t>
  </si>
  <si>
    <t>Zimbabwe</t>
  </si>
  <si>
    <t>BROGUES</t>
  </si>
  <si>
    <t>STEVE MADDEN</t>
  </si>
  <si>
    <t>steve madden</t>
  </si>
  <si>
    <t>zara</t>
  </si>
  <si>
    <t>MONK STRAPS</t>
  </si>
  <si>
    <t>Albania</t>
  </si>
  <si>
    <t>brogues</t>
  </si>
  <si>
    <t xml:space="preserve">Canvas </t>
  </si>
  <si>
    <t>Open</t>
  </si>
  <si>
    <t>slippers</t>
  </si>
  <si>
    <t>open</t>
  </si>
  <si>
    <t>LOAFERS</t>
  </si>
  <si>
    <t>Kenya</t>
  </si>
  <si>
    <t>CANVAS</t>
  </si>
  <si>
    <t>utility</t>
  </si>
  <si>
    <t>TIMBERLAND</t>
  </si>
  <si>
    <t>Timberland</t>
  </si>
  <si>
    <t>Product Cleaned</t>
  </si>
  <si>
    <t>Category Cleaned</t>
  </si>
  <si>
    <t>Brand Cleaned</t>
  </si>
  <si>
    <t>Sell Price</t>
  </si>
  <si>
    <t>xlookup price</t>
  </si>
  <si>
    <t>Cost Price</t>
  </si>
  <si>
    <t>Revenue</t>
  </si>
  <si>
    <t>Profit</t>
  </si>
  <si>
    <t>Profit Margin</t>
  </si>
  <si>
    <t xml:space="preserve">Monk Straps </t>
  </si>
  <si>
    <t xml:space="preserve">Brogues </t>
  </si>
  <si>
    <t>Total Cost</t>
  </si>
  <si>
    <t>Total Profit</t>
  </si>
  <si>
    <t>Total Revenue</t>
  </si>
  <si>
    <t>Avg Profit Margin</t>
  </si>
  <si>
    <t>Quantity Sold</t>
  </si>
  <si>
    <t>Grand Total</t>
  </si>
  <si>
    <t>Jan</t>
  </si>
  <si>
    <t>Feb</t>
  </si>
  <si>
    <t>Mar</t>
  </si>
  <si>
    <t>Apr</t>
  </si>
  <si>
    <t>May</t>
  </si>
  <si>
    <t>Jun</t>
  </si>
  <si>
    <t>Jul</t>
  </si>
  <si>
    <t>Aug</t>
  </si>
  <si>
    <t>Months</t>
  </si>
  <si>
    <t>Products</t>
  </si>
  <si>
    <t xml:space="preserve"> Profit</t>
  </si>
  <si>
    <t xml:space="preserve"> Revenue</t>
  </si>
  <si>
    <t>Brand count</t>
  </si>
  <si>
    <t>No of Brands</t>
  </si>
  <si>
    <t>No. of Transactions</t>
  </si>
  <si>
    <t>January</t>
  </si>
  <si>
    <t>February</t>
  </si>
  <si>
    <t>March</t>
  </si>
  <si>
    <t>April</t>
  </si>
  <si>
    <t>June</t>
  </si>
  <si>
    <t>July</t>
  </si>
  <si>
    <t>August</t>
  </si>
  <si>
    <t>Sum of Revenue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</si>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</sst>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quot;$&quot;#,##0.00"/>
    <numFmt numFmtId="165" formatCode="mm/dd/yyyy"/>
    <numFmt numFmtId="166" formatCode="0.0%"/>
    <numFmt numFmtId="167" formatCode="_-[$$-409]* #,##0.00_ ;_-[$$-409]* \-#,##0.00\ ;_-[$$-409]* &quot;-&quot;??_ ;_-@_ "/>
    <numFmt numFmtId="168" formatCode="[$$-409]#,##0_ ;\-[$$-409]#,##0\ "/>
    <numFmt numFmtId="169" formatCode="_-* #,##0_-;\-* #,##0_-;_-* &quot;-&quot;??_-;_-@_-"/>
    <numFmt numFmtId="170" formatCode="[$$-409]#,##0"/>
  </numFmts>
  <fonts count="6" x14ac:knownFonts="1">
    <font>
      <sz val="11"/>
      <color theme="1"/>
      <name val="Calibri"/>
      <scheme val="minor"/>
    </font>
    <font>
      <sz val="11"/>
      <color theme="1"/>
      <name val="Calibri"/>
      <family val="2"/>
      <scheme val="minor"/>
    </font>
    <font>
      <b/>
      <sz val="11"/>
      <color rgb="FFFFFFFF"/>
      <name val="Calibri"/>
      <family val="2"/>
    </font>
    <font>
      <sz val="11"/>
      <color theme="1"/>
      <name val="Calibri"/>
      <family val="2"/>
    </font>
    <font>
      <b/>
      <u/>
      <sz val="11"/>
      <color theme="1"/>
      <name val="Calibri"/>
      <family val="2"/>
      <scheme val="minor"/>
    </font>
    <font>
      <sz val="11"/>
      <color rgb="FFF0D7C2"/>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rgb="FFDBE5F1"/>
        <bgColor rgb="FFDBE5F1"/>
      </patternFill>
    </fill>
    <fill>
      <patternFill patternType="solid">
        <fgColor theme="9" tint="0.79998168889431442"/>
        <bgColor indexed="64"/>
      </patternFill>
    </fill>
    <fill>
      <patternFill patternType="solid">
        <fgColor rgb="FFF0D7C2"/>
        <bgColor indexed="64"/>
      </patternFill>
    </fill>
  </fills>
  <borders count="9">
    <border>
      <left/>
      <right/>
      <top/>
      <bottom/>
      <diagonal/>
    </border>
    <border>
      <left style="thin">
        <color rgb="FF95B3D7"/>
      </left>
      <right/>
      <top style="thin">
        <color rgb="FF95B3D7"/>
      </top>
      <bottom/>
      <diagonal/>
    </border>
    <border>
      <left/>
      <right/>
      <top style="thin">
        <color rgb="FF95B3D7"/>
      </top>
      <bottom/>
      <diagonal/>
    </border>
    <border>
      <left style="thin">
        <color rgb="FF95B3D7"/>
      </left>
      <right/>
      <top style="thin">
        <color rgb="FF95B3D7"/>
      </top>
      <bottom/>
      <diagonal/>
    </border>
    <border>
      <left/>
      <right/>
      <top style="thin">
        <color rgb="FF95B3D7"/>
      </top>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1">
    <xf numFmtId="0" fontId="0" fillId="0" borderId="0" xfId="0"/>
    <xf numFmtId="0" fontId="1" fillId="0" borderId="0" xfId="0" applyFont="1"/>
    <xf numFmtId="0" fontId="2" fillId="2" borderId="1" xfId="0" applyFont="1" applyFill="1" applyBorder="1" applyAlignment="1">
      <alignment horizontal="center" vertical="center"/>
    </xf>
    <xf numFmtId="164" fontId="3" fillId="0" borderId="0" xfId="0" applyNumberFormat="1" applyFont="1"/>
    <xf numFmtId="0" fontId="2" fillId="2" borderId="2" xfId="0" applyFont="1" applyFill="1" applyBorder="1" applyAlignment="1">
      <alignment horizontal="center" vertical="center"/>
    </xf>
    <xf numFmtId="165" fontId="3" fillId="3" borderId="1" xfId="0" applyNumberFormat="1" applyFont="1" applyFill="1" applyBorder="1"/>
    <xf numFmtId="0" fontId="3" fillId="3" borderId="2" xfId="0" applyFont="1" applyFill="1" applyBorder="1"/>
    <xf numFmtId="1" fontId="3" fillId="3" borderId="2" xfId="0" applyNumberFormat="1" applyFont="1" applyFill="1" applyBorder="1"/>
    <xf numFmtId="165" fontId="3" fillId="0" borderId="3" xfId="0" applyNumberFormat="1" applyFont="1" applyBorder="1"/>
    <xf numFmtId="0" fontId="3" fillId="0" borderId="4" xfId="0" applyFont="1" applyBorder="1"/>
    <xf numFmtId="1" fontId="3" fillId="0" borderId="4" xfId="0" applyNumberFormat="1" applyFont="1" applyBorder="1"/>
    <xf numFmtId="165" fontId="3" fillId="0" borderId="5" xfId="0" applyNumberFormat="1" applyFont="1" applyBorder="1"/>
    <xf numFmtId="0" fontId="3" fillId="0" borderId="6" xfId="0" applyFont="1" applyBorder="1"/>
    <xf numFmtId="1" fontId="3" fillId="0" borderId="6" xfId="0" applyNumberFormat="1" applyFont="1" applyBorder="1"/>
    <xf numFmtId="165" fontId="3" fillId="3" borderId="4" xfId="0" applyNumberFormat="1" applyFont="1" applyFill="1" applyBorder="1"/>
    <xf numFmtId="165" fontId="3" fillId="0" borderId="4" xfId="0" applyNumberFormat="1" applyFont="1" applyBorder="1"/>
    <xf numFmtId="0" fontId="3" fillId="3" borderId="4" xfId="0" applyFont="1" applyFill="1" applyBorder="1"/>
    <xf numFmtId="0" fontId="2" fillId="2" borderId="0" xfId="0" applyFont="1" applyFill="1" applyAlignment="1">
      <alignment horizontal="left" vertical="center"/>
    </xf>
    <xf numFmtId="0" fontId="0" fillId="0" borderId="0" xfId="0" applyAlignment="1">
      <alignment horizontal="left"/>
    </xf>
    <xf numFmtId="1" fontId="3" fillId="0" borderId="0" xfId="0" applyNumberFormat="1" applyFont="1"/>
    <xf numFmtId="43" fontId="0" fillId="0" borderId="0" xfId="1" applyFont="1"/>
    <xf numFmtId="1" fontId="2" fillId="2" borderId="0" xfId="1" applyNumberFormat="1" applyFont="1" applyFill="1" applyAlignment="1">
      <alignment horizontal="left" vertical="center"/>
    </xf>
    <xf numFmtId="1" fontId="3" fillId="0" borderId="0" xfId="1" applyNumberFormat="1" applyFont="1"/>
    <xf numFmtId="1" fontId="2" fillId="2" borderId="0" xfId="0" applyNumberFormat="1" applyFont="1" applyFill="1" applyAlignment="1">
      <alignment horizontal="left" vertical="center"/>
    </xf>
    <xf numFmtId="166" fontId="3" fillId="0" borderId="0" xfId="2" applyNumberFormat="1" applyFont="1"/>
    <xf numFmtId="0" fontId="2" fillId="2" borderId="0" xfId="0" applyFont="1" applyFill="1" applyAlignment="1">
      <alignment horizontal="center" vertical="center"/>
    </xf>
    <xf numFmtId="22" fontId="0" fillId="0" borderId="0" xfId="0" applyNumberFormat="1"/>
    <xf numFmtId="0" fontId="4" fillId="0" borderId="0" xfId="0" applyFont="1"/>
    <xf numFmtId="167" fontId="0" fillId="0" borderId="0" xfId="0" applyNumberFormat="1"/>
    <xf numFmtId="168" fontId="0" fillId="0" borderId="7" xfId="0" applyNumberFormat="1" applyBorder="1"/>
    <xf numFmtId="166" fontId="0" fillId="0" borderId="7" xfId="0" applyNumberFormat="1" applyBorder="1"/>
    <xf numFmtId="169" fontId="0" fillId="0" borderId="7" xfId="0" applyNumberFormat="1" applyBorder="1"/>
    <xf numFmtId="0" fontId="0" fillId="0" borderId="0" xfId="0" pivotButton="1"/>
    <xf numFmtId="168" fontId="0" fillId="0" borderId="0" xfId="0" applyNumberFormat="1"/>
    <xf numFmtId="0" fontId="0" fillId="0" borderId="7" xfId="0" applyBorder="1" applyAlignment="1">
      <alignment horizontal="center"/>
    </xf>
    <xf numFmtId="0" fontId="0" fillId="0" borderId="0" xfId="0" applyAlignment="1">
      <alignment horizontal="center"/>
    </xf>
    <xf numFmtId="1" fontId="0" fillId="0" borderId="0" xfId="0" applyNumberFormat="1"/>
    <xf numFmtId="0" fontId="0" fillId="0" borderId="0" xfId="0" applyAlignment="1">
      <alignment horizontal="right"/>
    </xf>
    <xf numFmtId="0" fontId="0" fillId="4" borderId="0" xfId="0" applyFill="1"/>
    <xf numFmtId="166" fontId="0" fillId="0" borderId="0" xfId="0" applyNumberFormat="1"/>
    <xf numFmtId="169" fontId="0" fillId="0" borderId="0" xfId="0" applyNumberFormat="1"/>
    <xf numFmtId="0" fontId="0" fillId="5" borderId="0" xfId="0" applyFill="1"/>
    <xf numFmtId="0" fontId="0" fillId="0" borderId="8" xfId="0" applyBorder="1"/>
    <xf numFmtId="170" fontId="0" fillId="0" borderId="0" xfId="0" applyNumberFormat="1"/>
    <xf numFmtId="0" fontId="3" fillId="3" borderId="4" xfId="0" applyFont="1" applyFill="1" applyBorder="1" applyAlignment="1">
      <alignment horizontal="left"/>
    </xf>
    <xf numFmtId="0" fontId="3" fillId="0" borderId="4" xfId="0" applyFont="1" applyBorder="1" applyAlignment="1">
      <alignment horizontal="left"/>
    </xf>
    <xf numFmtId="0" fontId="5" fillId="5" borderId="0" xfId="0" applyFont="1" applyFill="1"/>
    <xf numFmtId="170" fontId="0" fillId="0" borderId="0" xfId="0" applyNumberFormat="1" applyAlignment="1">
      <alignment horizontal="right"/>
    </xf>
    <xf numFmtId="168" fontId="0" fillId="0" borderId="0" xfId="0" applyNumberFormat="1" applyBorder="1"/>
    <xf numFmtId="168" fontId="0" fillId="0" borderId="0" xfId="0" applyNumberFormat="1" applyBorder="1" applyAlignment="1">
      <alignment horizontal="right"/>
    </xf>
    <xf numFmtId="170" fontId="0" fillId="0" borderId="0" xfId="0" applyNumberFormat="1" applyBorder="1" applyAlignment="1">
      <alignment horizontal="right"/>
    </xf>
  </cellXfs>
  <cellStyles count="3">
    <cellStyle name="Comma" xfId="1" builtinId="3"/>
    <cellStyle name="Normal" xfId="0" builtinId="0"/>
    <cellStyle name="Percent" xfId="2" builtinId="5"/>
  </cellStyles>
  <dxfs count="587">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70" formatCode="[$$-409]#,##0"/>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1" formatCode="0"/>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165" formatCode="mm/dd/yyyy"/>
      <border diagonalUp="0" diagonalDown="0">
        <left/>
        <right/>
        <top style="thin">
          <color rgb="FF95B3D7"/>
        </top>
        <bottom/>
        <vertical/>
        <horizontal/>
      </border>
    </dxf>
    <dxf>
      <border outline="0">
        <left style="thin">
          <color rgb="FF95B3D7"/>
        </left>
        <top style="thin">
          <color rgb="FF95B3D7"/>
        </top>
        <bottom style="thin">
          <color rgb="FF95B3D7"/>
        </bottom>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top style="thin">
          <color indexed="64"/>
        </top>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_-* #,##0_-;\-* #,##0_-;_-* &quot;-&quot;??_-;_-@_-"/>
    </dxf>
    <dxf>
      <numFmt numFmtId="168" formatCode="[$$-409]#,##0_ ;\-[$$-409]#,##0\ "/>
    </dxf>
    <dxf>
      <numFmt numFmtId="168" formatCode="[$$-409]#,##0_ ;\-[$$-409]#,##0\ "/>
    </dxf>
    <dxf>
      <numFmt numFmtId="168" formatCode="[$$-409]#,##0_ ;\-[$$-409]#,##0\ "/>
    </dxf>
    <dxf>
      <numFmt numFmtId="166" formatCode="0.0%"/>
    </dxf>
    <dxf>
      <alignment horizontal="left"/>
    </dxf>
    <dxf>
      <alignment horizontal="right"/>
    </dxf>
    <dxf>
      <numFmt numFmtId="168" formatCode="[$$-409]#,##0_ ;\-[$$-409]#,##0\ "/>
    </dxf>
    <dxf>
      <border>
        <left/>
        <right/>
        <top/>
        <bottom/>
        <horizontal/>
      </border>
    </dxf>
    <dxf>
      <alignment horizontal="right"/>
    </dxf>
    <dxf>
      <numFmt numFmtId="168" formatCode="[$$-409]#,##0_ ;\-[$$-409]#,##0\ "/>
    </dxf>
    <dxf>
      <numFmt numFmtId="170" formatCode="[$$-409]#,##0"/>
    </dxf>
    <dxf>
      <border>
        <left/>
        <right/>
        <top/>
        <bottom/>
        <horizontal/>
      </border>
    </dxf>
    <dxf>
      <alignment horizontal="righ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0_ ;\-[$$-409]#,##0\ "/>
    </dxf>
    <dxf>
      <alignment horizontal="right"/>
    </dxf>
    <dxf>
      <alignment horizontal="right"/>
    </dxf>
    <dxf>
      <numFmt numFmtId="170" formatCode="[$$-409]#,##0"/>
    </dxf>
    <dxf>
      <alignment horizontal="right"/>
    </dxf>
    <dxf>
      <numFmt numFmtId="168" formatCode="[$$-409]#,##0_ ;\-[$$-409]#,##0\ "/>
    </dxf>
    <dxf>
      <border>
        <left/>
        <right/>
        <top/>
        <bottom/>
        <horizontal/>
      </border>
    </dxf>
    <dxf>
      <alignment horizontal="righ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0_ ;\-[$$-409]#,##0\ "/>
    </dxf>
    <dxf>
      <alignment horizontal="righ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0_ ;\-[$$-409]#,##0\ "/>
    </dxf>
    <dxf>
      <numFmt numFmtId="170" formatCode="[$$-409]#,##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66" formatCode="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0" formatCode="General"/>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0" formatCode="General"/>
      <alignment horizontal="left" textRotation="0" wrapText="0" indent="0" justifyLastLine="0" shrinkToFit="0" readingOrder="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0" formatCode="General"/>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165" formatCode="mm/dd/yyyy"/>
      <border diagonalUp="0" diagonalDown="0">
        <left/>
        <right/>
        <top style="thin">
          <color rgb="FF95B3D7"/>
        </top>
        <bottom/>
        <vertical/>
        <horizontal/>
      </border>
    </dxf>
    <dxf>
      <border outline="0">
        <left style="thin">
          <color rgb="FF95B3D7"/>
        </left>
        <top style="thin">
          <color rgb="FF95B3D7"/>
        </top>
        <bottom style="thin">
          <color rgb="FF95B3D7"/>
        </bottom>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left" vertical="center" textRotation="0" wrapText="0" indent="0" justifyLastLine="0" shrinkToFit="0" readingOrder="0"/>
    </dxf>
    <dxf>
      <font>
        <b/>
        <i val="0"/>
        <sz val="9"/>
        <color theme="1"/>
        <name val="Tahoma"/>
        <family val="2"/>
        <scheme val="none"/>
      </font>
      <border>
        <bottom style="thin">
          <color rgb="FF876241"/>
        </bottom>
        <vertical/>
        <horizontal/>
      </border>
    </dxf>
    <dxf>
      <font>
        <color theme="1"/>
      </font>
      <border>
        <left style="thin">
          <color rgb="FF876241"/>
        </left>
        <right style="thin">
          <color rgb="FF876241"/>
        </right>
        <top style="thin">
          <color rgb="FF876241"/>
        </top>
        <bottom style="thin">
          <color rgb="FF876241"/>
        </bottom>
        <vertical/>
        <horizontal/>
      </border>
    </dxf>
  </dxfs>
  <tableStyles count="1" defaultTableStyle="TableStyleMedium2" defaultPivotStyle="PivotStyleLight16">
    <tableStyle name="Dash Theme" pivot="0" table="0" count="10" xr9:uid="{0194BD87-8DA6-4DEE-8FAF-ACC1F9A933E7}">
      <tableStyleElement type="wholeTable" dxfId="586"/>
      <tableStyleElement type="headerRow" dxfId="585"/>
    </tableStyle>
  </tableStyles>
  <colors>
    <mruColors>
      <color rgb="FFEEE4DA"/>
      <color rgb="FFF0D7C2"/>
      <color rgb="FFDCC8B6"/>
      <color rgb="FF876241"/>
      <color rgb="FFB38963"/>
      <color rgb="FFB5926B"/>
      <color rgb="FF1F211D"/>
      <color rgb="FF48515A"/>
      <color rgb="FFEBDAB7"/>
      <color rgb="FFFF9119"/>
    </mruColors>
  </colors>
  <extLst>
    <ext xmlns:x14="http://schemas.microsoft.com/office/spreadsheetml/2009/9/main" uri="{46F421CA-312F-682f-3DD2-61675219B42D}">
      <x14:dxfs count="8">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b val="0"/>
            <i val="0"/>
            <sz val="9"/>
            <color rgb="FFB38963"/>
            <name val="Tahoma"/>
            <family val="2"/>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0"/>
            <color theme="0"/>
          </font>
          <fill>
            <patternFill patternType="solid">
              <fgColor rgb="FF876241"/>
              <bgColor rgb="FF876241"/>
            </patternFill>
          </fill>
          <border>
            <left style="thin">
              <color rgb="FF876241"/>
            </left>
            <right style="thin">
              <color rgb="FF876241"/>
            </right>
            <top style="thin">
              <color rgb="FF876241"/>
            </top>
            <bottom style="thin">
              <color rgb="FF87624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Dash Theme">
        <x14:slicerStyle name="Dash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generated by Month</c:name>
    <c:fmtId val="12"/>
  </c:pivotSource>
  <c:chart>
    <c:title>
      <c:tx>
        <c:rich>
          <a:bodyPr rot="0" spcFirstLastPara="1" vertOverflow="ellipsis" vert="horz" wrap="square" anchor="ctr" anchorCtr="1"/>
          <a:lstStyle/>
          <a:p>
            <a:pPr algn="ctr" rtl="0">
              <a:defRPr lang="en-GB" sz="1000" b="0" i="0" u="sng" strike="noStrike" kern="1200" cap="all" spc="0" normalizeH="0" baseline="0">
                <a:solidFill>
                  <a:schemeClr val="bg1"/>
                </a:solidFill>
                <a:latin typeface="+mn-lt"/>
                <a:ea typeface="+mn-ea"/>
                <a:cs typeface="+mn-cs"/>
              </a:defRPr>
            </a:pPr>
            <a:r>
              <a:rPr lang="en-GB" sz="1000" b="0" i="0" u="sng" strike="noStrike" kern="1200" cap="none" spc="0" baseline="0">
                <a:solidFill>
                  <a:schemeClr val="bg1"/>
                </a:solidFill>
                <a:latin typeface="+mn-lt"/>
                <a:ea typeface="+mn-ea"/>
                <a:cs typeface="+mn-cs"/>
              </a:rPr>
              <a:t>Revenue Generated by Month</a:t>
            </a:r>
          </a:p>
        </c:rich>
      </c:tx>
      <c:overlay val="0"/>
      <c:spPr>
        <a:noFill/>
        <a:ln>
          <a:noFill/>
        </a:ln>
        <a:effectLst/>
      </c:spPr>
      <c:txPr>
        <a:bodyPr rot="0" spcFirstLastPara="1" vertOverflow="ellipsis" vert="horz" wrap="square" anchor="ctr" anchorCtr="1"/>
        <a:lstStyle/>
        <a:p>
          <a:pPr algn="ctr" rtl="0">
            <a:defRPr lang="en-GB" sz="1000" b="0" i="0" u="sng" strike="noStrike" kern="1200" cap="all" spc="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lt1"/>
            </a:solidFill>
            <a:round/>
          </a:ln>
          <a:effectLst>
            <a:outerShdw dist="25400" dir="2700000" algn="tl" rotWithShape="0">
              <a:srgbClr val="876241"/>
            </a:outerShdw>
          </a:effectLst>
        </c:spPr>
        <c:marker>
          <c:symbol val="circle"/>
          <c:size val="5"/>
          <c:spPr>
            <a:solidFill>
              <a:schemeClr val="bg1"/>
            </a:solidFill>
            <a:ln w="22225">
              <a:solidFill>
                <a:schemeClr val="lt1"/>
              </a:solidFill>
              <a:round/>
            </a:ln>
            <a:effectLst>
              <a:outerShdw dist="25400" dir="2700000" algn="tl" rotWithShape="0">
                <a:srgbClr val="87624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4412034028521"/>
          <c:y val="0.23636295959066686"/>
          <c:w val="0.78775076536454158"/>
          <c:h val="0.62304188105402702"/>
        </c:manualLayout>
      </c:layout>
      <c:lineChart>
        <c:grouping val="standard"/>
        <c:varyColors val="0"/>
        <c:ser>
          <c:idx val="0"/>
          <c:order val="0"/>
          <c:tx>
            <c:strRef>
              <c:f>'Pivot Tables'!$C$7</c:f>
              <c:strCache>
                <c:ptCount val="1"/>
                <c:pt idx="0">
                  <c:v>Total</c:v>
                </c:pt>
              </c:strCache>
            </c:strRef>
          </c:tx>
          <c:spPr>
            <a:ln w="22225" cap="rnd">
              <a:solidFill>
                <a:schemeClr val="lt1"/>
              </a:solidFill>
              <a:round/>
            </a:ln>
            <a:effectLst>
              <a:outerShdw dist="25400" dir="2700000" algn="tl" rotWithShape="0">
                <a:srgbClr val="876241"/>
              </a:outerShdw>
            </a:effectLst>
          </c:spPr>
          <c:marker>
            <c:symbol val="circle"/>
            <c:size val="5"/>
            <c:spPr>
              <a:solidFill>
                <a:schemeClr val="bg1"/>
              </a:solidFill>
              <a:ln w="22225">
                <a:solidFill>
                  <a:schemeClr val="lt1"/>
                </a:solidFill>
                <a:round/>
              </a:ln>
              <a:effectLst>
                <a:outerShdw dist="25400" dir="2700000" algn="tl" rotWithShape="0">
                  <a:srgbClr val="876241"/>
                </a:outerShdw>
              </a:effectLst>
            </c:spPr>
          </c:marker>
          <c:cat>
            <c:strRef>
              <c:f>'Pivot Tables'!$B$8:$B$16</c:f>
              <c:strCache>
                <c:ptCount val="8"/>
                <c:pt idx="0">
                  <c:v>Jan</c:v>
                </c:pt>
                <c:pt idx="1">
                  <c:v>Feb</c:v>
                </c:pt>
                <c:pt idx="2">
                  <c:v>Mar</c:v>
                </c:pt>
                <c:pt idx="3">
                  <c:v>Apr</c:v>
                </c:pt>
                <c:pt idx="4">
                  <c:v>May</c:v>
                </c:pt>
                <c:pt idx="5">
                  <c:v>Jun</c:v>
                </c:pt>
                <c:pt idx="6">
                  <c:v>Jul</c:v>
                </c:pt>
                <c:pt idx="7">
                  <c:v>Aug</c:v>
                </c:pt>
              </c:strCache>
            </c:strRef>
          </c:cat>
          <c:val>
            <c:numRef>
              <c:f>'Pivot Tables'!$C$8:$C$16</c:f>
              <c:numCache>
                <c:formatCode>[$$-409]#,##0_ ;\-[$$-409]#,##0\ </c:formatCode>
                <c:ptCount val="8"/>
                <c:pt idx="0">
                  <c:v>43801</c:v>
                </c:pt>
                <c:pt idx="1">
                  <c:v>40664</c:v>
                </c:pt>
                <c:pt idx="2">
                  <c:v>45492</c:v>
                </c:pt>
                <c:pt idx="3">
                  <c:v>44204</c:v>
                </c:pt>
                <c:pt idx="4">
                  <c:v>44578</c:v>
                </c:pt>
                <c:pt idx="5">
                  <c:v>70771</c:v>
                </c:pt>
                <c:pt idx="6">
                  <c:v>49497</c:v>
                </c:pt>
                <c:pt idx="7">
                  <c:v>16041</c:v>
                </c:pt>
              </c:numCache>
            </c:numRef>
          </c:val>
          <c:smooth val="0"/>
          <c:extLst>
            <c:ext xmlns:c16="http://schemas.microsoft.com/office/drawing/2014/chart" uri="{C3380CC4-5D6E-409C-BE32-E72D297353CC}">
              <c16:uniqueId val="{00000000-221F-4ED2-929E-A5BCCD08934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74784128"/>
        <c:axId val="1603698880"/>
      </c:lineChart>
      <c:catAx>
        <c:axId val="10747841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0" baseline="0">
                <a:solidFill>
                  <a:schemeClr val="lt1"/>
                </a:solidFill>
                <a:latin typeface="+mn-lt"/>
                <a:ea typeface="+mn-ea"/>
                <a:cs typeface="+mn-cs"/>
              </a:defRPr>
            </a:pPr>
            <a:endParaRPr lang="en-US"/>
          </a:p>
        </c:txPr>
        <c:crossAx val="1603698880"/>
        <c:crosses val="autoZero"/>
        <c:auto val="1"/>
        <c:lblAlgn val="ctr"/>
        <c:lblOffset val="100"/>
        <c:noMultiLvlLbl val="0"/>
      </c:catAx>
      <c:valAx>
        <c:axId val="1603698880"/>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10747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7624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by Product</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r>
              <a:rPr lang="en-US" sz="1000" b="0" i="0" u="sng" strike="noStrike" kern="1200" spc="0" baseline="0">
                <a:solidFill>
                  <a:srgbClr val="000000">
                    <a:lumMod val="65000"/>
                    <a:lumOff val="35000"/>
                  </a:srgbClr>
                </a:solidFill>
              </a:rPr>
              <a:t>Revenue Generated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517D21"/>
              </a:gs>
              <a:gs pos="78000">
                <a:schemeClr val="tx1"/>
              </a:gs>
              <a:gs pos="100000">
                <a:schemeClr val="tx1"/>
              </a:gs>
            </a:gsLst>
            <a:lin ang="5400000" scaled="1"/>
          </a:gradFill>
          <a:ln>
            <a:noFill/>
          </a:ln>
          <a:effectLst/>
        </c:spPr>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517D21"/>
              </a:gs>
              <a:gs pos="78000">
                <a:schemeClr val="tx1"/>
              </a:gs>
              <a:gs pos="100000">
                <a:schemeClr val="tx1"/>
              </a:gs>
            </a:gsLst>
            <a:lin ang="5400000" scaled="1"/>
          </a:gradFill>
          <a:ln>
            <a:noFill/>
          </a:ln>
          <a:effectLst/>
        </c:spPr>
      </c:pivotFmt>
      <c:pivotFmt>
        <c:idx val="4"/>
        <c:spPr>
          <a:solidFill>
            <a:srgbClr val="B389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38963"/>
          </a:solidFill>
          <a:ln>
            <a:noFill/>
          </a:ln>
          <a:effectLst/>
        </c:spPr>
      </c:pivotFmt>
    </c:pivotFmts>
    <c:plotArea>
      <c:layout/>
      <c:barChart>
        <c:barDir val="col"/>
        <c:grouping val="clustered"/>
        <c:varyColors val="0"/>
        <c:ser>
          <c:idx val="0"/>
          <c:order val="0"/>
          <c:tx>
            <c:strRef>
              <c:f>'Pivot Tables'!$C$24</c:f>
              <c:strCache>
                <c:ptCount val="1"/>
                <c:pt idx="0">
                  <c:v>Total</c:v>
                </c:pt>
              </c:strCache>
            </c:strRef>
          </c:tx>
          <c:spPr>
            <a:solidFill>
              <a:srgbClr val="B38963"/>
            </a:solidFill>
            <a:ln>
              <a:noFill/>
            </a:ln>
            <a:effectLst/>
          </c:spPr>
          <c:invertIfNegative val="0"/>
          <c:dPt>
            <c:idx val="2"/>
            <c:invertIfNegative val="0"/>
            <c:bubble3D val="0"/>
            <c:spPr>
              <a:solidFill>
                <a:srgbClr val="B38963"/>
              </a:solidFill>
              <a:ln>
                <a:noFill/>
              </a:ln>
              <a:effectLst/>
            </c:spPr>
            <c:extLst>
              <c:ext xmlns:c16="http://schemas.microsoft.com/office/drawing/2014/chart" uri="{C3380CC4-5D6E-409C-BE32-E72D297353CC}">
                <c16:uniqueId val="{00000001-3E3D-4039-849B-61129FEBD1A4}"/>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Tables'!$B$25:$B$33</c:f>
              <c:strCache>
                <c:ptCount val="8"/>
                <c:pt idx="0">
                  <c:v>Boots</c:v>
                </c:pt>
                <c:pt idx="1">
                  <c:v>Brogues</c:v>
                </c:pt>
                <c:pt idx="2">
                  <c:v>Canvas</c:v>
                </c:pt>
                <c:pt idx="3">
                  <c:v>Derby</c:v>
                </c:pt>
                <c:pt idx="4">
                  <c:v>Loafers</c:v>
                </c:pt>
                <c:pt idx="5">
                  <c:v>Monk Straps</c:v>
                </c:pt>
                <c:pt idx="6">
                  <c:v>Oxford</c:v>
                </c:pt>
                <c:pt idx="7">
                  <c:v>Slippers</c:v>
                </c:pt>
              </c:strCache>
            </c:strRef>
          </c:cat>
          <c:val>
            <c:numRef>
              <c:f>'Pivot Tables'!$C$25:$C$33</c:f>
              <c:numCache>
                <c:formatCode>[$$-409]#,##0_ ;\-[$$-409]#,##0\ </c:formatCode>
                <c:ptCount val="8"/>
                <c:pt idx="0">
                  <c:v>41040</c:v>
                </c:pt>
                <c:pt idx="1">
                  <c:v>58576</c:v>
                </c:pt>
                <c:pt idx="2">
                  <c:v>63488</c:v>
                </c:pt>
                <c:pt idx="3">
                  <c:v>16704</c:v>
                </c:pt>
                <c:pt idx="4">
                  <c:v>24462</c:v>
                </c:pt>
                <c:pt idx="5">
                  <c:v>51175</c:v>
                </c:pt>
                <c:pt idx="6">
                  <c:v>58905</c:v>
                </c:pt>
                <c:pt idx="7">
                  <c:v>40698</c:v>
                </c:pt>
              </c:numCache>
            </c:numRef>
          </c:val>
          <c:extLst>
            <c:ext xmlns:c16="http://schemas.microsoft.com/office/drawing/2014/chart" uri="{C3380CC4-5D6E-409C-BE32-E72D297353CC}">
              <c16:uniqueId val="{00000002-3E3D-4039-849B-61129FEBD1A4}"/>
            </c:ext>
          </c:extLst>
        </c:ser>
        <c:dLbls>
          <c:dLblPos val="outEnd"/>
          <c:showLegendKey val="0"/>
          <c:showVal val="1"/>
          <c:showCatName val="0"/>
          <c:showSerName val="0"/>
          <c:showPercent val="0"/>
          <c:showBubbleSize val="0"/>
        </c:dLbls>
        <c:gapWidth val="81"/>
        <c:overlap val="-27"/>
        <c:axId val="1152376688"/>
        <c:axId val="1445171968"/>
      </c:barChart>
      <c:catAx>
        <c:axId val="115237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45171968"/>
        <c:crosses val="autoZero"/>
        <c:auto val="1"/>
        <c:lblAlgn val="ctr"/>
        <c:lblOffset val="100"/>
        <c:noMultiLvlLbl val="0"/>
      </c:catAx>
      <c:valAx>
        <c:axId val="1445171968"/>
        <c:scaling>
          <c:orientation val="minMax"/>
        </c:scaling>
        <c:delete val="1"/>
        <c:axPos val="l"/>
        <c:numFmt formatCode="[$$-409]#,##0_ ;\-[$$-409]#,##0\ " sourceLinked="1"/>
        <c:majorTickMark val="out"/>
        <c:minorTickMark val="none"/>
        <c:tickLblPos val="nextTo"/>
        <c:crossAx val="11523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by Category</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900" u="sng"/>
              <a:t>Proportion of </a:t>
            </a:r>
            <a:r>
              <a:rPr lang="en-US" sz="900" b="0" i="0" u="sng" strike="noStrike" kern="1200" spc="0" baseline="0">
                <a:solidFill>
                  <a:srgbClr val="000000">
                    <a:lumMod val="65000"/>
                    <a:lumOff val="35000"/>
                  </a:srgbClr>
                </a:solidFill>
              </a:rPr>
              <a:t>Revenue Generated By </a:t>
            </a:r>
            <a:r>
              <a:rPr lang="en-US" sz="900" u="sng"/>
              <a:t>Category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14345991561181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14345991561181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B38963"/>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dLbl>
          <c:idx val="0"/>
          <c:layout>
            <c:manualLayout>
              <c:x val="0.2532059138609643"/>
              <c:y val="3.083495751433827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59143981306613"/>
                  <c:h val="9.6589553729081123E-2"/>
                </c:manualLayout>
              </c15:layout>
            </c:ext>
          </c:extLst>
        </c:dLbl>
      </c:pivotFmt>
      <c:pivotFmt>
        <c:idx val="13"/>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48515A"/>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Tables'!$C$41</c:f>
              <c:strCache>
                <c:ptCount val="1"/>
                <c:pt idx="0">
                  <c:v>Total</c:v>
                </c:pt>
              </c:strCache>
            </c:strRef>
          </c:tx>
          <c:dPt>
            <c:idx val="0"/>
            <c:bubble3D val="0"/>
            <c:spPr>
              <a:solidFill>
                <a:srgbClr val="B38963"/>
              </a:solidFill>
              <a:ln w="19050">
                <a:solidFill>
                  <a:schemeClr val="lt1"/>
                </a:solidFill>
              </a:ln>
              <a:effectLst/>
            </c:spPr>
            <c:extLst>
              <c:ext xmlns:c16="http://schemas.microsoft.com/office/drawing/2014/chart" uri="{C3380CC4-5D6E-409C-BE32-E72D297353CC}">
                <c16:uniqueId val="{00000001-D629-4C3B-A0CF-939CEF9B5FA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629-4C3B-A0CF-939CEF9B5FA9}"/>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629-4C3B-A0CF-939CEF9B5FA9}"/>
              </c:ext>
            </c:extLst>
          </c:dPt>
          <c:dPt>
            <c:idx val="3"/>
            <c:bubble3D val="0"/>
            <c:spPr>
              <a:solidFill>
                <a:srgbClr val="48515A"/>
              </a:solidFill>
              <a:ln w="19050">
                <a:solidFill>
                  <a:schemeClr val="lt1"/>
                </a:solidFill>
              </a:ln>
              <a:effectLst/>
            </c:spPr>
            <c:extLst>
              <c:ext xmlns:c16="http://schemas.microsoft.com/office/drawing/2014/chart" uri="{C3380CC4-5D6E-409C-BE32-E72D297353CC}">
                <c16:uniqueId val="{00000007-D629-4C3B-A0CF-939CEF9B5FA9}"/>
              </c:ext>
            </c:extLst>
          </c:dPt>
          <c:dLbls>
            <c:dLbl>
              <c:idx val="0"/>
              <c:layout>
                <c:manualLayout>
                  <c:x val="0.15480543834974214"/>
                  <c:y val="1.38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29-4C3B-A0CF-939CEF9B5FA9}"/>
                </c:ext>
              </c:extLst>
            </c:dLbl>
            <c:dLbl>
              <c:idx val="1"/>
              <c:layout>
                <c:manualLayout>
                  <c:x val="0.2532059138609643"/>
                  <c:y val="3.083495751433827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59143981306613"/>
                      <c:h val="9.6589553729081123E-2"/>
                    </c:manualLayout>
                  </c15:layout>
                </c:ext>
                <c:ext xmlns:c16="http://schemas.microsoft.com/office/drawing/2014/chart" uri="{C3380CC4-5D6E-409C-BE32-E72D297353CC}">
                  <c16:uniqueId val="{00000003-D629-4C3B-A0CF-939CEF9B5FA9}"/>
                </c:ext>
              </c:extLst>
            </c:dLbl>
            <c:dLbl>
              <c:idx val="2"/>
              <c:layout>
                <c:manualLayout>
                  <c:x val="-0.17862165963431786"/>
                  <c:y val="5.09259259259259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29-4C3B-A0CF-939CEF9B5FA9}"/>
                </c:ext>
              </c:extLst>
            </c:dLbl>
            <c:dLbl>
              <c:idx val="3"/>
              <c:layout>
                <c:manualLayout>
                  <c:x val="-0.20243788091889359"/>
                  <c:y val="-4.62962962962963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629-4C3B-A0CF-939CEF9B5FA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Tables'!$B$42:$B$46</c:f>
              <c:strCache>
                <c:ptCount val="4"/>
                <c:pt idx="0">
                  <c:v>CASUAL</c:v>
                </c:pt>
                <c:pt idx="1">
                  <c:v>FORMAL</c:v>
                </c:pt>
                <c:pt idx="2">
                  <c:v>OPEN</c:v>
                </c:pt>
                <c:pt idx="3">
                  <c:v>UTILITY</c:v>
                </c:pt>
              </c:strCache>
            </c:strRef>
          </c:cat>
          <c:val>
            <c:numRef>
              <c:f>'Pivot Tables'!$C$42:$C$46</c:f>
              <c:numCache>
                <c:formatCode>[$$-409]#,##0_ ;\-[$$-409]#,##0\ </c:formatCode>
                <c:ptCount val="4"/>
                <c:pt idx="0">
                  <c:v>82917</c:v>
                </c:pt>
                <c:pt idx="1">
                  <c:v>179935</c:v>
                </c:pt>
                <c:pt idx="2">
                  <c:v>53035</c:v>
                </c:pt>
                <c:pt idx="3">
                  <c:v>39161</c:v>
                </c:pt>
              </c:numCache>
            </c:numRef>
          </c:val>
          <c:extLst>
            <c:ext xmlns:c16="http://schemas.microsoft.com/office/drawing/2014/chart" uri="{C3380CC4-5D6E-409C-BE32-E72D297353CC}">
              <c16:uniqueId val="{00000008-D629-4C3B-A0CF-939CEF9B5F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w="9525">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by Brand</c:name>
    <c:fmtId val="1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0" i="0" u="sng" strike="noStrike" kern="1200" spc="0" baseline="0">
                <a:solidFill>
                  <a:srgbClr val="000000">
                    <a:lumMod val="65000"/>
                    <a:lumOff val="35000"/>
                  </a:srgbClr>
                </a:solidFill>
              </a:rPr>
              <a:t>Revenue Generated By Brand</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517D21"/>
              </a:gs>
              <a:gs pos="78000">
                <a:schemeClr val="tx1"/>
              </a:gs>
              <a:gs pos="100000">
                <a:schemeClr val="tx1"/>
              </a:gs>
            </a:gsLst>
            <a:lin ang="10800000" scaled="0"/>
          </a:gradFill>
          <a:ln>
            <a:noFill/>
          </a:ln>
          <a:effectLst/>
        </c:spPr>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517D21"/>
              </a:gs>
              <a:gs pos="78000">
                <a:schemeClr val="tx1"/>
              </a:gs>
              <a:gs pos="100000">
                <a:schemeClr val="tx1"/>
              </a:gs>
            </a:gsLst>
            <a:lin ang="10800000" scaled="0"/>
          </a:gradFill>
          <a:ln>
            <a:noFill/>
          </a:ln>
          <a:effectLst/>
        </c:spPr>
      </c:pivotFmt>
      <c:pivotFmt>
        <c:idx val="10"/>
        <c:spPr>
          <a:solidFill>
            <a:srgbClr val="B389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38963"/>
          </a:solidFill>
          <a:ln>
            <a:noFill/>
          </a:ln>
          <a:effectLst/>
        </c:spPr>
      </c:pivotFmt>
    </c:pivotFmts>
    <c:plotArea>
      <c:layout/>
      <c:barChart>
        <c:barDir val="bar"/>
        <c:grouping val="clustered"/>
        <c:varyColors val="0"/>
        <c:ser>
          <c:idx val="0"/>
          <c:order val="0"/>
          <c:tx>
            <c:strRef>
              <c:f>'Pivot Tables'!$C$58</c:f>
              <c:strCache>
                <c:ptCount val="1"/>
                <c:pt idx="0">
                  <c:v>Total</c:v>
                </c:pt>
              </c:strCache>
            </c:strRef>
          </c:tx>
          <c:spPr>
            <a:solidFill>
              <a:srgbClr val="B38963"/>
            </a:solidFill>
            <a:ln>
              <a:noFill/>
            </a:ln>
            <a:effectLst/>
          </c:spPr>
          <c:invertIfNegative val="0"/>
          <c:dPt>
            <c:idx val="0"/>
            <c:invertIfNegative val="0"/>
            <c:bubble3D val="0"/>
            <c:spPr>
              <a:solidFill>
                <a:srgbClr val="B38963"/>
              </a:solidFill>
              <a:ln>
                <a:noFill/>
              </a:ln>
              <a:effectLst/>
            </c:spPr>
            <c:extLst>
              <c:ext xmlns:c16="http://schemas.microsoft.com/office/drawing/2014/chart" uri="{C3380CC4-5D6E-409C-BE32-E72D297353CC}">
                <c16:uniqueId val="{00000001-0ADB-45D5-921B-6100F7D6C1A0}"/>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Tables'!$B$59:$B$64</c:f>
              <c:strCache>
                <c:ptCount val="5"/>
                <c:pt idx="0">
                  <c:v>Clarks</c:v>
                </c:pt>
                <c:pt idx="1">
                  <c:v>Nike</c:v>
                </c:pt>
                <c:pt idx="2">
                  <c:v>Steve Madden</c:v>
                </c:pt>
                <c:pt idx="3">
                  <c:v>Timberland</c:v>
                </c:pt>
                <c:pt idx="4">
                  <c:v>Zara</c:v>
                </c:pt>
              </c:strCache>
            </c:strRef>
          </c:cat>
          <c:val>
            <c:numRef>
              <c:f>'Pivot Tables'!$C$59:$C$64</c:f>
              <c:numCache>
                <c:formatCode>[$$-409]#,##0</c:formatCode>
                <c:ptCount val="5"/>
                <c:pt idx="0">
                  <c:v>123543</c:v>
                </c:pt>
                <c:pt idx="1">
                  <c:v>54029</c:v>
                </c:pt>
                <c:pt idx="2">
                  <c:v>43855</c:v>
                </c:pt>
                <c:pt idx="3">
                  <c:v>38824</c:v>
                </c:pt>
                <c:pt idx="4">
                  <c:v>94797</c:v>
                </c:pt>
              </c:numCache>
            </c:numRef>
          </c:val>
          <c:extLst>
            <c:ext xmlns:c16="http://schemas.microsoft.com/office/drawing/2014/chart" uri="{C3380CC4-5D6E-409C-BE32-E72D297353CC}">
              <c16:uniqueId val="{00000002-0ADB-45D5-921B-6100F7D6C1A0}"/>
            </c:ext>
          </c:extLst>
        </c:ser>
        <c:dLbls>
          <c:dLblPos val="outEnd"/>
          <c:showLegendKey val="0"/>
          <c:showVal val="1"/>
          <c:showCatName val="0"/>
          <c:showSerName val="0"/>
          <c:showPercent val="0"/>
          <c:showBubbleSize val="0"/>
        </c:dLbls>
        <c:gapWidth val="182"/>
        <c:axId val="741756208"/>
        <c:axId val="1567052096"/>
      </c:barChart>
      <c:valAx>
        <c:axId val="1567052096"/>
        <c:scaling>
          <c:orientation val="minMax"/>
        </c:scaling>
        <c:delete val="1"/>
        <c:axPos val="b"/>
        <c:numFmt formatCode="[$$-409]#,##0" sourceLinked="1"/>
        <c:majorTickMark val="out"/>
        <c:minorTickMark val="none"/>
        <c:tickLblPos val="nextTo"/>
        <c:crossAx val="741756208"/>
        <c:crosses val="autoZero"/>
        <c:crossBetween val="between"/>
      </c:valAx>
      <c:catAx>
        <c:axId val="74175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67052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Tables!Profit by Country</c:name>
    <c:fmtId val="24"/>
  </c:pivotSource>
  <c:chart>
    <c:title>
      <c:tx>
        <c:rich>
          <a:bodyPr rot="0" spcFirstLastPara="1" vertOverflow="ellipsis" vert="horz" wrap="square" anchor="ctr" anchorCtr="1"/>
          <a:lstStyle/>
          <a:p>
            <a:pPr algn="ctr" rtl="0">
              <a:defRPr lang="en-GB" sz="1000" b="0" i="0" u="sng" strike="noStrike" kern="1200" spc="0" baseline="0">
                <a:solidFill>
                  <a:srgbClr val="000000">
                    <a:lumMod val="65000"/>
                    <a:lumOff val="35000"/>
                  </a:srgbClr>
                </a:solidFill>
                <a:latin typeface="+mn-lt"/>
                <a:ea typeface="+mn-ea"/>
                <a:cs typeface="+mn-cs"/>
              </a:defRPr>
            </a:pPr>
            <a:r>
              <a:rPr lang="en-GB" sz="1000" b="0" i="0" u="sng" strike="noStrike" kern="1200" spc="0" baseline="0">
                <a:solidFill>
                  <a:srgbClr val="000000">
                    <a:lumMod val="65000"/>
                    <a:lumOff val="35000"/>
                  </a:srgbClr>
                </a:solidFill>
                <a:latin typeface="+mn-lt"/>
                <a:ea typeface="+mn-ea"/>
                <a:cs typeface="+mn-cs"/>
              </a:rPr>
              <a:t>Revenue and Profit Generated By Country</a:t>
            </a:r>
          </a:p>
        </c:rich>
      </c:tx>
      <c:overlay val="0"/>
      <c:spPr>
        <a:noFill/>
        <a:ln>
          <a:noFill/>
        </a:ln>
        <a:effectLst/>
      </c:spPr>
      <c:txPr>
        <a:bodyPr rot="0" spcFirstLastPara="1" vertOverflow="ellipsis" vert="horz" wrap="square" anchor="ctr" anchorCtr="1"/>
        <a:lstStyle/>
        <a:p>
          <a:pPr algn="ctr" rtl="0">
            <a:defRPr lang="en-GB" sz="1000" b="0" i="0" u="sng"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17D21"/>
              </a:gs>
              <a:gs pos="78000">
                <a:schemeClr val="tx1"/>
              </a:gs>
              <a:gs pos="100000">
                <a:schemeClr val="tx1"/>
              </a:gs>
            </a:gsLst>
            <a:lin ang="5400000" scaled="0"/>
          </a:gradFill>
          <a:ln>
            <a:noFill/>
          </a:ln>
          <a:effectLst/>
        </c:spPr>
      </c:pivotFmt>
      <c:pivotFmt>
        <c:idx val="3"/>
        <c:spPr>
          <a:solidFill>
            <a:schemeClr val="tx1">
              <a:lumMod val="75000"/>
              <a:lumOff val="25000"/>
            </a:schemeClr>
          </a:solidFill>
          <a:ln>
            <a:noFill/>
          </a:ln>
          <a:effectLst/>
        </c:spPr>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pivotFmt>
      <c:pivotFmt>
        <c:idx val="6"/>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517D21"/>
              </a:gs>
              <a:gs pos="78000">
                <a:schemeClr val="tx1"/>
              </a:gs>
              <a:gs pos="100000">
                <a:schemeClr val="tx1"/>
              </a:gs>
            </a:gsLst>
            <a:lin ang="5400000" scaled="0"/>
          </a:gradFill>
          <a:ln>
            <a:noFill/>
          </a:ln>
          <a:effectLst/>
        </c:spPr>
      </c:pivotFmt>
      <c:pivotFmt>
        <c:idx val="8"/>
        <c:spPr>
          <a:solidFill>
            <a:srgbClr val="4851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8515A"/>
          </a:solidFill>
          <a:ln>
            <a:noFill/>
          </a:ln>
          <a:effectLst/>
        </c:spPr>
      </c:pivotFmt>
      <c:pivotFmt>
        <c:idx val="10"/>
        <c:spPr>
          <a:solidFill>
            <a:srgbClr val="B389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38963"/>
          </a:solidFill>
          <a:ln>
            <a:noFill/>
          </a:ln>
          <a:effectLst/>
        </c:spPr>
      </c:pivotFmt>
    </c:pivotFmts>
    <c:plotArea>
      <c:layout>
        <c:manualLayout>
          <c:layoutTarget val="inner"/>
          <c:xMode val="edge"/>
          <c:yMode val="edge"/>
          <c:x val="0.14311850870925427"/>
          <c:y val="0.1975186300744044"/>
          <c:w val="0.81319841715303298"/>
          <c:h val="0.59461701801941458"/>
        </c:manualLayout>
      </c:layout>
      <c:barChart>
        <c:barDir val="col"/>
        <c:grouping val="clustered"/>
        <c:varyColors val="0"/>
        <c:ser>
          <c:idx val="0"/>
          <c:order val="0"/>
          <c:tx>
            <c:strRef>
              <c:f>'Pivot Tables'!$C$75</c:f>
              <c:strCache>
                <c:ptCount val="1"/>
                <c:pt idx="0">
                  <c:v> Profit</c:v>
                </c:pt>
              </c:strCache>
            </c:strRef>
          </c:tx>
          <c:spPr>
            <a:solidFill>
              <a:srgbClr val="48515A"/>
            </a:solidFill>
            <a:ln>
              <a:noFill/>
            </a:ln>
            <a:effectLst/>
          </c:spPr>
          <c:invertIfNegative val="0"/>
          <c:dPt>
            <c:idx val="0"/>
            <c:invertIfNegative val="0"/>
            <c:bubble3D val="0"/>
            <c:spPr>
              <a:solidFill>
                <a:srgbClr val="48515A"/>
              </a:solidFill>
              <a:ln>
                <a:noFill/>
              </a:ln>
              <a:effectLst/>
            </c:spPr>
            <c:extLst>
              <c:ext xmlns:c16="http://schemas.microsoft.com/office/drawing/2014/chart" uri="{C3380CC4-5D6E-409C-BE32-E72D297353CC}">
                <c16:uniqueId val="{00000001-AE0B-476E-AA26-CBBEAB3E7D83}"/>
              </c:ext>
            </c:extLst>
          </c:dPt>
          <c:dPt>
            <c:idx val="12"/>
            <c:invertIfNegative val="0"/>
            <c:bubble3D val="0"/>
            <c:extLst>
              <c:ext xmlns:c16="http://schemas.microsoft.com/office/drawing/2014/chart" uri="{C3380CC4-5D6E-409C-BE32-E72D297353CC}">
                <c16:uniqueId val="{00000001-A04C-4BF2-9B9A-7361BE06A7FA}"/>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Tables'!$C$76:$C$90</c:f>
              <c:numCache>
                <c:formatCode>[$$-409]#,##0</c:formatCode>
                <c:ptCount val="14"/>
                <c:pt idx="0">
                  <c:v>17892</c:v>
                </c:pt>
                <c:pt idx="1">
                  <c:v>15393</c:v>
                </c:pt>
                <c:pt idx="2">
                  <c:v>14468</c:v>
                </c:pt>
                <c:pt idx="3">
                  <c:v>13584</c:v>
                </c:pt>
                <c:pt idx="4">
                  <c:v>13441</c:v>
                </c:pt>
                <c:pt idx="5">
                  <c:v>11974</c:v>
                </c:pt>
                <c:pt idx="6">
                  <c:v>12210</c:v>
                </c:pt>
                <c:pt idx="7">
                  <c:v>11798</c:v>
                </c:pt>
                <c:pt idx="8">
                  <c:v>9548</c:v>
                </c:pt>
                <c:pt idx="9">
                  <c:v>9638</c:v>
                </c:pt>
                <c:pt idx="10">
                  <c:v>9010</c:v>
                </c:pt>
                <c:pt idx="11">
                  <c:v>8476</c:v>
                </c:pt>
                <c:pt idx="12">
                  <c:v>8102</c:v>
                </c:pt>
                <c:pt idx="13">
                  <c:v>6801</c:v>
                </c:pt>
              </c:numCache>
            </c:numRef>
          </c:val>
          <c:extLst>
            <c:ext xmlns:c16="http://schemas.microsoft.com/office/drawing/2014/chart" uri="{C3380CC4-5D6E-409C-BE32-E72D297353CC}">
              <c16:uniqueId val="{00000002-A04C-4BF2-9B9A-7361BE06A7FA}"/>
            </c:ext>
          </c:extLst>
        </c:ser>
        <c:ser>
          <c:idx val="1"/>
          <c:order val="1"/>
          <c:tx>
            <c:strRef>
              <c:f>'Pivot Tables'!$D$75</c:f>
              <c:strCache>
                <c:ptCount val="1"/>
                <c:pt idx="0">
                  <c:v> Revenue</c:v>
                </c:pt>
              </c:strCache>
            </c:strRef>
          </c:tx>
          <c:spPr>
            <a:solidFill>
              <a:srgbClr val="B38963"/>
            </a:solidFill>
            <a:ln>
              <a:noFill/>
            </a:ln>
            <a:effectLst/>
          </c:spPr>
          <c:invertIfNegative val="0"/>
          <c:dPt>
            <c:idx val="0"/>
            <c:invertIfNegative val="0"/>
            <c:bubble3D val="0"/>
            <c:spPr>
              <a:solidFill>
                <a:srgbClr val="B38963"/>
              </a:solidFill>
              <a:ln>
                <a:noFill/>
              </a:ln>
              <a:effectLst/>
            </c:spPr>
            <c:extLst>
              <c:ext xmlns:c16="http://schemas.microsoft.com/office/drawing/2014/chart" uri="{C3380CC4-5D6E-409C-BE32-E72D297353CC}">
                <c16:uniqueId val="{00000004-AE0B-476E-AA26-CBBEAB3E7D83}"/>
              </c:ext>
            </c:extLst>
          </c:dPt>
          <c:dPt>
            <c:idx val="12"/>
            <c:invertIfNegative val="0"/>
            <c:bubble3D val="0"/>
            <c:extLst>
              <c:ext xmlns:c16="http://schemas.microsoft.com/office/drawing/2014/chart" uri="{C3380CC4-5D6E-409C-BE32-E72D297353CC}">
                <c16:uniqueId val="{00000004-A04C-4BF2-9B9A-7361BE06A7FA}"/>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Tables'!$D$76:$D$90</c:f>
              <c:numCache>
                <c:formatCode>[$$-409]#,##0</c:formatCode>
                <c:ptCount val="14"/>
                <c:pt idx="0">
                  <c:v>39127</c:v>
                </c:pt>
                <c:pt idx="1">
                  <c:v>32871</c:v>
                </c:pt>
                <c:pt idx="2">
                  <c:v>32026</c:v>
                </c:pt>
                <c:pt idx="3">
                  <c:v>30124</c:v>
                </c:pt>
                <c:pt idx="4">
                  <c:v>29392</c:v>
                </c:pt>
                <c:pt idx="5">
                  <c:v>26595</c:v>
                </c:pt>
                <c:pt idx="6">
                  <c:v>26531</c:v>
                </c:pt>
                <c:pt idx="7">
                  <c:v>25851</c:v>
                </c:pt>
                <c:pt idx="8">
                  <c:v>20810</c:v>
                </c:pt>
                <c:pt idx="9">
                  <c:v>20798</c:v>
                </c:pt>
                <c:pt idx="10">
                  <c:v>20204</c:v>
                </c:pt>
                <c:pt idx="11">
                  <c:v>18562</c:v>
                </c:pt>
                <c:pt idx="12">
                  <c:v>17565</c:v>
                </c:pt>
                <c:pt idx="13">
                  <c:v>14592</c:v>
                </c:pt>
              </c:numCache>
            </c:numRef>
          </c:val>
          <c:extLst>
            <c:ext xmlns:c16="http://schemas.microsoft.com/office/drawing/2014/chart" uri="{C3380CC4-5D6E-409C-BE32-E72D297353CC}">
              <c16:uniqueId val="{00000005-A04C-4BF2-9B9A-7361BE06A7FA}"/>
            </c:ext>
          </c:extLst>
        </c:ser>
        <c:dLbls>
          <c:showLegendKey val="0"/>
          <c:showVal val="0"/>
          <c:showCatName val="0"/>
          <c:showSerName val="0"/>
          <c:showPercent val="0"/>
          <c:showBubbleSize val="0"/>
        </c:dLbls>
        <c:gapWidth val="150"/>
        <c:axId val="1168101232"/>
        <c:axId val="796035232"/>
      </c:barChart>
      <c:catAx>
        <c:axId val="11681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96035232"/>
        <c:crosses val="autoZero"/>
        <c:auto val="1"/>
        <c:lblAlgn val="ctr"/>
        <c:lblOffset val="100"/>
        <c:noMultiLvlLbl val="0"/>
      </c:catAx>
      <c:valAx>
        <c:axId val="79603523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68101232"/>
        <c:crosses val="autoZero"/>
        <c:crossBetween val="between"/>
      </c:valAx>
      <c:spPr>
        <a:noFill/>
        <a:ln>
          <a:noFill/>
        </a:ln>
        <a:effectLst/>
      </c:spPr>
    </c:plotArea>
    <c:legend>
      <c:legendPos val="b"/>
      <c:layout>
        <c:manualLayout>
          <c:xMode val="edge"/>
          <c:yMode val="edge"/>
          <c:x val="0.36303921238899389"/>
          <c:y val="0.14488783886979764"/>
          <c:w val="0.28190498227818017"/>
          <c:h val="8.8682100012990706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Tables!Payment type</c:name>
    <c:fmtId val="26"/>
  </c:pivotSource>
  <c:chart>
    <c:title>
      <c:tx>
        <c:rich>
          <a:bodyPr rot="0" spcFirstLastPara="1" vertOverflow="ellipsis" vert="horz" wrap="square" anchor="ctr" anchorCtr="1"/>
          <a:lstStyle/>
          <a:p>
            <a:pPr>
              <a:defRPr sz="890" b="0" i="0" u="none" strike="noStrike" kern="1200" spc="0" baseline="0">
                <a:solidFill>
                  <a:schemeClr val="tx1">
                    <a:lumMod val="65000"/>
                    <a:lumOff val="35000"/>
                  </a:schemeClr>
                </a:solidFill>
                <a:latin typeface="+mn-lt"/>
                <a:ea typeface="+mn-ea"/>
                <a:cs typeface="+mn-cs"/>
              </a:defRPr>
            </a:pPr>
            <a:r>
              <a:rPr lang="en-US" sz="890" u="sng"/>
              <a:t>Payment Type Performance</a:t>
            </a:r>
          </a:p>
        </c:rich>
      </c:tx>
      <c:overlay val="0"/>
      <c:spPr>
        <a:noFill/>
        <a:ln>
          <a:noFill/>
        </a:ln>
        <a:effectLst/>
      </c:spPr>
      <c:txPr>
        <a:bodyPr rot="0" spcFirstLastPara="1" vertOverflow="ellipsis" vert="horz" wrap="square" anchor="ctr" anchorCtr="1"/>
        <a:lstStyle/>
        <a:p>
          <a:pPr>
            <a:defRPr sz="89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w="25400">
            <a:solidFill>
              <a:schemeClr val="lt1"/>
            </a:solidFill>
          </a:ln>
          <a:effectLst/>
          <a:sp3d contourW="25400">
            <a:contourClr>
              <a:schemeClr val="lt1"/>
            </a:contourClr>
          </a:sp3d>
        </c:spPr>
        <c:dLbl>
          <c:idx val="0"/>
          <c:layout>
            <c:manualLayout>
              <c:x val="5.6133054719358526E-2"/>
              <c:y val="4.625195296139961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B38963"/>
          </a:solidFill>
          <a:ln w="25400">
            <a:solidFill>
              <a:schemeClr val="lt1"/>
            </a:solidFill>
          </a:ln>
          <a:effectLst/>
          <a:sp3d contourW="25400">
            <a:contourClr>
              <a:schemeClr val="lt1"/>
            </a:contourClr>
          </a:sp3d>
        </c:spPr>
      </c:pivotFmt>
      <c:pivotFmt>
        <c:idx val="9"/>
        <c:spPr>
          <a:solidFill>
            <a:srgbClr val="48515A"/>
          </a:solidFill>
          <a:ln w="25400">
            <a:solidFill>
              <a:schemeClr val="lt1"/>
            </a:solidFill>
          </a:ln>
          <a:effectLst/>
          <a:sp3d contourW="25400">
            <a:contourClr>
              <a:schemeClr val="lt1"/>
            </a:contourClr>
          </a:sp3d>
        </c:spPr>
        <c:dLbl>
          <c:idx val="0"/>
          <c:layout>
            <c:manualLayout>
              <c:x val="-3.0225491002731534E-2"/>
              <c:y val="4.625195296139964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4249160044144857"/>
              <c:y val="5.3960611788299591E-2"/>
            </c:manualLayout>
          </c:layout>
          <c:spPr>
            <a:xfrm>
              <a:off x="171767" y="342876"/>
              <a:ext cx="461066" cy="367216"/>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3988"/>
                    <a:gd name="adj2" fmla="val 21976"/>
                  </a:avLst>
                </a:prstGeom>
                <a:noFill/>
                <a:ln>
                  <a:noFill/>
                </a:ln>
              </c15:spPr>
              <c15:layout>
                <c:manualLayout>
                  <c:w val="0.15675980016496521"/>
                  <c:h val="0.22289313856526685"/>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Tables'!$C$94</c:f>
              <c:strCache>
                <c:ptCount val="1"/>
                <c:pt idx="0">
                  <c:v>Total</c:v>
                </c:pt>
              </c:strCache>
            </c:strRef>
          </c:tx>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66-439F-945C-EE761ED96055}"/>
              </c:ext>
            </c:extLst>
          </c:dPt>
          <c:dPt>
            <c:idx val="1"/>
            <c:bubble3D val="0"/>
            <c:spPr>
              <a:solidFill>
                <a:srgbClr val="B38963"/>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66-439F-945C-EE761ED96055}"/>
              </c:ext>
            </c:extLst>
          </c:dPt>
          <c:dPt>
            <c:idx val="2"/>
            <c:bubble3D val="0"/>
            <c:spPr>
              <a:solidFill>
                <a:srgbClr val="48515A"/>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66-439F-945C-EE761ED9605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E66-439F-945C-EE761ED96055}"/>
              </c:ext>
            </c:extLst>
          </c:dPt>
          <c:dLbls>
            <c:dLbl>
              <c:idx val="0"/>
              <c:layout>
                <c:manualLayout>
                  <c:x val="5.6133054719358526E-2"/>
                  <c:y val="4.62519529613996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66-439F-945C-EE761ED96055}"/>
                </c:ext>
              </c:extLst>
            </c:dLbl>
            <c:dLbl>
              <c:idx val="2"/>
              <c:layout>
                <c:manualLayout>
                  <c:x val="-3.0225491002731534E-2"/>
                  <c:y val="4.62519529613996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66-439F-945C-EE761ED96055}"/>
                </c:ext>
              </c:extLst>
            </c:dLbl>
            <c:dLbl>
              <c:idx val="3"/>
              <c:layout>
                <c:manualLayout>
                  <c:x val="-0.14249160044144857"/>
                  <c:y val="5.3960611788299591E-2"/>
                </c:manualLayout>
              </c:layout>
              <c:spPr>
                <a:xfrm>
                  <a:off x="171767" y="342876"/>
                  <a:ext cx="461066" cy="367216"/>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3988"/>
                        <a:gd name="adj2" fmla="val 21976"/>
                      </a:avLst>
                    </a:prstGeom>
                    <a:noFill/>
                    <a:ln>
                      <a:noFill/>
                    </a:ln>
                  </c15:spPr>
                  <c15:layout>
                    <c:manualLayout>
                      <c:w val="0.15675980016496521"/>
                      <c:h val="0.22289313856526685"/>
                    </c:manualLayout>
                  </c15:layout>
                </c:ext>
                <c:ext xmlns:c16="http://schemas.microsoft.com/office/drawing/2014/chart" uri="{C3380CC4-5D6E-409C-BE32-E72D297353CC}">
                  <c16:uniqueId val="{00000007-7E66-439F-945C-EE761ED9605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Tables'!$B$95:$B$99</c:f>
              <c:strCache>
                <c:ptCount val="4"/>
                <c:pt idx="0">
                  <c:v>Bank Transfer</c:v>
                </c:pt>
                <c:pt idx="1">
                  <c:v>Card</c:v>
                </c:pt>
                <c:pt idx="2">
                  <c:v>Cash</c:v>
                </c:pt>
                <c:pt idx="3">
                  <c:v>Mobile Money</c:v>
                </c:pt>
              </c:strCache>
            </c:strRef>
          </c:cat>
          <c:val>
            <c:numRef>
              <c:f>'Pivot Tables'!$C$95:$C$99</c:f>
              <c:numCache>
                <c:formatCode>General</c:formatCode>
                <c:ptCount val="4"/>
                <c:pt idx="0">
                  <c:v>135</c:v>
                </c:pt>
                <c:pt idx="1">
                  <c:v>137</c:v>
                </c:pt>
                <c:pt idx="2">
                  <c:v>125</c:v>
                </c:pt>
                <c:pt idx="3">
                  <c:v>103</c:v>
                </c:pt>
              </c:numCache>
            </c:numRef>
          </c:val>
          <c:extLst>
            <c:ext xmlns:c16="http://schemas.microsoft.com/office/drawing/2014/chart" uri="{C3380CC4-5D6E-409C-BE32-E72D297353CC}">
              <c16:uniqueId val="{00000008-7E66-439F-945C-EE761ED9605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generated by Month</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u="sng"/>
              <a:t>Revenue Generated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lineChart>
        <c:grouping val="standard"/>
        <c:varyColors val="0"/>
        <c:ser>
          <c:idx val="0"/>
          <c:order val="0"/>
          <c:tx>
            <c:strRef>
              <c:f>'Pivot Tables'!$C$7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Tables'!$B$8:$B$16</c:f>
              <c:strCache>
                <c:ptCount val="8"/>
                <c:pt idx="0">
                  <c:v>Jan</c:v>
                </c:pt>
                <c:pt idx="1">
                  <c:v>Feb</c:v>
                </c:pt>
                <c:pt idx="2">
                  <c:v>Mar</c:v>
                </c:pt>
                <c:pt idx="3">
                  <c:v>Apr</c:v>
                </c:pt>
                <c:pt idx="4">
                  <c:v>May</c:v>
                </c:pt>
                <c:pt idx="5">
                  <c:v>Jun</c:v>
                </c:pt>
                <c:pt idx="6">
                  <c:v>Jul</c:v>
                </c:pt>
                <c:pt idx="7">
                  <c:v>Aug</c:v>
                </c:pt>
              </c:strCache>
            </c:strRef>
          </c:cat>
          <c:val>
            <c:numRef>
              <c:f>'Pivot Tables'!$C$8:$C$16</c:f>
              <c:numCache>
                <c:formatCode>[$$-409]#,##0_ ;\-[$$-409]#,##0\ </c:formatCode>
                <c:ptCount val="8"/>
                <c:pt idx="0">
                  <c:v>43801</c:v>
                </c:pt>
                <c:pt idx="1">
                  <c:v>40664</c:v>
                </c:pt>
                <c:pt idx="2">
                  <c:v>45492</c:v>
                </c:pt>
                <c:pt idx="3">
                  <c:v>44204</c:v>
                </c:pt>
                <c:pt idx="4">
                  <c:v>44578</c:v>
                </c:pt>
                <c:pt idx="5">
                  <c:v>70771</c:v>
                </c:pt>
                <c:pt idx="6">
                  <c:v>49497</c:v>
                </c:pt>
                <c:pt idx="7">
                  <c:v>16041</c:v>
                </c:pt>
              </c:numCache>
            </c:numRef>
          </c:val>
          <c:smooth val="0"/>
          <c:extLst>
            <c:ext xmlns:c16="http://schemas.microsoft.com/office/drawing/2014/chart" uri="{C3380CC4-5D6E-409C-BE32-E72D297353CC}">
              <c16:uniqueId val="{00000000-7507-4AD7-A718-C65A9EC78A2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74784128"/>
        <c:axId val="1603698880"/>
      </c:lineChart>
      <c:catAx>
        <c:axId val="10747841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03698880"/>
        <c:crosses val="autoZero"/>
        <c:auto val="1"/>
        <c:lblAlgn val="ctr"/>
        <c:lblOffset val="100"/>
        <c:noMultiLvlLbl val="0"/>
      </c:catAx>
      <c:valAx>
        <c:axId val="1603698880"/>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7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by Product</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r>
              <a:rPr lang="en-US" sz="1200" b="0" i="0" u="sng" strike="noStrike" kern="1200" spc="0" baseline="0">
                <a:solidFill>
                  <a:srgbClr val="000000">
                    <a:lumMod val="65000"/>
                    <a:lumOff val="35000"/>
                  </a:srgbClr>
                </a:solidFill>
              </a:rPr>
              <a:t>Revenue Generated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517D21"/>
              </a:gs>
              <a:gs pos="78000">
                <a:schemeClr val="tx1"/>
              </a:gs>
              <a:gs pos="100000">
                <a:schemeClr val="tx1"/>
              </a:gs>
            </a:gsLst>
            <a:lin ang="5400000" scaled="1"/>
          </a:gradFill>
          <a:ln>
            <a:noFill/>
          </a:ln>
          <a:effectLst/>
        </c:spPr>
      </c:pivotFmt>
    </c:pivotFmts>
    <c:plotArea>
      <c:layout/>
      <c:barChart>
        <c:barDir val="col"/>
        <c:grouping val="clustered"/>
        <c:varyColors val="0"/>
        <c:ser>
          <c:idx val="0"/>
          <c:order val="0"/>
          <c:tx>
            <c:strRef>
              <c:f>'Pivot Tables'!$C$24</c:f>
              <c:strCache>
                <c:ptCount val="1"/>
                <c:pt idx="0">
                  <c:v>Total</c:v>
                </c:pt>
              </c:strCache>
            </c:strRef>
          </c:tx>
          <c:spPr>
            <a:solidFill>
              <a:srgbClr val="92D050"/>
            </a:solidFill>
            <a:ln>
              <a:noFill/>
            </a:ln>
            <a:effectLst/>
          </c:spPr>
          <c:invertIfNegative val="0"/>
          <c:dPt>
            <c:idx val="2"/>
            <c:invertIfNegative val="0"/>
            <c:bubble3D val="0"/>
            <c:spPr>
              <a:gradFill>
                <a:gsLst>
                  <a:gs pos="0">
                    <a:srgbClr val="517D21"/>
                  </a:gs>
                  <a:gs pos="78000">
                    <a:schemeClr val="tx1"/>
                  </a:gs>
                  <a:gs pos="100000">
                    <a:schemeClr val="tx1"/>
                  </a:gs>
                </a:gsLst>
                <a:lin ang="5400000" scaled="1"/>
              </a:gradFill>
              <a:ln>
                <a:noFill/>
              </a:ln>
              <a:effectLst/>
            </c:spPr>
            <c:extLst>
              <c:ext xmlns:c16="http://schemas.microsoft.com/office/drawing/2014/chart" uri="{C3380CC4-5D6E-409C-BE32-E72D297353CC}">
                <c16:uniqueId val="{00000002-65AD-4D87-B328-0CA19DECCE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Tables'!$B$25:$B$33</c:f>
              <c:strCache>
                <c:ptCount val="8"/>
                <c:pt idx="0">
                  <c:v>Boots</c:v>
                </c:pt>
                <c:pt idx="1">
                  <c:v>Brogues</c:v>
                </c:pt>
                <c:pt idx="2">
                  <c:v>Canvas</c:v>
                </c:pt>
                <c:pt idx="3">
                  <c:v>Derby</c:v>
                </c:pt>
                <c:pt idx="4">
                  <c:v>Loafers</c:v>
                </c:pt>
                <c:pt idx="5">
                  <c:v>Monk Straps</c:v>
                </c:pt>
                <c:pt idx="6">
                  <c:v>Oxford</c:v>
                </c:pt>
                <c:pt idx="7">
                  <c:v>Slippers</c:v>
                </c:pt>
              </c:strCache>
            </c:strRef>
          </c:cat>
          <c:val>
            <c:numRef>
              <c:f>'Pivot Tables'!$C$25:$C$33</c:f>
              <c:numCache>
                <c:formatCode>[$$-409]#,##0_ ;\-[$$-409]#,##0\ </c:formatCode>
                <c:ptCount val="8"/>
                <c:pt idx="0">
                  <c:v>41040</c:v>
                </c:pt>
                <c:pt idx="1">
                  <c:v>58576</c:v>
                </c:pt>
                <c:pt idx="2">
                  <c:v>63488</c:v>
                </c:pt>
                <c:pt idx="3">
                  <c:v>16704</c:v>
                </c:pt>
                <c:pt idx="4">
                  <c:v>24462</c:v>
                </c:pt>
                <c:pt idx="5">
                  <c:v>51175</c:v>
                </c:pt>
                <c:pt idx="6">
                  <c:v>58905</c:v>
                </c:pt>
                <c:pt idx="7">
                  <c:v>40698</c:v>
                </c:pt>
              </c:numCache>
            </c:numRef>
          </c:val>
          <c:extLst>
            <c:ext xmlns:c16="http://schemas.microsoft.com/office/drawing/2014/chart" uri="{C3380CC4-5D6E-409C-BE32-E72D297353CC}">
              <c16:uniqueId val="{00000000-65AD-4D87-B328-0CA19DECCE43}"/>
            </c:ext>
          </c:extLst>
        </c:ser>
        <c:dLbls>
          <c:dLblPos val="outEnd"/>
          <c:showLegendKey val="0"/>
          <c:showVal val="1"/>
          <c:showCatName val="0"/>
          <c:showSerName val="0"/>
          <c:showPercent val="0"/>
          <c:showBubbleSize val="0"/>
        </c:dLbls>
        <c:gapWidth val="81"/>
        <c:overlap val="-27"/>
        <c:axId val="1152376688"/>
        <c:axId val="1445171968"/>
      </c:barChart>
      <c:catAx>
        <c:axId val="115237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71968"/>
        <c:crosses val="autoZero"/>
        <c:auto val="1"/>
        <c:lblAlgn val="ctr"/>
        <c:lblOffset val="100"/>
        <c:noMultiLvlLbl val="0"/>
      </c:catAx>
      <c:valAx>
        <c:axId val="1445171968"/>
        <c:scaling>
          <c:orientation val="minMax"/>
        </c:scaling>
        <c:delete val="1"/>
        <c:axPos val="l"/>
        <c:numFmt formatCode="[$$-409]#,##0_ ;\-[$$-409]#,##0\ " sourceLinked="1"/>
        <c:majorTickMark val="out"/>
        <c:minorTickMark val="none"/>
        <c:tickLblPos val="nextTo"/>
        <c:crossAx val="11523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by Category</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u="sng"/>
              <a:t>Proportion of </a:t>
            </a:r>
            <a:r>
              <a:rPr lang="en-US" sz="1200" b="0" i="0" u="sng" strike="noStrike" kern="1200" spc="0" baseline="0">
                <a:solidFill>
                  <a:srgbClr val="000000">
                    <a:lumMod val="65000"/>
                    <a:lumOff val="35000"/>
                  </a:srgbClr>
                </a:solidFill>
              </a:rPr>
              <a:t>Revenue Generated By </a:t>
            </a:r>
            <a:r>
              <a:rPr lang="en-US" sz="1200" u="sng"/>
              <a:t>Category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B38963"/>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48515A"/>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dLbl>
          <c:idx val="0"/>
          <c:layout>
            <c:manualLayout>
              <c:x val="0.214345991561181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Tables'!$C$41</c:f>
              <c:strCache>
                <c:ptCount val="1"/>
                <c:pt idx="0">
                  <c:v>Total</c:v>
                </c:pt>
              </c:strCache>
            </c:strRef>
          </c:tx>
          <c:dPt>
            <c:idx val="0"/>
            <c:bubble3D val="0"/>
            <c:spPr>
              <a:solidFill>
                <a:srgbClr val="B38963"/>
              </a:solidFill>
              <a:ln w="19050">
                <a:solidFill>
                  <a:schemeClr val="lt1"/>
                </a:solidFill>
              </a:ln>
              <a:effectLst/>
            </c:spPr>
            <c:extLst>
              <c:ext xmlns:c16="http://schemas.microsoft.com/office/drawing/2014/chart" uri="{C3380CC4-5D6E-409C-BE32-E72D297353CC}">
                <c16:uniqueId val="{00000002-8511-4688-BA14-0817A3FD2711}"/>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5-8511-4688-BA14-0817A3FD2711}"/>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4-8511-4688-BA14-0817A3FD2711}"/>
              </c:ext>
            </c:extLst>
          </c:dPt>
          <c:dPt>
            <c:idx val="3"/>
            <c:bubble3D val="0"/>
            <c:spPr>
              <a:solidFill>
                <a:srgbClr val="48515A"/>
              </a:solidFill>
              <a:ln w="19050">
                <a:solidFill>
                  <a:schemeClr val="lt1"/>
                </a:solidFill>
              </a:ln>
              <a:effectLst/>
            </c:spPr>
            <c:extLst>
              <c:ext xmlns:c16="http://schemas.microsoft.com/office/drawing/2014/chart" uri="{C3380CC4-5D6E-409C-BE32-E72D297353CC}">
                <c16:uniqueId val="{00000003-8511-4688-BA14-0817A3FD2711}"/>
              </c:ext>
            </c:extLst>
          </c:dPt>
          <c:dLbls>
            <c:dLbl>
              <c:idx val="0"/>
              <c:layout>
                <c:manualLayout>
                  <c:x val="0.15480543834974214"/>
                  <c:y val="1.38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11-4688-BA14-0817A3FD2711}"/>
                </c:ext>
              </c:extLst>
            </c:dLbl>
            <c:dLbl>
              <c:idx val="1"/>
              <c:layout>
                <c:manualLayout>
                  <c:x val="0.21434599156118145"/>
                  <c:y val="8.4875562720133283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511-4688-BA14-0817A3FD2711}"/>
                </c:ext>
              </c:extLst>
            </c:dLbl>
            <c:dLbl>
              <c:idx val="2"/>
              <c:layout>
                <c:manualLayout>
                  <c:x val="-0.17862165963431786"/>
                  <c:y val="5.09259259259259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511-4688-BA14-0817A3FD2711}"/>
                </c:ext>
              </c:extLst>
            </c:dLbl>
            <c:dLbl>
              <c:idx val="3"/>
              <c:layout>
                <c:manualLayout>
                  <c:x val="-0.20243788091889359"/>
                  <c:y val="-4.62962962962963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11-4688-BA14-0817A3FD27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Tables'!$B$42:$B$46</c:f>
              <c:strCache>
                <c:ptCount val="4"/>
                <c:pt idx="0">
                  <c:v>CASUAL</c:v>
                </c:pt>
                <c:pt idx="1">
                  <c:v>FORMAL</c:v>
                </c:pt>
                <c:pt idx="2">
                  <c:v>OPEN</c:v>
                </c:pt>
                <c:pt idx="3">
                  <c:v>UTILITY</c:v>
                </c:pt>
              </c:strCache>
            </c:strRef>
          </c:cat>
          <c:val>
            <c:numRef>
              <c:f>'Pivot Tables'!$C$42:$C$46</c:f>
              <c:numCache>
                <c:formatCode>[$$-409]#,##0_ ;\-[$$-409]#,##0\ </c:formatCode>
                <c:ptCount val="4"/>
                <c:pt idx="0">
                  <c:v>82917</c:v>
                </c:pt>
                <c:pt idx="1">
                  <c:v>179935</c:v>
                </c:pt>
                <c:pt idx="2">
                  <c:v>53035</c:v>
                </c:pt>
                <c:pt idx="3">
                  <c:v>39161</c:v>
                </c:pt>
              </c:numCache>
            </c:numRef>
          </c:val>
          <c:extLst>
            <c:ext xmlns:c16="http://schemas.microsoft.com/office/drawing/2014/chart" uri="{C3380CC4-5D6E-409C-BE32-E72D297353CC}">
              <c16:uniqueId val="{00000000-8511-4688-BA14-0817A3FD27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w="9525">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Tables!Revenue by Brand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sng" strike="noStrike" kern="1200" spc="0" baseline="0">
                <a:solidFill>
                  <a:srgbClr val="000000">
                    <a:lumMod val="65000"/>
                    <a:lumOff val="35000"/>
                  </a:srgbClr>
                </a:solidFill>
              </a:rPr>
              <a:t>Revenue Generated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517D21"/>
              </a:gs>
              <a:gs pos="78000">
                <a:schemeClr val="tx1"/>
              </a:gs>
              <a:gs pos="100000">
                <a:schemeClr val="tx1"/>
              </a:gs>
            </a:gsLst>
            <a:lin ang="10800000" scaled="0"/>
          </a:gradFill>
          <a:ln>
            <a:noFill/>
          </a:ln>
          <a:effectLst/>
        </c:spPr>
      </c:pivotFmt>
    </c:pivotFmts>
    <c:plotArea>
      <c:layout/>
      <c:barChart>
        <c:barDir val="bar"/>
        <c:grouping val="clustered"/>
        <c:varyColors val="0"/>
        <c:ser>
          <c:idx val="0"/>
          <c:order val="0"/>
          <c:tx>
            <c:strRef>
              <c:f>'Pivot Tables'!$C$58</c:f>
              <c:strCache>
                <c:ptCount val="1"/>
                <c:pt idx="0">
                  <c:v>Total</c:v>
                </c:pt>
              </c:strCache>
            </c:strRef>
          </c:tx>
          <c:spPr>
            <a:solidFill>
              <a:srgbClr val="92D050"/>
            </a:solidFill>
            <a:ln>
              <a:noFill/>
            </a:ln>
            <a:effectLst/>
          </c:spPr>
          <c:invertIfNegative val="0"/>
          <c:dPt>
            <c:idx val="0"/>
            <c:invertIfNegative val="0"/>
            <c:bubble3D val="0"/>
            <c:spPr>
              <a:gradFill>
                <a:gsLst>
                  <a:gs pos="0">
                    <a:srgbClr val="517D21"/>
                  </a:gs>
                  <a:gs pos="78000">
                    <a:schemeClr val="tx1"/>
                  </a:gs>
                  <a:gs pos="100000">
                    <a:schemeClr val="tx1"/>
                  </a:gs>
                </a:gsLst>
                <a:lin ang="10800000" scaled="0"/>
              </a:gradFill>
              <a:ln>
                <a:noFill/>
              </a:ln>
              <a:effectLst/>
            </c:spPr>
            <c:extLst>
              <c:ext xmlns:c16="http://schemas.microsoft.com/office/drawing/2014/chart" uri="{C3380CC4-5D6E-409C-BE32-E72D297353CC}">
                <c16:uniqueId val="{0000001C-6145-4455-9654-D362758641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Tables'!$B$59:$B$64</c:f>
              <c:strCache>
                <c:ptCount val="5"/>
                <c:pt idx="0">
                  <c:v>Clarks</c:v>
                </c:pt>
                <c:pt idx="1">
                  <c:v>Nike</c:v>
                </c:pt>
                <c:pt idx="2">
                  <c:v>Steve Madden</c:v>
                </c:pt>
                <c:pt idx="3">
                  <c:v>Timberland</c:v>
                </c:pt>
                <c:pt idx="4">
                  <c:v>Zara</c:v>
                </c:pt>
              </c:strCache>
            </c:strRef>
          </c:cat>
          <c:val>
            <c:numRef>
              <c:f>'Pivot Tables'!$C$59:$C$64</c:f>
              <c:numCache>
                <c:formatCode>[$$-409]#,##0</c:formatCode>
                <c:ptCount val="5"/>
                <c:pt idx="0">
                  <c:v>123543</c:v>
                </c:pt>
                <c:pt idx="1">
                  <c:v>54029</c:v>
                </c:pt>
                <c:pt idx="2">
                  <c:v>43855</c:v>
                </c:pt>
                <c:pt idx="3">
                  <c:v>38824</c:v>
                </c:pt>
                <c:pt idx="4">
                  <c:v>94797</c:v>
                </c:pt>
              </c:numCache>
            </c:numRef>
          </c:val>
          <c:extLst>
            <c:ext xmlns:c16="http://schemas.microsoft.com/office/drawing/2014/chart" uri="{C3380CC4-5D6E-409C-BE32-E72D297353CC}">
              <c16:uniqueId val="{0000001B-6145-4455-9654-D36275864156}"/>
            </c:ext>
          </c:extLst>
        </c:ser>
        <c:dLbls>
          <c:dLblPos val="outEnd"/>
          <c:showLegendKey val="0"/>
          <c:showVal val="1"/>
          <c:showCatName val="0"/>
          <c:showSerName val="0"/>
          <c:showPercent val="0"/>
          <c:showBubbleSize val="0"/>
        </c:dLbls>
        <c:gapWidth val="182"/>
        <c:axId val="741756208"/>
        <c:axId val="1567052096"/>
      </c:barChart>
      <c:valAx>
        <c:axId val="1567052096"/>
        <c:scaling>
          <c:orientation val="minMax"/>
        </c:scaling>
        <c:delete val="1"/>
        <c:axPos val="b"/>
        <c:numFmt formatCode="[$$-409]#,##0" sourceLinked="1"/>
        <c:majorTickMark val="out"/>
        <c:minorTickMark val="none"/>
        <c:tickLblPos val="nextTo"/>
        <c:crossAx val="741756208"/>
        <c:crosses val="autoZero"/>
        <c:crossBetween val="between"/>
      </c:valAx>
      <c:catAx>
        <c:axId val="74175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052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Tables!Profit by Country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u="sng"/>
              <a:t>Revenue and Profit Generated By</a:t>
            </a:r>
            <a:r>
              <a:rPr lang="en-GB" sz="1200" u="sng" baseline="0"/>
              <a:t> Country</a:t>
            </a:r>
            <a:endParaRPr lang="en-GB" sz="1200"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17D21"/>
              </a:gs>
              <a:gs pos="78000">
                <a:schemeClr val="tx1"/>
              </a:gs>
              <a:gs pos="100000">
                <a:schemeClr val="tx1"/>
              </a:gs>
            </a:gsLst>
            <a:lin ang="5400000" scaled="0"/>
          </a:gradFill>
          <a:ln>
            <a:noFill/>
          </a:ln>
          <a:effectLst/>
        </c:spPr>
      </c:pivotFmt>
      <c:pivotFmt>
        <c:idx val="3"/>
        <c:spPr>
          <a:solidFill>
            <a:schemeClr val="tx1">
              <a:lumMod val="75000"/>
              <a:lumOff val="25000"/>
            </a:schemeClr>
          </a:solidFill>
          <a:ln>
            <a:noFill/>
          </a:ln>
          <a:effectLst/>
        </c:spPr>
      </c:pivotFmt>
      <c:pivotFmt>
        <c:idx val="4"/>
        <c:spPr>
          <a:solidFill>
            <a:schemeClr val="tx1">
              <a:lumMod val="75000"/>
              <a:lumOff val="25000"/>
            </a:schemeClr>
          </a:solidFill>
          <a:ln>
            <a:noFill/>
          </a:ln>
          <a:effectLst/>
        </c:spPr>
      </c:pivotFmt>
      <c:pivotFmt>
        <c:idx val="5"/>
        <c:spPr>
          <a:gradFill>
            <a:gsLst>
              <a:gs pos="0">
                <a:srgbClr val="517D21"/>
              </a:gs>
              <a:gs pos="78000">
                <a:schemeClr val="tx1"/>
              </a:gs>
              <a:gs pos="100000">
                <a:schemeClr val="tx1"/>
              </a:gs>
            </a:gsLst>
            <a:lin ang="5400000" scaled="0"/>
          </a:gradFill>
          <a:ln>
            <a:noFill/>
          </a:ln>
          <a:effectLst/>
        </c:spPr>
      </c:pivotFmt>
    </c:pivotFmts>
    <c:plotArea>
      <c:layout/>
      <c:barChart>
        <c:barDir val="col"/>
        <c:grouping val="clustered"/>
        <c:varyColors val="0"/>
        <c:ser>
          <c:idx val="0"/>
          <c:order val="0"/>
          <c:tx>
            <c:strRef>
              <c:f>'Pivot Tables'!$C$75</c:f>
              <c:strCache>
                <c:ptCount val="1"/>
                <c:pt idx="0">
                  <c:v> Profit</c:v>
                </c:pt>
              </c:strCache>
            </c:strRef>
          </c:tx>
          <c:spPr>
            <a:solidFill>
              <a:schemeClr val="tx1"/>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1-E315-4FA2-A8F2-2D18D25D852D}"/>
              </c:ext>
            </c:extLst>
          </c:dPt>
          <c:dPt>
            <c:idx val="7"/>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3-F581-472F-A546-A14BECEB4B20}"/>
              </c:ext>
            </c:extLst>
          </c:dPt>
          <c:dPt>
            <c:idx val="12"/>
            <c:invertIfNegative val="0"/>
            <c:bubble3D val="0"/>
            <c:extLst>
              <c:ext xmlns:c16="http://schemas.microsoft.com/office/drawing/2014/chart" uri="{C3380CC4-5D6E-409C-BE32-E72D297353CC}">
                <c16:uniqueId val="{00000005-8CFE-4F9E-84D6-40A5167DDF57}"/>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Tables'!$C$76:$C$90</c:f>
              <c:numCache>
                <c:formatCode>[$$-409]#,##0</c:formatCode>
                <c:ptCount val="14"/>
                <c:pt idx="0">
                  <c:v>17892</c:v>
                </c:pt>
                <c:pt idx="1">
                  <c:v>15393</c:v>
                </c:pt>
                <c:pt idx="2">
                  <c:v>14468</c:v>
                </c:pt>
                <c:pt idx="3">
                  <c:v>13584</c:v>
                </c:pt>
                <c:pt idx="4">
                  <c:v>13441</c:v>
                </c:pt>
                <c:pt idx="5">
                  <c:v>11974</c:v>
                </c:pt>
                <c:pt idx="6">
                  <c:v>12210</c:v>
                </c:pt>
                <c:pt idx="7">
                  <c:v>11798</c:v>
                </c:pt>
                <c:pt idx="8">
                  <c:v>9548</c:v>
                </c:pt>
                <c:pt idx="9">
                  <c:v>9638</c:v>
                </c:pt>
                <c:pt idx="10">
                  <c:v>9010</c:v>
                </c:pt>
                <c:pt idx="11">
                  <c:v>8476</c:v>
                </c:pt>
                <c:pt idx="12">
                  <c:v>8102</c:v>
                </c:pt>
                <c:pt idx="13">
                  <c:v>6801</c:v>
                </c:pt>
              </c:numCache>
            </c:numRef>
          </c:val>
          <c:extLst>
            <c:ext xmlns:c16="http://schemas.microsoft.com/office/drawing/2014/chart" uri="{C3380CC4-5D6E-409C-BE32-E72D297353CC}">
              <c16:uniqueId val="{00000000-8CFE-4F9E-84D6-40A5167DDF57}"/>
            </c:ext>
          </c:extLst>
        </c:ser>
        <c:ser>
          <c:idx val="1"/>
          <c:order val="1"/>
          <c:tx>
            <c:strRef>
              <c:f>'Pivot Tables'!$D$75</c:f>
              <c:strCache>
                <c:ptCount val="1"/>
                <c:pt idx="0">
                  <c:v> Revenue</c:v>
                </c:pt>
              </c:strCache>
            </c:strRef>
          </c:tx>
          <c:spPr>
            <a:solidFill>
              <a:srgbClr val="92D050"/>
            </a:solidFill>
            <a:ln>
              <a:solidFill>
                <a:srgbClr val="92D050"/>
              </a:solidFill>
            </a:ln>
            <a:effectLst/>
          </c:spPr>
          <c:invertIfNegative val="0"/>
          <c:dPt>
            <c:idx val="0"/>
            <c:invertIfNegative val="0"/>
            <c:bubble3D val="0"/>
            <c:spPr>
              <a:gradFill>
                <a:gsLst>
                  <a:gs pos="0">
                    <a:srgbClr val="517D21"/>
                  </a:gs>
                  <a:gs pos="78000">
                    <a:schemeClr val="tx1"/>
                  </a:gs>
                  <a:gs pos="100000">
                    <a:schemeClr val="tx1"/>
                  </a:gs>
                </a:gsLst>
                <a:lin ang="5400000" scaled="0"/>
              </a:gradFill>
              <a:ln>
                <a:noFill/>
              </a:ln>
              <a:effectLst/>
            </c:spPr>
            <c:extLst>
              <c:ext xmlns:c16="http://schemas.microsoft.com/office/drawing/2014/chart" uri="{C3380CC4-5D6E-409C-BE32-E72D297353CC}">
                <c16:uniqueId val="{00000004-E315-4FA2-A8F2-2D18D25D852D}"/>
              </c:ext>
            </c:extLst>
          </c:dPt>
          <c:dPt>
            <c:idx val="7"/>
            <c:invertIfNegative val="0"/>
            <c:bubble3D val="0"/>
            <c:spPr>
              <a:gradFill>
                <a:gsLst>
                  <a:gs pos="0">
                    <a:srgbClr val="517D21"/>
                  </a:gs>
                  <a:gs pos="78000">
                    <a:schemeClr val="tx1"/>
                  </a:gs>
                  <a:gs pos="100000">
                    <a:schemeClr val="tx1"/>
                  </a:gs>
                </a:gsLst>
                <a:lin ang="5400000" scaled="0"/>
              </a:gradFill>
              <a:ln>
                <a:noFill/>
              </a:ln>
              <a:effectLst/>
            </c:spPr>
            <c:extLst>
              <c:ext xmlns:c16="http://schemas.microsoft.com/office/drawing/2014/chart" uri="{C3380CC4-5D6E-409C-BE32-E72D297353CC}">
                <c16:uniqueId val="{00000008-F581-472F-A546-A14BECEB4B20}"/>
              </c:ext>
            </c:extLst>
          </c:dPt>
          <c:dPt>
            <c:idx val="12"/>
            <c:invertIfNegative val="0"/>
            <c:bubble3D val="0"/>
            <c:extLst>
              <c:ext xmlns:c16="http://schemas.microsoft.com/office/drawing/2014/chart" uri="{C3380CC4-5D6E-409C-BE32-E72D297353CC}">
                <c16:uniqueId val="{00000004-8CFE-4F9E-84D6-40A5167DDF57}"/>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Tables'!$D$76:$D$90</c:f>
              <c:numCache>
                <c:formatCode>[$$-409]#,##0</c:formatCode>
                <c:ptCount val="14"/>
                <c:pt idx="0">
                  <c:v>39127</c:v>
                </c:pt>
                <c:pt idx="1">
                  <c:v>32871</c:v>
                </c:pt>
                <c:pt idx="2">
                  <c:v>32026</c:v>
                </c:pt>
                <c:pt idx="3">
                  <c:v>30124</c:v>
                </c:pt>
                <c:pt idx="4">
                  <c:v>29392</c:v>
                </c:pt>
                <c:pt idx="5">
                  <c:v>26595</c:v>
                </c:pt>
                <c:pt idx="6">
                  <c:v>26531</c:v>
                </c:pt>
                <c:pt idx="7">
                  <c:v>25851</c:v>
                </c:pt>
                <c:pt idx="8">
                  <c:v>20810</c:v>
                </c:pt>
                <c:pt idx="9">
                  <c:v>20798</c:v>
                </c:pt>
                <c:pt idx="10">
                  <c:v>20204</c:v>
                </c:pt>
                <c:pt idx="11">
                  <c:v>18562</c:v>
                </c:pt>
                <c:pt idx="12">
                  <c:v>17565</c:v>
                </c:pt>
                <c:pt idx="13">
                  <c:v>14592</c:v>
                </c:pt>
              </c:numCache>
            </c:numRef>
          </c:val>
          <c:extLst>
            <c:ext xmlns:c16="http://schemas.microsoft.com/office/drawing/2014/chart" uri="{C3380CC4-5D6E-409C-BE32-E72D297353CC}">
              <c16:uniqueId val="{00000001-8CFE-4F9E-84D6-40A5167DDF57}"/>
            </c:ext>
          </c:extLst>
        </c:ser>
        <c:dLbls>
          <c:showLegendKey val="0"/>
          <c:showVal val="0"/>
          <c:showCatName val="0"/>
          <c:showSerName val="0"/>
          <c:showPercent val="0"/>
          <c:showBubbleSize val="0"/>
        </c:dLbls>
        <c:gapWidth val="150"/>
        <c:axId val="1168101232"/>
        <c:axId val="796035232"/>
      </c:barChart>
      <c:catAx>
        <c:axId val="11681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35232"/>
        <c:crosses val="autoZero"/>
        <c:auto val="1"/>
        <c:lblAlgn val="ctr"/>
        <c:lblOffset val="100"/>
        <c:noMultiLvlLbl val="0"/>
      </c:catAx>
      <c:valAx>
        <c:axId val="79603523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0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Maison.xlsx]Pivot Tables!Payment type</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u="sng"/>
              <a:t>Payment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B38963"/>
          </a:solidFill>
          <a:ln w="25400">
            <a:solidFill>
              <a:schemeClr val="lt1"/>
            </a:solidFill>
          </a:ln>
          <a:effectLst/>
          <a:sp3d contourW="25400">
            <a:contourClr>
              <a:schemeClr val="lt1"/>
            </a:contourClr>
          </a:sp3d>
        </c:spPr>
      </c:pivotFmt>
      <c:pivotFmt>
        <c:idx val="2"/>
        <c:spPr>
          <a:solidFill>
            <a:srgbClr val="48515A"/>
          </a:solidFill>
          <a:ln w="25400">
            <a:solidFill>
              <a:schemeClr val="lt1"/>
            </a:solidFill>
          </a:ln>
          <a:effectLst/>
          <a:sp3d contourW="25400">
            <a:contourClr>
              <a:schemeClr val="lt1"/>
            </a:contourClr>
          </a:sp3d>
        </c:spPr>
      </c:pivotFmt>
      <c:pivotFmt>
        <c:idx val="3"/>
        <c:spPr>
          <a:solidFill>
            <a:srgbClr val="C0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Tables'!$C$94</c:f>
              <c:strCache>
                <c:ptCount val="1"/>
                <c:pt idx="0">
                  <c:v>Total</c:v>
                </c:pt>
              </c:strCache>
            </c:strRef>
          </c:tx>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4-CAA8-4BE1-B670-8BE6BE72A867}"/>
              </c:ext>
            </c:extLst>
          </c:dPt>
          <c:dPt>
            <c:idx val="1"/>
            <c:bubble3D val="0"/>
            <c:spPr>
              <a:solidFill>
                <a:srgbClr val="B38963"/>
              </a:solidFill>
              <a:ln w="25400">
                <a:solidFill>
                  <a:schemeClr val="lt1"/>
                </a:solidFill>
              </a:ln>
              <a:effectLst/>
              <a:sp3d contourW="25400">
                <a:contourClr>
                  <a:schemeClr val="lt1"/>
                </a:contourClr>
              </a:sp3d>
            </c:spPr>
            <c:extLst>
              <c:ext xmlns:c16="http://schemas.microsoft.com/office/drawing/2014/chart" uri="{C3380CC4-5D6E-409C-BE32-E72D297353CC}">
                <c16:uniqueId val="{00000002-CAA8-4BE1-B670-8BE6BE72A867}"/>
              </c:ext>
            </c:extLst>
          </c:dPt>
          <c:dPt>
            <c:idx val="2"/>
            <c:bubble3D val="0"/>
            <c:spPr>
              <a:solidFill>
                <a:srgbClr val="48515A"/>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A8-4BE1-B670-8BE6BE72A8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389-4966-AB73-B7E21E6083C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Tables'!$B$95:$B$99</c:f>
              <c:strCache>
                <c:ptCount val="4"/>
                <c:pt idx="0">
                  <c:v>Bank Transfer</c:v>
                </c:pt>
                <c:pt idx="1">
                  <c:v>Card</c:v>
                </c:pt>
                <c:pt idx="2">
                  <c:v>Cash</c:v>
                </c:pt>
                <c:pt idx="3">
                  <c:v>Mobile Money</c:v>
                </c:pt>
              </c:strCache>
            </c:strRef>
          </c:cat>
          <c:val>
            <c:numRef>
              <c:f>'Pivot Tables'!$C$95:$C$99</c:f>
              <c:numCache>
                <c:formatCode>General</c:formatCode>
                <c:ptCount val="4"/>
                <c:pt idx="0">
                  <c:v>135</c:v>
                </c:pt>
                <c:pt idx="1">
                  <c:v>137</c:v>
                </c:pt>
                <c:pt idx="2">
                  <c:v>125</c:v>
                </c:pt>
                <c:pt idx="3">
                  <c:v>103</c:v>
                </c:pt>
              </c:numCache>
            </c:numRef>
          </c:val>
          <c:extLst>
            <c:ext xmlns:c16="http://schemas.microsoft.com/office/drawing/2014/chart" uri="{C3380CC4-5D6E-409C-BE32-E72D297353CC}">
              <c16:uniqueId val="{00000000-CAA8-4BE1-B670-8BE6BE72A867}"/>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243909</xdr:colOff>
      <xdr:row>1</xdr:row>
      <xdr:rowOff>47206</xdr:rowOff>
    </xdr:from>
    <xdr:to>
      <xdr:col>3</xdr:col>
      <xdr:colOff>261330</xdr:colOff>
      <xdr:row>7</xdr:row>
      <xdr:rowOff>140827</xdr:rowOff>
    </xdr:to>
    <xdr:pic>
      <xdr:nvPicPr>
        <xdr:cNvPr id="5" name="Picture 4">
          <a:extLst>
            <a:ext uri="{FF2B5EF4-FFF2-40B4-BE49-F238E27FC236}">
              <a16:creationId xmlns:a16="http://schemas.microsoft.com/office/drawing/2014/main" id="{E18CF01E-7BF1-A8D2-F35F-C5177C5A1E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53509" y="237706"/>
          <a:ext cx="1236621" cy="1236621"/>
        </a:xfrm>
        <a:prstGeom prst="rect">
          <a:avLst/>
        </a:prstGeom>
      </xdr:spPr>
    </xdr:pic>
    <xdr:clientData/>
  </xdr:twoCellAnchor>
  <xdr:twoCellAnchor>
    <xdr:from>
      <xdr:col>15</xdr:col>
      <xdr:colOff>240192</xdr:colOff>
      <xdr:row>12</xdr:row>
      <xdr:rowOff>89446</xdr:rowOff>
    </xdr:from>
    <xdr:to>
      <xdr:col>20</xdr:col>
      <xdr:colOff>374592</xdr:colOff>
      <xdr:row>23</xdr:row>
      <xdr:rowOff>63946</xdr:rowOff>
    </xdr:to>
    <xdr:graphicFrame macro="">
      <xdr:nvGraphicFramePr>
        <xdr:cNvPr id="40" name="Chart 39">
          <a:extLst>
            <a:ext uri="{FF2B5EF4-FFF2-40B4-BE49-F238E27FC236}">
              <a16:creationId xmlns:a16="http://schemas.microsoft.com/office/drawing/2014/main" id="{02AD1DC9-08E0-4E61-970F-3A51637F6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16564</xdr:colOff>
      <xdr:row>12</xdr:row>
      <xdr:rowOff>82826</xdr:rowOff>
    </xdr:from>
    <xdr:to>
      <xdr:col>15</xdr:col>
      <xdr:colOff>149083</xdr:colOff>
      <xdr:row>23</xdr:row>
      <xdr:rowOff>57326</xdr:rowOff>
    </xdr:to>
    <xdr:graphicFrame macro="">
      <xdr:nvGraphicFramePr>
        <xdr:cNvPr id="41" name="Chart 40">
          <a:extLst>
            <a:ext uri="{FF2B5EF4-FFF2-40B4-BE49-F238E27FC236}">
              <a16:creationId xmlns:a16="http://schemas.microsoft.com/office/drawing/2014/main" id="{409E9FC3-42DC-49DF-B8CB-F583F73D7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397521</xdr:colOff>
      <xdr:row>0</xdr:row>
      <xdr:rowOff>190496</xdr:rowOff>
    </xdr:from>
    <xdr:to>
      <xdr:col>9</xdr:col>
      <xdr:colOff>531921</xdr:colOff>
      <xdr:row>11</xdr:row>
      <xdr:rowOff>190196</xdr:rowOff>
    </xdr:to>
    <xdr:graphicFrame macro="">
      <xdr:nvGraphicFramePr>
        <xdr:cNvPr id="42" name="Chart 41">
          <a:extLst>
            <a:ext uri="{FF2B5EF4-FFF2-40B4-BE49-F238E27FC236}">
              <a16:creationId xmlns:a16="http://schemas.microsoft.com/office/drawing/2014/main" id="{135F12C4-C9E1-4299-B831-7F3D10F6C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397521</xdr:colOff>
      <xdr:row>12</xdr:row>
      <xdr:rowOff>82826</xdr:rowOff>
    </xdr:from>
    <xdr:to>
      <xdr:col>9</xdr:col>
      <xdr:colOff>531167</xdr:colOff>
      <xdr:row>23</xdr:row>
      <xdr:rowOff>58037</xdr:rowOff>
    </xdr:to>
    <xdr:graphicFrame macro="">
      <xdr:nvGraphicFramePr>
        <xdr:cNvPr id="43" name="Chart 42">
          <a:extLst>
            <a:ext uri="{FF2B5EF4-FFF2-40B4-BE49-F238E27FC236}">
              <a16:creationId xmlns:a16="http://schemas.microsoft.com/office/drawing/2014/main" id="{0CF62671-110B-4458-8D1E-E2CCA8AF2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240192</xdr:colOff>
      <xdr:row>0</xdr:row>
      <xdr:rowOff>190496</xdr:rowOff>
    </xdr:from>
    <xdr:to>
      <xdr:col>20</xdr:col>
      <xdr:colOff>373661</xdr:colOff>
      <xdr:row>11</xdr:row>
      <xdr:rowOff>190196</xdr:rowOff>
    </xdr:to>
    <xdr:graphicFrame macro="">
      <xdr:nvGraphicFramePr>
        <xdr:cNvPr id="44" name="Chart 43">
          <a:extLst>
            <a:ext uri="{FF2B5EF4-FFF2-40B4-BE49-F238E27FC236}">
              <a16:creationId xmlns:a16="http://schemas.microsoft.com/office/drawing/2014/main" id="{CCE883C5-31E8-42F5-B4DC-34CC51767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16564</xdr:colOff>
      <xdr:row>0</xdr:row>
      <xdr:rowOff>190497</xdr:rowOff>
    </xdr:from>
    <xdr:to>
      <xdr:col>15</xdr:col>
      <xdr:colOff>150964</xdr:colOff>
      <xdr:row>11</xdr:row>
      <xdr:rowOff>190197</xdr:rowOff>
    </xdr:to>
    <xdr:graphicFrame macro="">
      <xdr:nvGraphicFramePr>
        <xdr:cNvPr id="45" name="Chart 44">
          <a:extLst>
            <a:ext uri="{FF2B5EF4-FFF2-40B4-BE49-F238E27FC236}">
              <a16:creationId xmlns:a16="http://schemas.microsoft.com/office/drawing/2014/main" id="{D58DA38B-3FBE-4531-9BD8-68B942DFC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331305</xdr:colOff>
      <xdr:row>7</xdr:row>
      <xdr:rowOff>93591</xdr:rowOff>
    </xdr:from>
    <xdr:to>
      <xdr:col>4</xdr:col>
      <xdr:colOff>173933</xdr:colOff>
      <xdr:row>8</xdr:row>
      <xdr:rowOff>168135</xdr:rowOff>
    </xdr:to>
    <xdr:sp macro="" textlink="">
      <xdr:nvSpPr>
        <xdr:cNvPr id="47" name="TextBox 46">
          <a:extLst>
            <a:ext uri="{FF2B5EF4-FFF2-40B4-BE49-F238E27FC236}">
              <a16:creationId xmlns:a16="http://schemas.microsoft.com/office/drawing/2014/main" id="{833CC8FF-53F6-04AC-1DAA-47EE8E25FBC8}"/>
            </a:ext>
          </a:extLst>
        </xdr:cNvPr>
        <xdr:cNvSpPr txBox="1"/>
      </xdr:nvSpPr>
      <xdr:spPr>
        <a:xfrm>
          <a:off x="331305" y="1427091"/>
          <a:ext cx="2281028" cy="26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Shoe Sales Performance Analysis</a:t>
          </a:r>
        </a:p>
      </xdr:txBody>
    </xdr:sp>
    <xdr:clientData/>
  </xdr:twoCellAnchor>
  <xdr:twoCellAnchor>
    <xdr:from>
      <xdr:col>0</xdr:col>
      <xdr:colOff>367722</xdr:colOff>
      <xdr:row>10</xdr:row>
      <xdr:rowOff>11180</xdr:rowOff>
    </xdr:from>
    <xdr:to>
      <xdr:col>2</xdr:col>
      <xdr:colOff>162690</xdr:colOff>
      <xdr:row>12</xdr:row>
      <xdr:rowOff>118854</xdr:rowOff>
    </xdr:to>
    <xdr:grpSp>
      <xdr:nvGrpSpPr>
        <xdr:cNvPr id="2" name="Group 1">
          <a:extLst>
            <a:ext uri="{FF2B5EF4-FFF2-40B4-BE49-F238E27FC236}">
              <a16:creationId xmlns:a16="http://schemas.microsoft.com/office/drawing/2014/main" id="{5E3BFD2F-EF5C-BCC9-CDEA-2714753A288D}"/>
            </a:ext>
          </a:extLst>
        </xdr:cNvPr>
        <xdr:cNvGrpSpPr/>
      </xdr:nvGrpSpPr>
      <xdr:grpSpPr>
        <a:xfrm>
          <a:off x="367722" y="1916180"/>
          <a:ext cx="1014168" cy="488674"/>
          <a:chOff x="339589" y="2078935"/>
          <a:chExt cx="1020467" cy="488674"/>
        </a:xfrm>
      </xdr:grpSpPr>
      <xdr:sp macro="" textlink="">
        <xdr:nvSpPr>
          <xdr:cNvPr id="6" name="Rectangle: Rounded Corners 5">
            <a:extLst>
              <a:ext uri="{FF2B5EF4-FFF2-40B4-BE49-F238E27FC236}">
                <a16:creationId xmlns:a16="http://schemas.microsoft.com/office/drawing/2014/main" id="{136A9B23-DC78-142B-458C-1AA173EB7DE0}"/>
              </a:ext>
            </a:extLst>
          </xdr:cNvPr>
          <xdr:cNvSpPr/>
        </xdr:nvSpPr>
        <xdr:spPr>
          <a:xfrm>
            <a:off x="339589" y="2078935"/>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12" name="TextBox 11">
            <a:extLst>
              <a:ext uri="{FF2B5EF4-FFF2-40B4-BE49-F238E27FC236}">
                <a16:creationId xmlns:a16="http://schemas.microsoft.com/office/drawing/2014/main" id="{3ACCA3FB-4642-38DE-DD0F-7A480B3E3EE8}"/>
              </a:ext>
            </a:extLst>
          </xdr:cNvPr>
          <xdr:cNvSpPr txBox="1"/>
        </xdr:nvSpPr>
        <xdr:spPr>
          <a:xfrm>
            <a:off x="405320" y="2114868"/>
            <a:ext cx="880721"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Total Revenue</a:t>
            </a:r>
          </a:p>
        </xdr:txBody>
      </xdr:sp>
      <xdr:sp macro="" textlink="'Pivot Tables'!B5">
        <xdr:nvSpPr>
          <xdr:cNvPr id="50" name="TextBox 49">
            <a:extLst>
              <a:ext uri="{FF2B5EF4-FFF2-40B4-BE49-F238E27FC236}">
                <a16:creationId xmlns:a16="http://schemas.microsoft.com/office/drawing/2014/main" id="{1216FAAD-7E19-3FBA-5DDF-CDBB9D7F374B}"/>
              </a:ext>
            </a:extLst>
          </xdr:cNvPr>
          <xdr:cNvSpPr txBox="1"/>
        </xdr:nvSpPr>
        <xdr:spPr>
          <a:xfrm>
            <a:off x="449321" y="2305368"/>
            <a:ext cx="776507"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26FB0B-ABFA-457F-8A86-EA8B7169EC03}" type="TxLink">
              <a:rPr lang="en-US" sz="1200" b="1" i="0" u="none" strike="noStrike">
                <a:solidFill>
                  <a:schemeClr val="bg1"/>
                </a:solidFill>
                <a:latin typeface="Calibri"/>
                <a:cs typeface="Calibri"/>
              </a:rPr>
              <a:pPr algn="ctr"/>
              <a:t>$355,048 </a:t>
            </a:fld>
            <a:endParaRPr lang="en-GB" sz="1200" b="1">
              <a:solidFill>
                <a:schemeClr val="bg1"/>
              </a:solidFill>
            </a:endParaRPr>
          </a:p>
        </xdr:txBody>
      </xdr:sp>
    </xdr:grpSp>
    <xdr:clientData/>
  </xdr:twoCellAnchor>
  <xdr:twoCellAnchor>
    <xdr:from>
      <xdr:col>0</xdr:col>
      <xdr:colOff>367722</xdr:colOff>
      <xdr:row>12</xdr:row>
      <xdr:rowOff>180145</xdr:rowOff>
    </xdr:from>
    <xdr:to>
      <xdr:col>2</xdr:col>
      <xdr:colOff>162690</xdr:colOff>
      <xdr:row>15</xdr:row>
      <xdr:rowOff>97319</xdr:rowOff>
    </xdr:to>
    <xdr:grpSp>
      <xdr:nvGrpSpPr>
        <xdr:cNvPr id="3" name="Group 2">
          <a:extLst>
            <a:ext uri="{FF2B5EF4-FFF2-40B4-BE49-F238E27FC236}">
              <a16:creationId xmlns:a16="http://schemas.microsoft.com/office/drawing/2014/main" id="{C1E6C378-12C9-505C-ABEB-4B72FA4CB7A6}"/>
            </a:ext>
          </a:extLst>
        </xdr:cNvPr>
        <xdr:cNvGrpSpPr/>
      </xdr:nvGrpSpPr>
      <xdr:grpSpPr>
        <a:xfrm>
          <a:off x="367722" y="2466145"/>
          <a:ext cx="1014168" cy="488674"/>
          <a:chOff x="1466024" y="2078935"/>
          <a:chExt cx="1020467" cy="488674"/>
        </a:xfrm>
      </xdr:grpSpPr>
      <xdr:sp macro="" textlink="">
        <xdr:nvSpPr>
          <xdr:cNvPr id="16" name="Rectangle: Rounded Corners 15">
            <a:extLst>
              <a:ext uri="{FF2B5EF4-FFF2-40B4-BE49-F238E27FC236}">
                <a16:creationId xmlns:a16="http://schemas.microsoft.com/office/drawing/2014/main" id="{AD2F8866-338A-6050-D7BB-169B515B7F56}"/>
              </a:ext>
            </a:extLst>
          </xdr:cNvPr>
          <xdr:cNvSpPr/>
        </xdr:nvSpPr>
        <xdr:spPr>
          <a:xfrm>
            <a:off x="1466024" y="2078935"/>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17" name="TextBox 16">
            <a:extLst>
              <a:ext uri="{FF2B5EF4-FFF2-40B4-BE49-F238E27FC236}">
                <a16:creationId xmlns:a16="http://schemas.microsoft.com/office/drawing/2014/main" id="{A048992C-B10E-897B-9A14-CC88472CE1FC}"/>
              </a:ext>
            </a:extLst>
          </xdr:cNvPr>
          <xdr:cNvSpPr txBox="1"/>
        </xdr:nvSpPr>
        <xdr:spPr>
          <a:xfrm>
            <a:off x="1508725" y="2114868"/>
            <a:ext cx="930131"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Total Cost</a:t>
            </a:r>
          </a:p>
        </xdr:txBody>
      </xdr:sp>
      <xdr:sp macro="" textlink="'Pivot Tables'!C5">
        <xdr:nvSpPr>
          <xdr:cNvPr id="51" name="TextBox 50">
            <a:extLst>
              <a:ext uri="{FF2B5EF4-FFF2-40B4-BE49-F238E27FC236}">
                <a16:creationId xmlns:a16="http://schemas.microsoft.com/office/drawing/2014/main" id="{FAAC71A0-882D-4914-C3C5-E3EB6D723CD6}"/>
              </a:ext>
            </a:extLst>
          </xdr:cNvPr>
          <xdr:cNvSpPr txBox="1"/>
        </xdr:nvSpPr>
        <xdr:spPr>
          <a:xfrm>
            <a:off x="1569765" y="2305369"/>
            <a:ext cx="771572"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A72DA4-7B4C-4815-B811-51A9686000B8}" type="TxLink">
              <a:rPr lang="en-US" sz="1200" b="1" i="0" u="none" strike="noStrike">
                <a:solidFill>
                  <a:schemeClr val="bg1"/>
                </a:solidFill>
                <a:latin typeface="Calibri"/>
                <a:ea typeface="+mn-ea"/>
                <a:cs typeface="Calibri"/>
              </a:rPr>
              <a:pPr marL="0" indent="0" algn="ctr"/>
              <a:t>$192,713 </a:t>
            </a:fld>
            <a:endParaRPr lang="en-GB" sz="1200" b="1" i="0" u="none" strike="noStrike">
              <a:solidFill>
                <a:schemeClr val="bg1"/>
              </a:solidFill>
              <a:latin typeface="Calibri"/>
              <a:ea typeface="+mn-ea"/>
              <a:cs typeface="Calibri"/>
            </a:endParaRPr>
          </a:p>
        </xdr:txBody>
      </xdr:sp>
    </xdr:grpSp>
    <xdr:clientData/>
  </xdr:twoCellAnchor>
  <xdr:twoCellAnchor>
    <xdr:from>
      <xdr:col>2</xdr:col>
      <xdr:colOff>269582</xdr:colOff>
      <xdr:row>10</xdr:row>
      <xdr:rowOff>11180</xdr:rowOff>
    </xdr:from>
    <xdr:to>
      <xdr:col>4</xdr:col>
      <xdr:colOff>103497</xdr:colOff>
      <xdr:row>12</xdr:row>
      <xdr:rowOff>118854</xdr:rowOff>
    </xdr:to>
    <xdr:grpSp>
      <xdr:nvGrpSpPr>
        <xdr:cNvPr id="7" name="Group 6">
          <a:extLst>
            <a:ext uri="{FF2B5EF4-FFF2-40B4-BE49-F238E27FC236}">
              <a16:creationId xmlns:a16="http://schemas.microsoft.com/office/drawing/2014/main" id="{D9F7C46D-C48E-05E3-524A-3CCF182EF7A7}"/>
            </a:ext>
          </a:extLst>
        </xdr:cNvPr>
        <xdr:cNvGrpSpPr/>
      </xdr:nvGrpSpPr>
      <xdr:grpSpPr>
        <a:xfrm>
          <a:off x="1488782" y="1916180"/>
          <a:ext cx="1053115" cy="488674"/>
          <a:chOff x="336414" y="2667000"/>
          <a:chExt cx="1059646" cy="488674"/>
        </a:xfrm>
      </xdr:grpSpPr>
      <xdr:sp macro="" textlink="">
        <xdr:nvSpPr>
          <xdr:cNvPr id="24" name="Rectangle: Rounded Corners 23">
            <a:extLst>
              <a:ext uri="{FF2B5EF4-FFF2-40B4-BE49-F238E27FC236}">
                <a16:creationId xmlns:a16="http://schemas.microsoft.com/office/drawing/2014/main" id="{D6050C35-3DA8-3493-7F6A-FAC3CED7E913}"/>
              </a:ext>
            </a:extLst>
          </xdr:cNvPr>
          <xdr:cNvSpPr/>
        </xdr:nvSpPr>
        <xdr:spPr>
          <a:xfrm>
            <a:off x="346708" y="2667000"/>
            <a:ext cx="1020802"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25" name="TextBox 24">
            <a:extLst>
              <a:ext uri="{FF2B5EF4-FFF2-40B4-BE49-F238E27FC236}">
                <a16:creationId xmlns:a16="http://schemas.microsoft.com/office/drawing/2014/main" id="{C466B691-BA0E-AEE9-F492-20454CC99D92}"/>
              </a:ext>
            </a:extLst>
          </xdr:cNvPr>
          <xdr:cNvSpPr txBox="1"/>
        </xdr:nvSpPr>
        <xdr:spPr>
          <a:xfrm>
            <a:off x="336414" y="2723198"/>
            <a:ext cx="1059646"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b="1">
                <a:solidFill>
                  <a:schemeClr val="bg1"/>
                </a:solidFill>
              </a:rPr>
              <a:t>Avg</a:t>
            </a:r>
            <a:r>
              <a:rPr lang="en-GB" sz="900" b="1" baseline="0">
                <a:solidFill>
                  <a:schemeClr val="bg1"/>
                </a:solidFill>
              </a:rPr>
              <a:t> Profit Margin</a:t>
            </a:r>
            <a:endParaRPr lang="en-GB" sz="900" b="1">
              <a:solidFill>
                <a:schemeClr val="bg1"/>
              </a:solidFill>
            </a:endParaRPr>
          </a:p>
        </xdr:txBody>
      </xdr:sp>
      <xdr:sp macro="" textlink="'Pivot Tables'!E5">
        <xdr:nvSpPr>
          <xdr:cNvPr id="52" name="TextBox 51">
            <a:extLst>
              <a:ext uri="{FF2B5EF4-FFF2-40B4-BE49-F238E27FC236}">
                <a16:creationId xmlns:a16="http://schemas.microsoft.com/office/drawing/2014/main" id="{E550EE2E-13C3-202C-BEBB-E29D244DCB35}"/>
              </a:ext>
            </a:extLst>
          </xdr:cNvPr>
          <xdr:cNvSpPr txBox="1"/>
        </xdr:nvSpPr>
        <xdr:spPr>
          <a:xfrm>
            <a:off x="522862" y="2896334"/>
            <a:ext cx="624490"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D237EE-F96E-4D81-A2EA-7D29B6F96306}" type="TxLink">
              <a:rPr lang="en-US" sz="1200" b="1" i="0" u="none" strike="noStrike">
                <a:solidFill>
                  <a:schemeClr val="bg1"/>
                </a:solidFill>
                <a:latin typeface="Calibri"/>
                <a:ea typeface="+mn-ea"/>
                <a:cs typeface="Calibri"/>
              </a:rPr>
              <a:pPr marL="0" indent="0" algn="ctr"/>
              <a:t>47.1%</a:t>
            </a:fld>
            <a:endParaRPr lang="en-GB" sz="1200" b="1" i="0" u="none" strike="noStrike">
              <a:solidFill>
                <a:schemeClr val="bg1"/>
              </a:solidFill>
              <a:latin typeface="Calibri"/>
              <a:ea typeface="+mn-ea"/>
              <a:cs typeface="Calibri"/>
            </a:endParaRPr>
          </a:p>
        </xdr:txBody>
      </xdr:sp>
    </xdr:grpSp>
    <xdr:clientData/>
  </xdr:twoCellAnchor>
  <xdr:twoCellAnchor>
    <xdr:from>
      <xdr:col>2</xdr:col>
      <xdr:colOff>269582</xdr:colOff>
      <xdr:row>12</xdr:row>
      <xdr:rowOff>180145</xdr:rowOff>
    </xdr:from>
    <xdr:to>
      <xdr:col>4</xdr:col>
      <xdr:colOff>64559</xdr:colOff>
      <xdr:row>15</xdr:row>
      <xdr:rowOff>97319</xdr:rowOff>
    </xdr:to>
    <xdr:grpSp>
      <xdr:nvGrpSpPr>
        <xdr:cNvPr id="8" name="Group 7">
          <a:extLst>
            <a:ext uri="{FF2B5EF4-FFF2-40B4-BE49-F238E27FC236}">
              <a16:creationId xmlns:a16="http://schemas.microsoft.com/office/drawing/2014/main" id="{798A10A0-84E4-E23B-C309-CE469282328E}"/>
            </a:ext>
          </a:extLst>
        </xdr:cNvPr>
        <xdr:cNvGrpSpPr/>
      </xdr:nvGrpSpPr>
      <xdr:grpSpPr>
        <a:xfrm>
          <a:off x="1488782" y="2466145"/>
          <a:ext cx="1014177" cy="488674"/>
          <a:chOff x="1466024" y="2667000"/>
          <a:chExt cx="1020467" cy="488674"/>
        </a:xfrm>
      </xdr:grpSpPr>
      <xdr:sp macro="" textlink="">
        <xdr:nvSpPr>
          <xdr:cNvPr id="28" name="Rectangle: Rounded Corners 27">
            <a:extLst>
              <a:ext uri="{FF2B5EF4-FFF2-40B4-BE49-F238E27FC236}">
                <a16:creationId xmlns:a16="http://schemas.microsoft.com/office/drawing/2014/main" id="{5CB01147-9A6A-F4BD-D6D2-2B36A67E3D00}"/>
              </a:ext>
            </a:extLst>
          </xdr:cNvPr>
          <xdr:cNvSpPr/>
        </xdr:nvSpPr>
        <xdr:spPr>
          <a:xfrm>
            <a:off x="1466024" y="2667000"/>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12204F45-B072-C21E-3052-C7D67BB39055}"/>
              </a:ext>
            </a:extLst>
          </xdr:cNvPr>
          <xdr:cNvSpPr txBox="1"/>
        </xdr:nvSpPr>
        <xdr:spPr>
          <a:xfrm>
            <a:off x="1508725" y="2702933"/>
            <a:ext cx="930131"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Quantity Sold</a:t>
            </a:r>
          </a:p>
        </xdr:txBody>
      </xdr:sp>
      <xdr:sp macro="" textlink="'Pivot Tables'!F5">
        <xdr:nvSpPr>
          <xdr:cNvPr id="53" name="TextBox 52">
            <a:extLst>
              <a:ext uri="{FF2B5EF4-FFF2-40B4-BE49-F238E27FC236}">
                <a16:creationId xmlns:a16="http://schemas.microsoft.com/office/drawing/2014/main" id="{D080F27C-A72C-FB1F-211E-E3DF12811EDA}"/>
              </a:ext>
            </a:extLst>
          </xdr:cNvPr>
          <xdr:cNvSpPr txBox="1"/>
        </xdr:nvSpPr>
        <xdr:spPr>
          <a:xfrm>
            <a:off x="1659518" y="2896335"/>
            <a:ext cx="592066"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968ABD-FA54-4318-AB62-2C9A6AFF33EB}" type="TxLink">
              <a:rPr lang="en-US" sz="1200" b="1" i="0" u="none" strike="noStrike">
                <a:solidFill>
                  <a:schemeClr val="bg1"/>
                </a:solidFill>
                <a:latin typeface="Calibri"/>
                <a:ea typeface="+mn-ea"/>
                <a:cs typeface="Calibri"/>
              </a:rPr>
              <a:pPr marL="0" indent="0" algn="ctr"/>
              <a:t> 4,012 </a:t>
            </a:fld>
            <a:endParaRPr lang="en-US" sz="1200" b="1" i="0" u="none" strike="noStrike">
              <a:solidFill>
                <a:schemeClr val="bg1"/>
              </a:solidFill>
              <a:latin typeface="Calibri"/>
              <a:ea typeface="+mn-ea"/>
              <a:cs typeface="Calibri"/>
            </a:endParaRPr>
          </a:p>
        </xdr:txBody>
      </xdr:sp>
    </xdr:grpSp>
    <xdr:clientData/>
  </xdr:twoCellAnchor>
  <xdr:twoCellAnchor>
    <xdr:from>
      <xdr:col>0</xdr:col>
      <xdr:colOff>360291</xdr:colOff>
      <xdr:row>15</xdr:row>
      <xdr:rowOff>158610</xdr:rowOff>
    </xdr:from>
    <xdr:to>
      <xdr:col>4</xdr:col>
      <xdr:colOff>70402</xdr:colOff>
      <xdr:row>18</xdr:row>
      <xdr:rowOff>75784</xdr:rowOff>
    </xdr:to>
    <xdr:grpSp>
      <xdr:nvGrpSpPr>
        <xdr:cNvPr id="13" name="Group 12">
          <a:extLst>
            <a:ext uri="{FF2B5EF4-FFF2-40B4-BE49-F238E27FC236}">
              <a16:creationId xmlns:a16="http://schemas.microsoft.com/office/drawing/2014/main" id="{A881F0AC-5CA7-BFF6-F64F-16F1B745AC31}"/>
            </a:ext>
          </a:extLst>
        </xdr:cNvPr>
        <xdr:cNvGrpSpPr/>
      </xdr:nvGrpSpPr>
      <xdr:grpSpPr>
        <a:xfrm>
          <a:off x="360291" y="3016110"/>
          <a:ext cx="2148511" cy="488674"/>
          <a:chOff x="339589" y="3255065"/>
          <a:chExt cx="2161763" cy="488674"/>
        </a:xfrm>
      </xdr:grpSpPr>
      <xdr:grpSp>
        <xdr:nvGrpSpPr>
          <xdr:cNvPr id="9" name="Group 8">
            <a:extLst>
              <a:ext uri="{FF2B5EF4-FFF2-40B4-BE49-F238E27FC236}">
                <a16:creationId xmlns:a16="http://schemas.microsoft.com/office/drawing/2014/main" id="{8C713DFF-FCA8-4B7D-FD26-1CAD92AE4F59}"/>
              </a:ext>
            </a:extLst>
          </xdr:cNvPr>
          <xdr:cNvGrpSpPr/>
        </xdr:nvGrpSpPr>
        <xdr:grpSpPr>
          <a:xfrm>
            <a:off x="339589" y="3255065"/>
            <a:ext cx="1020467" cy="488674"/>
            <a:chOff x="339589" y="3255065"/>
            <a:chExt cx="1020467" cy="488674"/>
          </a:xfrm>
        </xdr:grpSpPr>
        <xdr:sp macro="" textlink="">
          <xdr:nvSpPr>
            <xdr:cNvPr id="20" name="Rectangle: Rounded Corners 19">
              <a:extLst>
                <a:ext uri="{FF2B5EF4-FFF2-40B4-BE49-F238E27FC236}">
                  <a16:creationId xmlns:a16="http://schemas.microsoft.com/office/drawing/2014/main" id="{C03C07B8-CA70-86F3-F895-0627EE023B19}"/>
                </a:ext>
              </a:extLst>
            </xdr:cNvPr>
            <xdr:cNvSpPr/>
          </xdr:nvSpPr>
          <xdr:spPr>
            <a:xfrm>
              <a:off x="339589" y="3255065"/>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1" name="TextBox 20">
              <a:extLst>
                <a:ext uri="{FF2B5EF4-FFF2-40B4-BE49-F238E27FC236}">
                  <a16:creationId xmlns:a16="http://schemas.microsoft.com/office/drawing/2014/main" id="{C1E0A84A-4E19-635E-D9F2-F7F1F0A6FDFD}"/>
                </a:ext>
              </a:extLst>
            </xdr:cNvPr>
            <xdr:cNvSpPr txBox="1"/>
          </xdr:nvSpPr>
          <xdr:spPr>
            <a:xfrm>
              <a:off x="382290" y="3290998"/>
              <a:ext cx="935065"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Total Profit</a:t>
              </a:r>
            </a:p>
          </xdr:txBody>
        </xdr:sp>
        <xdr:sp macro="" textlink="'Pivot Tables'!D5">
          <xdr:nvSpPr>
            <xdr:cNvPr id="54" name="TextBox 53">
              <a:extLst>
                <a:ext uri="{FF2B5EF4-FFF2-40B4-BE49-F238E27FC236}">
                  <a16:creationId xmlns:a16="http://schemas.microsoft.com/office/drawing/2014/main" id="{4F07A1C7-4E2B-2BE6-4A28-3EB5717A51F0}"/>
                </a:ext>
              </a:extLst>
            </xdr:cNvPr>
            <xdr:cNvSpPr txBox="1"/>
          </xdr:nvSpPr>
          <xdr:spPr>
            <a:xfrm>
              <a:off x="470170" y="3477635"/>
              <a:ext cx="729874"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2C94B7-BFD1-48B0-91A2-7F232E08E766}" type="TxLink">
                <a:rPr lang="en-US" sz="1200" b="1" i="0" u="none" strike="noStrike">
                  <a:solidFill>
                    <a:schemeClr val="bg1"/>
                  </a:solidFill>
                  <a:latin typeface="Calibri"/>
                  <a:ea typeface="+mn-ea"/>
                  <a:cs typeface="Calibri"/>
                </a:rPr>
                <a:pPr marL="0" indent="0" algn="ctr"/>
                <a:t>$162,335 </a:t>
              </a:fld>
              <a:endParaRPr lang="en-GB" sz="1200" b="1" i="0" u="none" strike="noStrike">
                <a:solidFill>
                  <a:schemeClr val="bg1"/>
                </a:solidFill>
                <a:latin typeface="Calibri"/>
                <a:ea typeface="+mn-ea"/>
                <a:cs typeface="Calibri"/>
              </a:endParaRPr>
            </a:p>
          </xdr:txBody>
        </xdr:sp>
      </xdr:grpSp>
      <xdr:grpSp>
        <xdr:nvGrpSpPr>
          <xdr:cNvPr id="11" name="Group 10">
            <a:extLst>
              <a:ext uri="{FF2B5EF4-FFF2-40B4-BE49-F238E27FC236}">
                <a16:creationId xmlns:a16="http://schemas.microsoft.com/office/drawing/2014/main" id="{80E37294-7D61-01E7-E2F1-560C1791D15D}"/>
              </a:ext>
            </a:extLst>
          </xdr:cNvPr>
          <xdr:cNvGrpSpPr/>
        </xdr:nvGrpSpPr>
        <xdr:grpSpPr>
          <a:xfrm>
            <a:off x="1466024" y="3255065"/>
            <a:ext cx="1035328" cy="488674"/>
            <a:chOff x="1466024" y="3255065"/>
            <a:chExt cx="1035328" cy="488674"/>
          </a:xfrm>
        </xdr:grpSpPr>
        <xdr:sp macro="" textlink="">
          <xdr:nvSpPr>
            <xdr:cNvPr id="32" name="Rectangle: Rounded Corners 31">
              <a:extLst>
                <a:ext uri="{FF2B5EF4-FFF2-40B4-BE49-F238E27FC236}">
                  <a16:creationId xmlns:a16="http://schemas.microsoft.com/office/drawing/2014/main" id="{83076547-D9EF-6C55-A63F-23D4177AC316}"/>
                </a:ext>
              </a:extLst>
            </xdr:cNvPr>
            <xdr:cNvSpPr/>
          </xdr:nvSpPr>
          <xdr:spPr>
            <a:xfrm>
              <a:off x="1466024" y="3255065"/>
              <a:ext cx="102060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33" name="TextBox 32">
              <a:extLst>
                <a:ext uri="{FF2B5EF4-FFF2-40B4-BE49-F238E27FC236}">
                  <a16:creationId xmlns:a16="http://schemas.microsoft.com/office/drawing/2014/main" id="{FAB6DBF4-708E-56EA-EAE9-4B21D1DBF05F}"/>
                </a:ext>
              </a:extLst>
            </xdr:cNvPr>
            <xdr:cNvSpPr txBox="1"/>
          </xdr:nvSpPr>
          <xdr:spPr>
            <a:xfrm>
              <a:off x="1490638" y="3290998"/>
              <a:ext cx="1010714"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No. of Brands</a:t>
              </a:r>
            </a:p>
          </xdr:txBody>
        </xdr:sp>
        <xdr:sp macro="" textlink="'Pivot Tables'!G5">
          <xdr:nvSpPr>
            <xdr:cNvPr id="55" name="TextBox 54">
              <a:extLst>
                <a:ext uri="{FF2B5EF4-FFF2-40B4-BE49-F238E27FC236}">
                  <a16:creationId xmlns:a16="http://schemas.microsoft.com/office/drawing/2014/main" id="{356FAA2F-ED6F-3A4A-2D63-0A4522BC1112}"/>
                </a:ext>
              </a:extLst>
            </xdr:cNvPr>
            <xdr:cNvSpPr txBox="1"/>
          </xdr:nvSpPr>
          <xdr:spPr>
            <a:xfrm>
              <a:off x="1854952" y="3477636"/>
              <a:ext cx="206132"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DA200E-E1C6-4DF6-A26D-A0256B4E5C43}" type="TxLink">
                <a:rPr lang="en-US" sz="1200" b="1" i="0" u="none" strike="noStrike">
                  <a:solidFill>
                    <a:schemeClr val="bg1"/>
                  </a:solidFill>
                  <a:latin typeface="Calibri"/>
                  <a:ea typeface="+mn-ea"/>
                  <a:cs typeface="Calibri"/>
                </a:rPr>
                <a:pPr marL="0" indent="0" algn="ctr"/>
                <a:t>5</a:t>
              </a:fld>
              <a:endParaRPr lang="en-US" sz="1200" b="1" i="0" u="none" strike="noStrike">
                <a:solidFill>
                  <a:schemeClr val="bg1"/>
                </a:solidFill>
                <a:latin typeface="Calibri"/>
                <a:ea typeface="+mn-ea"/>
                <a:cs typeface="Calibri"/>
              </a:endParaRPr>
            </a:p>
          </xdr:txBody>
        </xdr:sp>
      </xdr:grpSp>
    </xdr:grpSp>
    <xdr:clientData/>
  </xdr:twoCellAnchor>
  <xdr:twoCellAnchor editAs="oneCell">
    <xdr:from>
      <xdr:col>15</xdr:col>
      <xdr:colOff>240192</xdr:colOff>
      <xdr:row>23</xdr:row>
      <xdr:rowOff>110631</xdr:rowOff>
    </xdr:from>
    <xdr:to>
      <xdr:col>20</xdr:col>
      <xdr:colOff>374592</xdr:colOff>
      <xdr:row>27</xdr:row>
      <xdr:rowOff>143762</xdr:rowOff>
    </xdr:to>
    <mc:AlternateContent xmlns:mc="http://schemas.openxmlformats.org/markup-compatibility/2006" xmlns:a14="http://schemas.microsoft.com/office/drawing/2010/main">
      <mc:Choice Requires="a14">
        <xdr:graphicFrame macro="">
          <xdr:nvGraphicFramePr>
            <xdr:cNvPr id="15" name="Months">
              <a:extLst>
                <a:ext uri="{FF2B5EF4-FFF2-40B4-BE49-F238E27FC236}">
                  <a16:creationId xmlns:a16="http://schemas.microsoft.com/office/drawing/2014/main" id="{AA2287B6-656C-447A-9C55-2EF5393F6FC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9384192" y="4492131"/>
              <a:ext cx="3182400" cy="7951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343726</xdr:colOff>
      <xdr:row>18</xdr:row>
      <xdr:rowOff>139620</xdr:rowOff>
    </xdr:from>
    <xdr:to>
      <xdr:col>4</xdr:col>
      <xdr:colOff>55674</xdr:colOff>
      <xdr:row>21</xdr:row>
      <xdr:rowOff>180976</xdr:rowOff>
    </xdr:to>
    <xdr:sp macro="" textlink="">
      <xdr:nvSpPr>
        <xdr:cNvPr id="30" name="Rectangle: Rounded Corners 29">
          <a:extLst>
            <a:ext uri="{FF2B5EF4-FFF2-40B4-BE49-F238E27FC236}">
              <a16:creationId xmlns:a16="http://schemas.microsoft.com/office/drawing/2014/main" id="{E9C6FE68-53E2-A732-62A0-88A4FE8C8392}"/>
            </a:ext>
          </a:extLst>
        </xdr:cNvPr>
        <xdr:cNvSpPr/>
      </xdr:nvSpPr>
      <xdr:spPr>
        <a:xfrm>
          <a:off x="343726" y="3568620"/>
          <a:ext cx="2150348" cy="612856"/>
        </a:xfrm>
        <a:prstGeom prst="roundRect">
          <a:avLst>
            <a:gd name="adj" fmla="val 7052"/>
          </a:avLst>
        </a:prstGeom>
        <a:solidFill>
          <a:srgbClr val="876241"/>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500325</xdr:colOff>
      <xdr:row>20</xdr:row>
      <xdr:rowOff>1553</xdr:rowOff>
    </xdr:from>
    <xdr:to>
      <xdr:col>2</xdr:col>
      <xdr:colOff>209564</xdr:colOff>
      <xdr:row>21</xdr:row>
      <xdr:rowOff>147842</xdr:rowOff>
    </xdr:to>
    <xdr:sp macro="" textlink="'Pivot Tables'!L8">
      <xdr:nvSpPr>
        <xdr:cNvPr id="31" name="TextBox 30">
          <a:extLst>
            <a:ext uri="{FF2B5EF4-FFF2-40B4-BE49-F238E27FC236}">
              <a16:creationId xmlns:a16="http://schemas.microsoft.com/office/drawing/2014/main" id="{C4CE2474-2284-6B5B-45A1-0726AB659435}"/>
            </a:ext>
          </a:extLst>
        </xdr:cNvPr>
        <xdr:cNvSpPr txBox="1"/>
      </xdr:nvSpPr>
      <xdr:spPr>
        <a:xfrm>
          <a:off x="500325" y="3811553"/>
          <a:ext cx="928439" cy="336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Ins="72000" rtlCol="0" anchor="ctr"/>
        <a:lstStyle/>
        <a:p>
          <a:pPr marL="0" indent="0" algn="ctr"/>
          <a:fld id="{D07DE235-7033-4FDA-8ECE-B1FFB4628622}" type="TxLink">
            <a:rPr lang="en-US" sz="1600" b="1" i="0" u="none" strike="noStrike">
              <a:solidFill>
                <a:schemeClr val="bg1"/>
              </a:solidFill>
              <a:latin typeface="Calibri"/>
              <a:ea typeface="+mn-ea"/>
              <a:cs typeface="Calibri"/>
            </a:rPr>
            <a:pPr marL="0" indent="0" algn="ctr"/>
            <a:t>January</a:t>
          </a:fld>
          <a:endParaRPr lang="en-GB" sz="1600" b="1" i="0" u="none" strike="noStrike">
            <a:solidFill>
              <a:schemeClr val="bg1"/>
            </a:solidFill>
            <a:latin typeface="Calibri"/>
            <a:ea typeface="+mn-ea"/>
            <a:cs typeface="Calibri"/>
          </a:endParaRPr>
        </a:p>
      </xdr:txBody>
    </xdr:sp>
    <xdr:clientData/>
  </xdr:twoCellAnchor>
  <xdr:twoCellAnchor>
    <xdr:from>
      <xdr:col>2</xdr:col>
      <xdr:colOff>29763</xdr:colOff>
      <xdr:row>20</xdr:row>
      <xdr:rowOff>65744</xdr:rowOff>
    </xdr:from>
    <xdr:to>
      <xdr:col>3</xdr:col>
      <xdr:colOff>508675</xdr:colOff>
      <xdr:row>21</xdr:row>
      <xdr:rowOff>83650</xdr:rowOff>
    </xdr:to>
    <xdr:sp macro="" textlink="'Pivot Tables'!M8">
      <xdr:nvSpPr>
        <xdr:cNvPr id="34" name="TextBox 33">
          <a:extLst>
            <a:ext uri="{FF2B5EF4-FFF2-40B4-BE49-F238E27FC236}">
              <a16:creationId xmlns:a16="http://schemas.microsoft.com/office/drawing/2014/main" id="{B7F920A4-E64C-9A5D-7CB1-9F7E1904B7B5}"/>
            </a:ext>
          </a:extLst>
        </xdr:cNvPr>
        <xdr:cNvSpPr txBox="1"/>
      </xdr:nvSpPr>
      <xdr:spPr>
        <a:xfrm>
          <a:off x="1248963" y="3875744"/>
          <a:ext cx="1088512"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F76329-5752-4EE1-8F71-15064A666FA8}" type="TxLink">
            <a:rPr lang="en-US" sz="1600" b="1" i="0" u="none" strike="noStrike">
              <a:solidFill>
                <a:schemeClr val="bg1"/>
              </a:solidFill>
              <a:latin typeface="Calibri"/>
              <a:ea typeface="+mn-ea"/>
              <a:cs typeface="Calibri"/>
            </a:rPr>
            <a:pPr marL="0" indent="0" algn="ctr"/>
            <a:t>$43,801</a:t>
          </a:fld>
          <a:endParaRPr lang="en-GB" sz="1600" b="1" i="0" u="none" strike="noStrike">
            <a:solidFill>
              <a:schemeClr val="bg1"/>
            </a:solidFill>
            <a:latin typeface="Calibri"/>
            <a:ea typeface="+mn-ea"/>
            <a:cs typeface="Calibri"/>
          </a:endParaRPr>
        </a:p>
      </xdr:txBody>
    </xdr:sp>
    <xdr:clientData/>
  </xdr:twoCellAnchor>
  <xdr:twoCellAnchor>
    <xdr:from>
      <xdr:col>1</xdr:col>
      <xdr:colOff>132522</xdr:colOff>
      <xdr:row>8</xdr:row>
      <xdr:rowOff>77027</xdr:rowOff>
    </xdr:from>
    <xdr:to>
      <xdr:col>3</xdr:col>
      <xdr:colOff>372716</xdr:colOff>
      <xdr:row>9</xdr:row>
      <xdr:rowOff>151571</xdr:rowOff>
    </xdr:to>
    <xdr:sp macro="" textlink="">
      <xdr:nvSpPr>
        <xdr:cNvPr id="10" name="TextBox 9">
          <a:extLst>
            <a:ext uri="{FF2B5EF4-FFF2-40B4-BE49-F238E27FC236}">
              <a16:creationId xmlns:a16="http://schemas.microsoft.com/office/drawing/2014/main" id="{1A5D8855-34C4-C32A-BE47-AA57AE4590B7}"/>
            </a:ext>
          </a:extLst>
        </xdr:cNvPr>
        <xdr:cNvSpPr txBox="1"/>
      </xdr:nvSpPr>
      <xdr:spPr>
        <a:xfrm>
          <a:off x="742122" y="1601027"/>
          <a:ext cx="1459394" cy="26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January - August 2026</a:t>
          </a:r>
          <a:endParaRPr lang="en-GB">
            <a:effectLst/>
          </a:endParaRPr>
        </a:p>
      </xdr:txBody>
    </xdr:sp>
    <xdr:clientData/>
  </xdr:twoCellAnchor>
  <xdr:twoCellAnchor editAs="oneCell">
    <xdr:from>
      <xdr:col>4</xdr:col>
      <xdr:colOff>405804</xdr:colOff>
      <xdr:row>23</xdr:row>
      <xdr:rowOff>110632</xdr:rowOff>
    </xdr:from>
    <xdr:to>
      <xdr:col>9</xdr:col>
      <xdr:colOff>538039</xdr:colOff>
      <xdr:row>27</xdr:row>
      <xdr:rowOff>144232</xdr:rowOff>
    </xdr:to>
    <mc:AlternateContent xmlns:mc="http://schemas.openxmlformats.org/markup-compatibility/2006" xmlns:a14="http://schemas.microsoft.com/office/drawing/2010/main">
      <mc:Choice Requires="a14">
        <xdr:graphicFrame macro="">
          <xdr:nvGraphicFramePr>
            <xdr:cNvPr id="19" name="Brand Cleaned">
              <a:extLst>
                <a:ext uri="{FF2B5EF4-FFF2-40B4-BE49-F238E27FC236}">
                  <a16:creationId xmlns:a16="http://schemas.microsoft.com/office/drawing/2014/main" id="{D30773D4-D650-447C-AB1F-E75C12CD2E01}"/>
                </a:ext>
              </a:extLst>
            </xdr:cNvPr>
            <xdr:cNvGraphicFramePr/>
          </xdr:nvGraphicFramePr>
          <xdr:xfrm>
            <a:off x="0" y="0"/>
            <a:ext cx="0" cy="0"/>
          </xdr:xfrm>
          <a:graphic>
            <a:graphicData uri="http://schemas.microsoft.com/office/drawing/2010/slicer">
              <sle:slicer xmlns:sle="http://schemas.microsoft.com/office/drawing/2010/slicer" name="Brand Cleaned"/>
            </a:graphicData>
          </a:graphic>
        </xdr:graphicFrame>
      </mc:Choice>
      <mc:Fallback xmlns="">
        <xdr:sp macro="" textlink="">
          <xdr:nvSpPr>
            <xdr:cNvPr id="0" name=""/>
            <xdr:cNvSpPr>
              <a:spLocks noTextEdit="1"/>
            </xdr:cNvSpPr>
          </xdr:nvSpPr>
          <xdr:spPr>
            <a:xfrm>
              <a:off x="2844204" y="4492132"/>
              <a:ext cx="3180235" cy="79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16644</xdr:colOff>
      <xdr:row>23</xdr:row>
      <xdr:rowOff>110631</xdr:rowOff>
    </xdr:from>
    <xdr:to>
      <xdr:col>15</xdr:col>
      <xdr:colOff>151044</xdr:colOff>
      <xdr:row>27</xdr:row>
      <xdr:rowOff>144231</xdr:rowOff>
    </xdr:to>
    <mc:AlternateContent xmlns:mc="http://schemas.openxmlformats.org/markup-compatibility/2006" xmlns:a14="http://schemas.microsoft.com/office/drawing/2010/main">
      <mc:Choice Requires="a14">
        <xdr:graphicFrame macro="">
          <xdr:nvGraphicFramePr>
            <xdr:cNvPr id="22" name="Product Cleaned">
              <a:extLst>
                <a:ext uri="{FF2B5EF4-FFF2-40B4-BE49-F238E27FC236}">
                  <a16:creationId xmlns:a16="http://schemas.microsoft.com/office/drawing/2014/main" id="{C7073153-B435-40C8-8C26-66F510F94BA6}"/>
                </a:ext>
              </a:extLst>
            </xdr:cNvPr>
            <xdr:cNvGraphicFramePr/>
          </xdr:nvGraphicFramePr>
          <xdr:xfrm>
            <a:off x="0" y="0"/>
            <a:ext cx="0" cy="0"/>
          </xdr:xfrm>
          <a:graphic>
            <a:graphicData uri="http://schemas.microsoft.com/office/drawing/2010/slicer">
              <sle:slicer xmlns:sle="http://schemas.microsoft.com/office/drawing/2010/slicer" name="Product Cleaned"/>
            </a:graphicData>
          </a:graphic>
        </xdr:graphicFrame>
      </mc:Choice>
      <mc:Fallback xmlns="">
        <xdr:sp macro="" textlink="">
          <xdr:nvSpPr>
            <xdr:cNvPr id="0" name=""/>
            <xdr:cNvSpPr>
              <a:spLocks noTextEdit="1"/>
            </xdr:cNvSpPr>
          </xdr:nvSpPr>
          <xdr:spPr>
            <a:xfrm>
              <a:off x="6112644" y="4492131"/>
              <a:ext cx="3182400" cy="79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371475</xdr:colOff>
      <xdr:row>1</xdr:row>
      <xdr:rowOff>9521</xdr:rowOff>
    </xdr:from>
    <xdr:to>
      <xdr:col>23</xdr:col>
      <xdr:colOff>371475</xdr:colOff>
      <xdr:row>12</xdr:row>
      <xdr:rowOff>9221</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82A763AB-F73B-4272-9D35-ED555792374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563475" y="200021"/>
              <a:ext cx="1828800" cy="209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343726</xdr:colOff>
      <xdr:row>22</xdr:row>
      <xdr:rowOff>57151</xdr:rowOff>
    </xdr:from>
    <xdr:to>
      <xdr:col>4</xdr:col>
      <xdr:colOff>55674</xdr:colOff>
      <xdr:row>27</xdr:row>
      <xdr:rowOff>115657</xdr:rowOff>
    </xdr:to>
    <xdr:sp macro="" textlink="">
      <xdr:nvSpPr>
        <xdr:cNvPr id="18" name="Rectangle: Rounded Corners 17">
          <a:extLst>
            <a:ext uri="{FF2B5EF4-FFF2-40B4-BE49-F238E27FC236}">
              <a16:creationId xmlns:a16="http://schemas.microsoft.com/office/drawing/2014/main" id="{8E58E74C-A86F-88BA-832B-9AD72C085CC9}"/>
            </a:ext>
          </a:extLst>
        </xdr:cNvPr>
        <xdr:cNvSpPr/>
      </xdr:nvSpPr>
      <xdr:spPr>
        <a:xfrm>
          <a:off x="343726" y="4248151"/>
          <a:ext cx="2140823" cy="1011006"/>
        </a:xfrm>
        <a:prstGeom prst="roundRect">
          <a:avLst>
            <a:gd name="adj" fmla="val 7052"/>
          </a:avLst>
        </a:prstGeom>
        <a:solidFill>
          <a:srgbClr val="876241"/>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341243</xdr:colOff>
      <xdr:row>25</xdr:row>
      <xdr:rowOff>163764</xdr:rowOff>
    </xdr:from>
    <xdr:to>
      <xdr:col>2</xdr:col>
      <xdr:colOff>95250</xdr:colOff>
      <xdr:row>27</xdr:row>
      <xdr:rowOff>57150</xdr:rowOff>
    </xdr:to>
    <xdr:sp macro="" textlink="'Pivot Tables'!C76">
      <xdr:nvSpPr>
        <xdr:cNvPr id="27" name="TextBox 26">
          <a:extLst>
            <a:ext uri="{FF2B5EF4-FFF2-40B4-BE49-F238E27FC236}">
              <a16:creationId xmlns:a16="http://schemas.microsoft.com/office/drawing/2014/main" id="{6E9CA34A-911C-6F92-8D0E-03FEE4A204D1}"/>
            </a:ext>
          </a:extLst>
        </xdr:cNvPr>
        <xdr:cNvSpPr txBox="1"/>
      </xdr:nvSpPr>
      <xdr:spPr>
        <a:xfrm>
          <a:off x="341243" y="4926264"/>
          <a:ext cx="973207" cy="274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0FB7E2-EF18-4DB9-AE79-5A787B164054}" type="TxLink">
            <a:rPr lang="en-US" sz="1600" b="1" i="0" u="none" strike="noStrike">
              <a:solidFill>
                <a:schemeClr val="bg1"/>
              </a:solidFill>
              <a:latin typeface="Calibri"/>
              <a:ea typeface="+mn-ea"/>
              <a:cs typeface="Calibri"/>
            </a:rPr>
            <a:pPr marL="0" indent="0" algn="ctr"/>
            <a:t>$17,892</a:t>
          </a:fld>
          <a:endParaRPr lang="en-GB" sz="2800" b="1" i="0" u="none" strike="noStrike">
            <a:solidFill>
              <a:schemeClr val="bg1"/>
            </a:solidFill>
            <a:latin typeface="Calibri"/>
            <a:ea typeface="+mn-ea"/>
            <a:cs typeface="Calibri"/>
          </a:endParaRPr>
        </a:p>
      </xdr:txBody>
    </xdr:sp>
    <xdr:clientData/>
  </xdr:twoCellAnchor>
  <xdr:twoCellAnchor>
    <xdr:from>
      <xdr:col>2</xdr:col>
      <xdr:colOff>245993</xdr:colOff>
      <xdr:row>25</xdr:row>
      <xdr:rowOff>163764</xdr:rowOff>
    </xdr:from>
    <xdr:to>
      <xdr:col>4</xdr:col>
      <xdr:colOff>0</xdr:colOff>
      <xdr:row>27</xdr:row>
      <xdr:rowOff>57150</xdr:rowOff>
    </xdr:to>
    <xdr:sp macro="" textlink="'Pivot Tables'!D76">
      <xdr:nvSpPr>
        <xdr:cNvPr id="39" name="TextBox 38">
          <a:extLst>
            <a:ext uri="{FF2B5EF4-FFF2-40B4-BE49-F238E27FC236}">
              <a16:creationId xmlns:a16="http://schemas.microsoft.com/office/drawing/2014/main" id="{28421BCE-9335-4277-9522-072785898CD8}"/>
            </a:ext>
          </a:extLst>
        </xdr:cNvPr>
        <xdr:cNvSpPr txBox="1"/>
      </xdr:nvSpPr>
      <xdr:spPr>
        <a:xfrm>
          <a:off x="1465193" y="4926264"/>
          <a:ext cx="973207" cy="274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D6D9B3-B411-4C46-9C30-A809E53A961F}" type="TxLink">
            <a:rPr lang="en-US" sz="1600" b="1" i="0" u="none" strike="noStrike">
              <a:solidFill>
                <a:schemeClr val="bg1"/>
              </a:solidFill>
              <a:latin typeface="Calibri"/>
              <a:ea typeface="+mn-ea"/>
              <a:cs typeface="Calibri"/>
            </a:rPr>
            <a:pPr marL="0" indent="0" algn="ctr"/>
            <a:t>$39,127</a:t>
          </a:fld>
          <a:endParaRPr lang="en-GB" sz="2800" b="1" i="0" u="none" strike="noStrike">
            <a:solidFill>
              <a:schemeClr val="bg1"/>
            </a:solidFill>
            <a:latin typeface="Calibri"/>
            <a:ea typeface="+mn-ea"/>
            <a:cs typeface="Calibri"/>
          </a:endParaRPr>
        </a:p>
      </xdr:txBody>
    </xdr:sp>
    <xdr:clientData/>
  </xdr:twoCellAnchor>
  <xdr:twoCellAnchor>
    <xdr:from>
      <xdr:col>0</xdr:col>
      <xdr:colOff>561975</xdr:colOff>
      <xdr:row>24</xdr:row>
      <xdr:rowOff>161925</xdr:rowOff>
    </xdr:from>
    <xdr:to>
      <xdr:col>1</xdr:col>
      <xdr:colOff>476250</xdr:colOff>
      <xdr:row>26</xdr:row>
      <xdr:rowOff>51454</xdr:rowOff>
    </xdr:to>
    <xdr:sp macro="" textlink="">
      <xdr:nvSpPr>
        <xdr:cNvPr id="46" name="TextBox 45">
          <a:extLst>
            <a:ext uri="{FF2B5EF4-FFF2-40B4-BE49-F238E27FC236}">
              <a16:creationId xmlns:a16="http://schemas.microsoft.com/office/drawing/2014/main" id="{1D2A08D9-C38C-1F40-76A0-9CC9962CE8DF}"/>
            </a:ext>
          </a:extLst>
        </xdr:cNvPr>
        <xdr:cNvSpPr txBox="1"/>
      </xdr:nvSpPr>
      <xdr:spPr>
        <a:xfrm>
          <a:off x="561975" y="4733925"/>
          <a:ext cx="523875"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i="0" u="none" strike="noStrike">
              <a:solidFill>
                <a:schemeClr val="bg1"/>
              </a:solidFill>
              <a:latin typeface="+mn-lt"/>
              <a:ea typeface="+mn-ea"/>
              <a:cs typeface="+mn-cs"/>
            </a:rPr>
            <a:t>Profit</a:t>
          </a:r>
        </a:p>
      </xdr:txBody>
    </xdr:sp>
    <xdr:clientData/>
  </xdr:twoCellAnchor>
  <xdr:twoCellAnchor>
    <xdr:from>
      <xdr:col>2</xdr:col>
      <xdr:colOff>419100</xdr:colOff>
      <xdr:row>24</xdr:row>
      <xdr:rowOff>161925</xdr:rowOff>
    </xdr:from>
    <xdr:to>
      <xdr:col>3</xdr:col>
      <xdr:colOff>504825</xdr:colOff>
      <xdr:row>26</xdr:row>
      <xdr:rowOff>51454</xdr:rowOff>
    </xdr:to>
    <xdr:sp macro="" textlink="">
      <xdr:nvSpPr>
        <xdr:cNvPr id="48" name="TextBox 47">
          <a:extLst>
            <a:ext uri="{FF2B5EF4-FFF2-40B4-BE49-F238E27FC236}">
              <a16:creationId xmlns:a16="http://schemas.microsoft.com/office/drawing/2014/main" id="{C12F77A4-B50E-2D34-37FA-4F0C69137F98}"/>
            </a:ext>
          </a:extLst>
        </xdr:cNvPr>
        <xdr:cNvSpPr txBox="1"/>
      </xdr:nvSpPr>
      <xdr:spPr>
        <a:xfrm>
          <a:off x="1638300" y="4733925"/>
          <a:ext cx="695325"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i="0" u="none" strike="noStrike">
              <a:solidFill>
                <a:schemeClr val="bg1"/>
              </a:solidFill>
              <a:latin typeface="+mn-lt"/>
              <a:ea typeface="+mn-ea"/>
              <a:cs typeface="+mn-cs"/>
            </a:rPr>
            <a:t>Revenue</a:t>
          </a:r>
        </a:p>
      </xdr:txBody>
    </xdr:sp>
    <xdr:clientData/>
  </xdr:twoCellAnchor>
  <xdr:twoCellAnchor>
    <xdr:from>
      <xdr:col>1</xdr:col>
      <xdr:colOff>66675</xdr:colOff>
      <xdr:row>23</xdr:row>
      <xdr:rowOff>133901</xdr:rowOff>
    </xdr:from>
    <xdr:to>
      <xdr:col>3</xdr:col>
      <xdr:colOff>332725</xdr:colOff>
      <xdr:row>25</xdr:row>
      <xdr:rowOff>37098</xdr:rowOff>
    </xdr:to>
    <xdr:sp macro="" textlink="'Pivot Tables'!B76">
      <xdr:nvSpPr>
        <xdr:cNvPr id="26" name="TextBox 25">
          <a:extLst>
            <a:ext uri="{FF2B5EF4-FFF2-40B4-BE49-F238E27FC236}">
              <a16:creationId xmlns:a16="http://schemas.microsoft.com/office/drawing/2014/main" id="{9C60D346-AF98-2CC3-52E8-FEB0C0F40BE2}"/>
            </a:ext>
          </a:extLst>
        </xdr:cNvPr>
        <xdr:cNvSpPr txBox="1"/>
      </xdr:nvSpPr>
      <xdr:spPr>
        <a:xfrm>
          <a:off x="678280" y="4515401"/>
          <a:ext cx="1489261" cy="28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80CDA7-AB14-41DB-9607-B97AD8A55FB4}" type="TxLink">
            <a:rPr lang="en-US" sz="1600" b="1" i="0" u="none" strike="noStrike">
              <a:solidFill>
                <a:schemeClr val="bg1"/>
              </a:solidFill>
              <a:latin typeface="Calibri"/>
              <a:ea typeface="+mn-ea"/>
              <a:cs typeface="Calibri"/>
            </a:rPr>
            <a:pPr marL="0" indent="0" algn="ctr"/>
            <a:t>USA</a:t>
          </a:fld>
          <a:endParaRPr lang="en-GB" sz="1600" b="1" i="0" u="none" strike="noStrike">
            <a:solidFill>
              <a:schemeClr val="bg1"/>
            </a:solidFill>
            <a:latin typeface="Calibri"/>
            <a:ea typeface="+mn-ea"/>
            <a:cs typeface="Calibri"/>
          </a:endParaRPr>
        </a:p>
      </xdr:txBody>
    </xdr:sp>
    <xdr:clientData/>
  </xdr:twoCellAnchor>
  <xdr:twoCellAnchor>
    <xdr:from>
      <xdr:col>2</xdr:col>
      <xdr:colOff>187793</xdr:colOff>
      <xdr:row>25</xdr:row>
      <xdr:rowOff>56578</xdr:rowOff>
    </xdr:from>
    <xdr:to>
      <xdr:col>2</xdr:col>
      <xdr:colOff>187793</xdr:colOff>
      <xdr:row>27</xdr:row>
      <xdr:rowOff>35578</xdr:rowOff>
    </xdr:to>
    <xdr:cxnSp macro="">
      <xdr:nvCxnSpPr>
        <xdr:cNvPr id="62" name="Straight Connector 61">
          <a:extLst>
            <a:ext uri="{FF2B5EF4-FFF2-40B4-BE49-F238E27FC236}">
              <a16:creationId xmlns:a16="http://schemas.microsoft.com/office/drawing/2014/main" id="{EBA1A08D-78DB-2A84-8D3B-58E1E63E95A2}"/>
            </a:ext>
          </a:extLst>
        </xdr:cNvPr>
        <xdr:cNvCxnSpPr/>
      </xdr:nvCxnSpPr>
      <xdr:spPr>
        <a:xfrm flipV="1">
          <a:off x="1411004" y="4819078"/>
          <a:ext cx="0" cy="3600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366461</xdr:colOff>
      <xdr:row>18</xdr:row>
      <xdr:rowOff>161926</xdr:rowOff>
    </xdr:from>
    <xdr:to>
      <xdr:col>4</xdr:col>
      <xdr:colOff>35092</xdr:colOff>
      <xdr:row>20</xdr:row>
      <xdr:rowOff>15040</xdr:rowOff>
    </xdr:to>
    <xdr:sp macro="" textlink="">
      <xdr:nvSpPr>
        <xdr:cNvPr id="68" name="Rectangle: Top Corners Rounded 67">
          <a:extLst>
            <a:ext uri="{FF2B5EF4-FFF2-40B4-BE49-F238E27FC236}">
              <a16:creationId xmlns:a16="http://schemas.microsoft.com/office/drawing/2014/main" id="{CAF136DB-E6CB-28C4-89E8-A11B145364D5}"/>
            </a:ext>
          </a:extLst>
        </xdr:cNvPr>
        <xdr:cNvSpPr/>
      </xdr:nvSpPr>
      <xdr:spPr>
        <a:xfrm>
          <a:off x="366461" y="3590926"/>
          <a:ext cx="2115052" cy="234114"/>
        </a:xfrm>
        <a:prstGeom prst="round2SameRect">
          <a:avLst>
            <a:gd name="adj1" fmla="val 768"/>
            <a:gd name="adj2" fmla="val 0"/>
          </a:avLst>
        </a:prstGeom>
        <a:solidFill>
          <a:srgbClr val="48515A"/>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109026</xdr:colOff>
      <xdr:row>18</xdr:row>
      <xdr:rowOff>170253</xdr:rowOff>
    </xdr:from>
    <xdr:to>
      <xdr:col>3</xdr:col>
      <xdr:colOff>290374</xdr:colOff>
      <xdr:row>20</xdr:row>
      <xdr:rowOff>59782</xdr:rowOff>
    </xdr:to>
    <xdr:sp macro="" textlink="'Pivot Tables'!L8">
      <xdr:nvSpPr>
        <xdr:cNvPr id="35" name="TextBox 34">
          <a:extLst>
            <a:ext uri="{FF2B5EF4-FFF2-40B4-BE49-F238E27FC236}">
              <a16:creationId xmlns:a16="http://schemas.microsoft.com/office/drawing/2014/main" id="{00668973-AFC9-B504-D6E8-45BFD8D24241}"/>
            </a:ext>
          </a:extLst>
        </xdr:cNvPr>
        <xdr:cNvSpPr txBox="1"/>
      </xdr:nvSpPr>
      <xdr:spPr>
        <a:xfrm>
          <a:off x="720631" y="3599253"/>
          <a:ext cx="1404559"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100" b="1">
              <a:solidFill>
                <a:schemeClr val="bg1"/>
              </a:solidFill>
              <a:latin typeface="+mn-lt"/>
              <a:ea typeface="+mn-ea"/>
              <a:cs typeface="+mn-cs"/>
            </a:rPr>
            <a:t>Revenue by Month</a:t>
          </a:r>
        </a:p>
      </xdr:txBody>
    </xdr:sp>
    <xdr:clientData/>
  </xdr:twoCellAnchor>
  <xdr:twoCellAnchor>
    <xdr:from>
      <xdr:col>0</xdr:col>
      <xdr:colOff>366461</xdr:colOff>
      <xdr:row>22</xdr:row>
      <xdr:rowOff>71689</xdr:rowOff>
    </xdr:from>
    <xdr:to>
      <xdr:col>4</xdr:col>
      <xdr:colOff>35092</xdr:colOff>
      <xdr:row>23</xdr:row>
      <xdr:rowOff>115303</xdr:rowOff>
    </xdr:to>
    <xdr:sp macro="" textlink="">
      <xdr:nvSpPr>
        <xdr:cNvPr id="69" name="Rectangle: Top Corners Rounded 68">
          <a:extLst>
            <a:ext uri="{FF2B5EF4-FFF2-40B4-BE49-F238E27FC236}">
              <a16:creationId xmlns:a16="http://schemas.microsoft.com/office/drawing/2014/main" id="{5BA3989F-BF34-AADF-BDFB-DB02EC55EDEE}"/>
            </a:ext>
          </a:extLst>
        </xdr:cNvPr>
        <xdr:cNvSpPr/>
      </xdr:nvSpPr>
      <xdr:spPr>
        <a:xfrm>
          <a:off x="366461" y="4262689"/>
          <a:ext cx="2115052" cy="234114"/>
        </a:xfrm>
        <a:prstGeom prst="round2SameRect">
          <a:avLst>
            <a:gd name="adj1" fmla="val 27837"/>
            <a:gd name="adj2" fmla="val 0"/>
          </a:avLst>
        </a:prstGeom>
        <a:solidFill>
          <a:srgbClr val="48515A"/>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485775</xdr:colOff>
      <xdr:row>22</xdr:row>
      <xdr:rowOff>59964</xdr:rowOff>
    </xdr:from>
    <xdr:to>
      <xdr:col>3</xdr:col>
      <xdr:colOff>523225</xdr:colOff>
      <xdr:row>23</xdr:row>
      <xdr:rowOff>139993</xdr:rowOff>
    </xdr:to>
    <xdr:sp macro="" textlink="'Pivot Tables'!L34">
      <xdr:nvSpPr>
        <xdr:cNvPr id="36" name="TextBox 35">
          <a:extLst>
            <a:ext uri="{FF2B5EF4-FFF2-40B4-BE49-F238E27FC236}">
              <a16:creationId xmlns:a16="http://schemas.microsoft.com/office/drawing/2014/main" id="{6461D844-A7D2-531C-37E5-B655EDA5CE65}"/>
            </a:ext>
          </a:extLst>
        </xdr:cNvPr>
        <xdr:cNvSpPr txBox="1"/>
      </xdr:nvSpPr>
      <xdr:spPr>
        <a:xfrm>
          <a:off x="485775" y="4250964"/>
          <a:ext cx="1872266"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u="none">
              <a:solidFill>
                <a:schemeClr val="bg1"/>
              </a:solidFill>
              <a:latin typeface="+mn-lt"/>
              <a:ea typeface="+mn-ea"/>
              <a:cs typeface="+mn-cs"/>
            </a:rPr>
            <a:t>Revenue</a:t>
          </a:r>
          <a:r>
            <a:rPr lang="en-GB" sz="1100" b="1" u="none" baseline="0">
              <a:solidFill>
                <a:schemeClr val="bg1"/>
              </a:solidFill>
              <a:latin typeface="+mn-lt"/>
              <a:ea typeface="+mn-ea"/>
              <a:cs typeface="+mn-cs"/>
            </a:rPr>
            <a:t> &amp; Profit by Country</a:t>
          </a:r>
          <a:endParaRPr lang="en-GB" sz="1100" b="1" u="none">
            <a:solidFill>
              <a:schemeClr val="bg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342900</xdr:colOff>
      <xdr:row>5</xdr:row>
      <xdr:rowOff>76199</xdr:rowOff>
    </xdr:from>
    <xdr:to>
      <xdr:col>10</xdr:col>
      <xdr:colOff>333375</xdr:colOff>
      <xdr:row>5</xdr:row>
      <xdr:rowOff>94199</xdr:rowOff>
    </xdr:to>
    <xdr:sp macro="" textlink="">
      <xdr:nvSpPr>
        <xdr:cNvPr id="2" name="Rectangle 1">
          <a:extLst>
            <a:ext uri="{FF2B5EF4-FFF2-40B4-BE49-F238E27FC236}">
              <a16:creationId xmlns:a16="http://schemas.microsoft.com/office/drawing/2014/main" id="{4E6051AD-23A3-1A54-57DC-ED6F462BEBAC}"/>
            </a:ext>
          </a:extLst>
        </xdr:cNvPr>
        <xdr:cNvSpPr/>
      </xdr:nvSpPr>
      <xdr:spPr>
        <a:xfrm>
          <a:off x="342900" y="838199"/>
          <a:ext cx="745807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6</xdr:row>
      <xdr:rowOff>4762</xdr:rowOff>
    </xdr:from>
    <xdr:to>
      <xdr:col>9</xdr:col>
      <xdr:colOff>514350</xdr:colOff>
      <xdr:row>20</xdr:row>
      <xdr:rowOff>80962</xdr:rowOff>
    </xdr:to>
    <xdr:graphicFrame macro="">
      <xdr:nvGraphicFramePr>
        <xdr:cNvPr id="3" name="Chart 2">
          <a:extLst>
            <a:ext uri="{FF2B5EF4-FFF2-40B4-BE49-F238E27FC236}">
              <a16:creationId xmlns:a16="http://schemas.microsoft.com/office/drawing/2014/main" id="{B8D69CBE-70B1-F9CB-1862-7BB87DD8F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22</xdr:row>
      <xdr:rowOff>0</xdr:rowOff>
    </xdr:from>
    <xdr:to>
      <xdr:col>10</xdr:col>
      <xdr:colOff>333375</xdr:colOff>
      <xdr:row>22</xdr:row>
      <xdr:rowOff>18000</xdr:rowOff>
    </xdr:to>
    <xdr:sp macro="" textlink="">
      <xdr:nvSpPr>
        <xdr:cNvPr id="4" name="Rectangle 3">
          <a:extLst>
            <a:ext uri="{FF2B5EF4-FFF2-40B4-BE49-F238E27FC236}">
              <a16:creationId xmlns:a16="http://schemas.microsoft.com/office/drawing/2014/main" id="{35CA3BF7-ED04-ADB9-469A-A899EBF14D50}"/>
            </a:ext>
          </a:extLst>
        </xdr:cNvPr>
        <xdr:cNvSpPr/>
      </xdr:nvSpPr>
      <xdr:spPr>
        <a:xfrm>
          <a:off x="342900" y="4000500"/>
          <a:ext cx="745807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23</xdr:row>
      <xdr:rowOff>14287</xdr:rowOff>
    </xdr:from>
    <xdr:to>
      <xdr:col>9</xdr:col>
      <xdr:colOff>514350</xdr:colOff>
      <xdr:row>37</xdr:row>
      <xdr:rowOff>90487</xdr:rowOff>
    </xdr:to>
    <xdr:graphicFrame macro="">
      <xdr:nvGraphicFramePr>
        <xdr:cNvPr id="6" name="Chart 5">
          <a:extLst>
            <a:ext uri="{FF2B5EF4-FFF2-40B4-BE49-F238E27FC236}">
              <a16:creationId xmlns:a16="http://schemas.microsoft.com/office/drawing/2014/main" id="{9EFD6E88-B39A-83F5-14CE-023A18859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39</xdr:row>
      <xdr:rowOff>0</xdr:rowOff>
    </xdr:from>
    <xdr:to>
      <xdr:col>10</xdr:col>
      <xdr:colOff>333375</xdr:colOff>
      <xdr:row>39</xdr:row>
      <xdr:rowOff>18000</xdr:rowOff>
    </xdr:to>
    <xdr:sp macro="" textlink="">
      <xdr:nvSpPr>
        <xdr:cNvPr id="7" name="Rectangle 6">
          <a:extLst>
            <a:ext uri="{FF2B5EF4-FFF2-40B4-BE49-F238E27FC236}">
              <a16:creationId xmlns:a16="http://schemas.microsoft.com/office/drawing/2014/main" id="{42A514CF-F347-0D62-F1F7-3A7C3475E639}"/>
            </a:ext>
          </a:extLst>
        </xdr:cNvPr>
        <xdr:cNvSpPr/>
      </xdr:nvSpPr>
      <xdr:spPr>
        <a:xfrm>
          <a:off x="342900" y="7239000"/>
          <a:ext cx="745807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40</xdr:row>
      <xdr:rowOff>4762</xdr:rowOff>
    </xdr:from>
    <xdr:to>
      <xdr:col>9</xdr:col>
      <xdr:colOff>516075</xdr:colOff>
      <xdr:row>54</xdr:row>
      <xdr:rowOff>80962</xdr:rowOff>
    </xdr:to>
    <xdr:graphicFrame macro="">
      <xdr:nvGraphicFramePr>
        <xdr:cNvPr id="8" name="Chart 7">
          <a:extLst>
            <a:ext uri="{FF2B5EF4-FFF2-40B4-BE49-F238E27FC236}">
              <a16:creationId xmlns:a16="http://schemas.microsoft.com/office/drawing/2014/main" id="{958CA4C5-C35A-4413-9514-5397F3561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342900</xdr:colOff>
      <xdr:row>56</xdr:row>
      <xdr:rowOff>19050</xdr:rowOff>
    </xdr:from>
    <xdr:to>
      <xdr:col>10</xdr:col>
      <xdr:colOff>333375</xdr:colOff>
      <xdr:row>56</xdr:row>
      <xdr:rowOff>37050</xdr:rowOff>
    </xdr:to>
    <xdr:sp macro="" textlink="">
      <xdr:nvSpPr>
        <xdr:cNvPr id="9" name="Rectangle 8">
          <a:extLst>
            <a:ext uri="{FF2B5EF4-FFF2-40B4-BE49-F238E27FC236}">
              <a16:creationId xmlns:a16="http://schemas.microsoft.com/office/drawing/2014/main" id="{3781AC64-8B38-0578-1D48-1243AD69B38D}"/>
            </a:ext>
          </a:extLst>
        </xdr:cNvPr>
        <xdr:cNvSpPr/>
      </xdr:nvSpPr>
      <xdr:spPr>
        <a:xfrm>
          <a:off x="342900" y="10496550"/>
          <a:ext cx="747712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57</xdr:row>
      <xdr:rowOff>14287</xdr:rowOff>
    </xdr:from>
    <xdr:to>
      <xdr:col>9</xdr:col>
      <xdr:colOff>516075</xdr:colOff>
      <xdr:row>71</xdr:row>
      <xdr:rowOff>90487</xdr:rowOff>
    </xdr:to>
    <xdr:graphicFrame macro="">
      <xdr:nvGraphicFramePr>
        <xdr:cNvPr id="11" name="Chart 10">
          <a:extLst>
            <a:ext uri="{FF2B5EF4-FFF2-40B4-BE49-F238E27FC236}">
              <a16:creationId xmlns:a16="http://schemas.microsoft.com/office/drawing/2014/main" id="{97DDD875-9976-4287-2764-C0981B400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342900</xdr:colOff>
      <xdr:row>73</xdr:row>
      <xdr:rowOff>38100</xdr:rowOff>
    </xdr:from>
    <xdr:to>
      <xdr:col>11</xdr:col>
      <xdr:colOff>411225</xdr:colOff>
      <xdr:row>73</xdr:row>
      <xdr:rowOff>56100</xdr:rowOff>
    </xdr:to>
    <xdr:sp macro="" textlink="">
      <xdr:nvSpPr>
        <xdr:cNvPr id="14" name="Rectangle 13">
          <a:extLst>
            <a:ext uri="{FF2B5EF4-FFF2-40B4-BE49-F238E27FC236}">
              <a16:creationId xmlns:a16="http://schemas.microsoft.com/office/drawing/2014/main" id="{1B088E76-7C15-ED8E-7AF6-B50B480DB6C5}"/>
            </a:ext>
          </a:extLst>
        </xdr:cNvPr>
        <xdr:cNvSpPr/>
      </xdr:nvSpPr>
      <xdr:spPr>
        <a:xfrm>
          <a:off x="342900" y="13754100"/>
          <a:ext cx="8136000"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438150</xdr:colOff>
      <xdr:row>74</xdr:row>
      <xdr:rowOff>33336</xdr:rowOff>
    </xdr:from>
    <xdr:to>
      <xdr:col>11</xdr:col>
      <xdr:colOff>190500</xdr:colOff>
      <xdr:row>90</xdr:row>
      <xdr:rowOff>57149</xdr:rowOff>
    </xdr:to>
    <xdr:graphicFrame macro="">
      <xdr:nvGraphicFramePr>
        <xdr:cNvPr id="15" name="Chart 14">
          <a:extLst>
            <a:ext uri="{FF2B5EF4-FFF2-40B4-BE49-F238E27FC236}">
              <a16:creationId xmlns:a16="http://schemas.microsoft.com/office/drawing/2014/main" id="{5526F6AE-909E-9979-A018-96E987528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91</xdr:row>
      <xdr:rowOff>182025</xdr:rowOff>
    </xdr:from>
    <xdr:to>
      <xdr:col>11</xdr:col>
      <xdr:colOff>411225</xdr:colOff>
      <xdr:row>92</xdr:row>
      <xdr:rowOff>9525</xdr:rowOff>
    </xdr:to>
    <xdr:sp macro="" textlink="">
      <xdr:nvSpPr>
        <xdr:cNvPr id="16" name="Rectangle 15">
          <a:extLst>
            <a:ext uri="{FF2B5EF4-FFF2-40B4-BE49-F238E27FC236}">
              <a16:creationId xmlns:a16="http://schemas.microsoft.com/office/drawing/2014/main" id="{5EADD1A4-2B3A-1563-6E1A-0014BCAFBC11}"/>
            </a:ext>
          </a:extLst>
        </xdr:cNvPr>
        <xdr:cNvSpPr/>
      </xdr:nvSpPr>
      <xdr:spPr>
        <a:xfrm>
          <a:off x="342900" y="17327025"/>
          <a:ext cx="8136000"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428625</xdr:colOff>
      <xdr:row>92</xdr:row>
      <xdr:rowOff>185737</xdr:rowOff>
    </xdr:from>
    <xdr:to>
      <xdr:col>10</xdr:col>
      <xdr:colOff>582525</xdr:colOff>
      <xdr:row>107</xdr:row>
      <xdr:rowOff>71437</xdr:rowOff>
    </xdr:to>
    <xdr:graphicFrame macro="">
      <xdr:nvGraphicFramePr>
        <xdr:cNvPr id="17" name="Chart 16">
          <a:extLst>
            <a:ext uri="{FF2B5EF4-FFF2-40B4-BE49-F238E27FC236}">
              <a16:creationId xmlns:a16="http://schemas.microsoft.com/office/drawing/2014/main" id="{9BFE01DA-2E4C-3BBF-0726-8BB2439BC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342900</xdr:colOff>
      <xdr:row>108</xdr:row>
      <xdr:rowOff>0</xdr:rowOff>
    </xdr:from>
    <xdr:to>
      <xdr:col>11</xdr:col>
      <xdr:colOff>411225</xdr:colOff>
      <xdr:row>108</xdr:row>
      <xdr:rowOff>18000</xdr:rowOff>
    </xdr:to>
    <xdr:sp macro="" textlink="">
      <xdr:nvSpPr>
        <xdr:cNvPr id="5" name="Rectangle 4">
          <a:extLst>
            <a:ext uri="{FF2B5EF4-FFF2-40B4-BE49-F238E27FC236}">
              <a16:creationId xmlns:a16="http://schemas.microsoft.com/office/drawing/2014/main" id="{ED722A0D-D9A6-56D1-D8F1-455377C3243A}"/>
            </a:ext>
          </a:extLst>
        </xdr:cNvPr>
        <xdr:cNvSpPr/>
      </xdr:nvSpPr>
      <xdr:spPr>
        <a:xfrm>
          <a:off x="342900" y="20574000"/>
          <a:ext cx="8002650"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 refreshedDate="46266.650708680558" createdVersion="8" refreshedVersion="8" minRefreshableVersion="3" recordCount="500" xr:uid="{E91E38BE-AF08-46E9-8730-E9B77216619B}">
  <cacheSource type="worksheet">
    <worksheetSource name="ShoeSales"/>
  </cacheSource>
  <cacheFields count="22">
    <cacheField name="Date" numFmtId="165">
      <sharedItems containsSemiMixedTypes="0" containsNonDate="0" containsDate="1" containsString="0" minDate="2026-01-01T00:00:00" maxDate="2026-08-15T00:00:00" count="203">
        <d v="2026-05-19T00:00:00"/>
        <d v="2026-06-26T00:00:00"/>
        <d v="2026-05-30T00:00:00"/>
        <d v="2026-07-11T00:00:00"/>
        <d v="2026-04-18T00:00:00"/>
        <d v="2026-03-12T00:00:00"/>
        <d v="2026-06-18T00:00:00"/>
        <d v="2026-07-09T00:00:00"/>
        <d v="2026-01-16T00:00:00"/>
        <d v="2026-06-09T00:00:00"/>
        <d v="2026-04-20T00:00:00"/>
        <d v="2026-03-16T00:00:00"/>
        <d v="2026-05-04T00:00:00"/>
        <d v="2026-01-09T00:00:00"/>
        <d v="2026-07-23T00:00:00"/>
        <d v="2026-04-13T00:00:00"/>
        <d v="2026-05-20T00:00:00"/>
        <d v="2026-03-31T00:00:00"/>
        <d v="2026-05-05T00:00:00"/>
        <d v="2026-08-07T00:00:00"/>
        <d v="2026-07-14T00:00:00"/>
        <d v="2026-01-12T00:00:00"/>
        <d v="2026-01-28T00:00:00"/>
        <d v="2026-01-13T00:00:00"/>
        <d v="2026-03-13T00:00:00"/>
        <d v="2026-03-10T00:00:00"/>
        <d v="2026-04-30T00:00:00"/>
        <d v="2026-02-15T00:00:00"/>
        <d v="2026-07-16T00:00:00"/>
        <d v="2026-06-12T00:00:00"/>
        <d v="2026-08-02T00:00:00"/>
        <d v="2026-03-30T00:00:00"/>
        <d v="2026-07-25T00:00:00"/>
        <d v="2026-06-03T00:00:00"/>
        <d v="2026-03-09T00:00:00"/>
        <d v="2026-02-19T00:00:00"/>
        <d v="2026-07-17T00:00:00"/>
        <d v="2026-04-15T00:00:00"/>
        <d v="2026-04-19T00:00:00"/>
        <d v="2026-05-23T00:00:00"/>
        <d v="2026-08-03T00:00:00"/>
        <d v="2026-03-05T00:00:00"/>
        <d v="2026-03-29T00:00:00"/>
        <d v="2026-06-27T00:00:00"/>
        <d v="2026-08-06T00:00:00"/>
        <d v="2026-01-29T00:00:00"/>
        <d v="2026-02-16T00:00:00"/>
        <d v="2026-03-28T00:00:00"/>
        <d v="2026-04-02T00:00:00"/>
        <d v="2026-06-02T00:00:00"/>
        <d v="2026-01-23T00:00:00"/>
        <d v="2026-07-27T00:00:00"/>
        <d v="2026-06-23T00:00:00"/>
        <d v="2026-04-09T00:00:00"/>
        <d v="2026-06-21T00:00:00"/>
        <d v="2026-02-28T00:00:00"/>
        <d v="2026-06-24T00:00:00"/>
        <d v="2026-04-12T00:00:00"/>
        <d v="2026-01-06T00:00:00"/>
        <d v="2026-06-06T00:00:00"/>
        <d v="2026-03-04T00:00:00"/>
        <d v="2026-07-10T00:00:00"/>
        <d v="2026-03-08T00:00:00"/>
        <d v="2026-06-01T00:00:00"/>
        <d v="2026-02-24T00:00:00"/>
        <d v="2026-05-06T00:00:00"/>
        <d v="2026-02-05T00:00:00"/>
        <d v="2026-03-03T00:00:00"/>
        <d v="2026-04-21T00:00:00"/>
        <d v="2026-04-05T00:00:00"/>
        <d v="2026-01-19T00:00:00"/>
        <d v="2026-06-14T00:00:00"/>
        <d v="2026-05-02T00:00:00"/>
        <d v="2026-02-04T00:00:00"/>
        <d v="2026-02-14T00:00:00"/>
        <d v="2026-03-18T00:00:00"/>
        <d v="2026-07-01T00:00:00"/>
        <d v="2026-08-12T00:00:00"/>
        <d v="2026-01-11T00:00:00"/>
        <d v="2026-06-30T00:00:00"/>
        <d v="2026-01-22T00:00:00"/>
        <d v="2026-07-20T00:00:00"/>
        <d v="2026-04-06T00:00:00"/>
        <d v="2026-03-20T00:00:00"/>
        <d v="2026-07-13T00:00:00"/>
        <d v="2026-01-18T00:00:00"/>
        <d v="2026-02-21T00:00:00"/>
        <d v="2026-06-20T00:00:00"/>
        <d v="2026-04-25T00:00:00"/>
        <d v="2026-05-12T00:00:00"/>
        <d v="2026-02-22T00:00:00"/>
        <d v="2026-08-14T00:00:00"/>
        <d v="2026-01-27T00:00:00"/>
        <d v="2026-06-17T00:00:00"/>
        <d v="2026-07-02T00:00:00"/>
        <d v="2026-02-03T00:00:00"/>
        <d v="2026-07-19T00:00:00"/>
        <d v="2026-07-07T00:00:00"/>
        <d v="2026-02-12T00:00:00"/>
        <d v="2026-01-03T00:00:00"/>
        <d v="2026-05-21T00:00:00"/>
        <d v="2026-07-30T00:00:00"/>
        <d v="2026-05-31T00:00:00"/>
        <d v="2026-05-14T00:00:00"/>
        <d v="2026-08-10T00:00:00"/>
        <d v="2026-07-26T00:00:00"/>
        <d v="2026-02-07T00:00:00"/>
        <d v="2026-05-24T00:00:00"/>
        <d v="2026-03-11T00:00:00"/>
        <d v="2026-01-02T00:00:00"/>
        <d v="2026-03-25T00:00:00"/>
        <d v="2026-07-15T00:00:00"/>
        <d v="2026-04-28T00:00:00"/>
        <d v="2026-06-25T00:00:00"/>
        <d v="2026-04-08T00:00:00"/>
        <d v="2026-04-11T00:00:00"/>
        <d v="2026-01-04T00:00:00"/>
        <d v="2026-05-11T00:00:00"/>
        <d v="2026-07-08T00:00:00"/>
        <d v="2026-08-05T00:00:00"/>
        <d v="2026-01-17T00:00:00"/>
        <d v="2026-03-24T00:00:00"/>
        <d v="2026-07-18T00:00:00"/>
        <d v="2026-02-01T00:00:00"/>
        <d v="2026-01-25T00:00:00"/>
        <d v="2026-03-27T00:00:00"/>
        <d v="2026-01-24T00:00:00"/>
        <d v="2026-04-07T00:00:00"/>
        <d v="2026-05-08T00:00:00"/>
        <d v="2026-06-08T00:00:00"/>
        <d v="2026-02-08T00:00:00"/>
        <d v="2026-02-27T00:00:00"/>
        <d v="2026-05-09T00:00:00"/>
        <d v="2026-03-02T00:00:00"/>
        <d v="2026-08-11T00:00:00"/>
        <d v="2026-01-30T00:00:00"/>
        <d v="2026-04-29T00:00:00"/>
        <d v="2026-01-15T00:00:00"/>
        <d v="2026-05-15T00:00:00"/>
        <d v="2026-01-01T00:00:00"/>
        <d v="2026-05-29T00:00:00"/>
        <d v="2026-02-13T00:00:00"/>
        <d v="2026-07-21T00:00:00"/>
        <d v="2026-04-10T00:00:00"/>
        <d v="2026-06-07T00:00:00"/>
        <d v="2026-05-25T00:00:00"/>
        <d v="2026-05-10T00:00:00"/>
        <d v="2026-02-18T00:00:00"/>
        <d v="2026-04-14T00:00:00"/>
        <d v="2026-01-31T00:00:00"/>
        <d v="2026-03-17T00:00:00"/>
        <d v="2026-06-16T00:00:00"/>
        <d v="2026-07-24T00:00:00"/>
        <d v="2026-05-27T00:00:00"/>
        <d v="2026-08-01T00:00:00"/>
        <d v="2026-06-05T00:00:00"/>
        <d v="2026-07-05T00:00:00"/>
        <d v="2026-05-26T00:00:00"/>
        <d v="2026-02-06T00:00:00"/>
        <d v="2026-03-07T00:00:00"/>
        <d v="2026-01-10T00:00:00"/>
        <d v="2026-04-26T00:00:00"/>
        <d v="2026-02-20T00:00:00"/>
        <d v="2026-02-23T00:00:00"/>
        <d v="2026-06-04T00:00:00"/>
        <d v="2026-05-07T00:00:00"/>
        <d v="2026-02-17T00:00:00"/>
        <d v="2026-03-22T00:00:00"/>
        <d v="2026-06-19T00:00:00"/>
        <d v="2026-03-15T00:00:00"/>
        <d v="2026-06-15T00:00:00"/>
        <d v="2026-04-16T00:00:00"/>
        <d v="2026-01-20T00:00:00"/>
        <d v="2026-01-08T00:00:00"/>
        <d v="2026-02-25T00:00:00"/>
        <d v="2026-06-10T00:00:00"/>
        <d v="2026-06-28T00:00:00"/>
        <d v="2026-04-17T00:00:00"/>
        <d v="2026-08-08T00:00:00"/>
        <d v="2026-05-17T00:00:00"/>
        <d v="2026-07-28T00:00:00"/>
        <d v="2026-03-06T00:00:00"/>
        <d v="2026-05-28T00:00:00"/>
        <d v="2026-02-09T00:00:00"/>
        <d v="2026-01-21T00:00:00"/>
        <d v="2026-03-26T00:00:00"/>
        <d v="2026-01-07T00:00:00"/>
        <d v="2026-04-22T00:00:00"/>
        <d v="2026-05-13T00:00:00"/>
        <d v="2026-06-29T00:00:00"/>
        <d v="2026-07-06T00:00:00"/>
        <d v="2026-08-13T00:00:00"/>
        <d v="2026-07-04T00:00:00"/>
        <d v="2026-07-12T00:00:00"/>
        <d v="2026-08-04T00:00:00"/>
        <d v="2026-05-18T00:00:00"/>
        <d v="2026-01-26T00:00:00"/>
        <d v="2026-07-31T00:00:00"/>
        <d v="2026-05-03T00:00:00"/>
        <d v="2026-03-14T00:00:00"/>
        <d v="2026-02-11T00:00:00"/>
        <d v="2026-02-26T00:00:00"/>
        <d v="2026-06-11T00:00:00"/>
      </sharedItems>
      <fieldGroup par="21"/>
    </cacheField>
    <cacheField name="Product" numFmtId="0">
      <sharedItems/>
    </cacheField>
    <cacheField name="Product Cleaned" numFmtId="0">
      <sharedItems count="8">
        <s v="Monk Straps"/>
        <s v="Loafers"/>
        <s v="Derby"/>
        <s v="Boots"/>
        <s v="Canvas"/>
        <s v="Oxford"/>
        <s v="Brogues"/>
        <s v="Slippers"/>
      </sharedItems>
    </cacheField>
    <cacheField name="Category" numFmtId="0">
      <sharedItems/>
    </cacheField>
    <cacheField name="Category Cleaned" numFmtId="0">
      <sharedItems count="4">
        <s v="FORMAL"/>
        <s v="UTILITY"/>
        <s v="CASUAL"/>
        <s v="OPEN"/>
      </sharedItems>
    </cacheField>
    <cacheField name="Color" numFmtId="0">
      <sharedItems/>
    </cacheField>
    <cacheField name="Brand" numFmtId="0">
      <sharedItems/>
    </cacheField>
    <cacheField name="Brand Cleaned" numFmtId="0">
      <sharedItems count="5">
        <s v="Nike"/>
        <s v="Clarks"/>
        <s v="Timberland"/>
        <s v="Zara"/>
        <s v="Steve Madden"/>
      </sharedItems>
    </cacheField>
    <cacheField name="Country" numFmtId="0">
      <sharedItems count="14">
        <s v="Uganda"/>
        <s v="Nigeria"/>
        <s v="Canada"/>
        <s v="UK"/>
        <s v="Ghana"/>
        <s v="USA"/>
        <s v="Australia"/>
        <s v="Cyprus"/>
        <s v="India"/>
        <s v="Germany"/>
        <s v="Philippines"/>
        <s v="Zimbabwe"/>
        <s v="Albania"/>
        <s v="Kenya"/>
      </sharedItems>
    </cacheField>
    <cacheField name="Quantity" numFmtId="1">
      <sharedItems containsSemiMixedTypes="0" containsString="0" containsNumber="1" containsInteger="1" minValue="1" maxValue="15"/>
    </cacheField>
    <cacheField name="Payment Type" numFmtId="0">
      <sharedItems count="4">
        <s v="Bank Transfer"/>
        <s v="Card"/>
        <s v="Cash"/>
        <s v="Mobile Money"/>
      </sharedItems>
    </cacheField>
    <cacheField name="Sell Price" numFmtId="1">
      <sharedItems containsSemiMixedTypes="0" containsString="0" containsNumber="1" containsInteger="1" minValue="32" maxValue="128"/>
    </cacheField>
    <cacheField name="xlookup price" numFmtId="1">
      <sharedItems containsSemiMixedTypes="0" containsString="0" containsNumber="1" containsInteger="1" minValue="32" maxValue="128"/>
    </cacheField>
    <cacheField name="Cost Price" numFmtId="1">
      <sharedItems containsSemiMixedTypes="0" containsString="0" containsNumber="1" containsInteger="1" minValue="14" maxValue="72"/>
    </cacheField>
    <cacheField name="Revenue" numFmtId="1">
      <sharedItems containsSemiMixedTypes="0" containsString="0" containsNumber="1" containsInteger="1" minValue="32" maxValue="1920"/>
    </cacheField>
    <cacheField name="Cost" numFmtId="1">
      <sharedItems containsSemiMixedTypes="0" containsString="0" containsNumber="1" containsInteger="1" minValue="14" maxValue="1080"/>
    </cacheField>
    <cacheField name="Profit" numFmtId="1">
      <sharedItems containsSemiMixedTypes="0" containsString="0" containsNumber="1" containsInteger="1" minValue="18" maxValue="840"/>
    </cacheField>
    <cacheField name="Profit Margin" numFmtId="166">
      <sharedItems containsSemiMixedTypes="0" containsString="0" containsNumber="1" minValue="0.42857142857142855" maxValue="0.5625"/>
    </cacheField>
    <cacheField name="Brand count" numFmtId="1">
      <sharedItems containsBlank="1"/>
    </cacheField>
    <cacheField name="Months" numFmtId="1">
      <sharedItems count="8">
        <s v="May"/>
        <s v="Jun"/>
        <s v="Jul"/>
        <s v="Apr"/>
        <s v="Mar"/>
        <s v="Jan"/>
        <s v="Aug"/>
        <s v="Feb"/>
      </sharedItems>
    </cacheField>
    <cacheField name="Days (Date)" numFmtId="0" databaseField="0">
      <fieldGroup base="0">
        <rangePr groupBy="days" startDate="2026-01-01T00:00:00" endDate="2026-08-15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8/2026"/>
        </groupItems>
      </fieldGroup>
    </cacheField>
    <cacheField name="Months (Date)" numFmtId="0" databaseField="0">
      <fieldGroup base="0">
        <rangePr groupBy="months" startDate="2026-01-01T00:00:00" endDate="2026-08-15T00:00:00"/>
        <groupItems count="14">
          <s v="&lt;01/01/2026"/>
          <s v="Jan"/>
          <s v="Feb"/>
          <s v="Mar"/>
          <s v="Apr"/>
          <s v="May"/>
          <s v="Jun"/>
          <s v="Jul"/>
          <s v="Aug"/>
          <s v="Sep"/>
          <s v="Oct"/>
          <s v="Nov"/>
          <s v="Dec"/>
          <s v="&gt;15/08/2026"/>
        </groupItems>
      </fieldGroup>
    </cacheField>
  </cacheFields>
  <extLst>
    <ext xmlns:x14="http://schemas.microsoft.com/office/spreadsheetml/2009/9/main" uri="{725AE2AE-9491-48be-B2B4-4EB974FC3084}">
      <x14:pivotCacheDefinition pivotCacheId="1416977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monk straps"/>
    <x v="0"/>
    <s v="Formal"/>
    <x v="0"/>
    <s v="Red"/>
    <s v="Nike"/>
    <x v="0"/>
    <x v="0"/>
    <n v="7"/>
    <x v="0"/>
    <n v="89"/>
    <n v="89"/>
    <n v="47"/>
    <n v="623"/>
    <n v="329"/>
    <n v="294"/>
    <n v="0.47191011235955055"/>
    <s v="Nike"/>
    <x v="0"/>
  </r>
  <r>
    <x v="1"/>
    <s v="loafers"/>
    <x v="1"/>
    <s v="Formal"/>
    <x v="0"/>
    <s v="Black"/>
    <s v="Nike"/>
    <x v="0"/>
    <x v="0"/>
    <n v="1"/>
    <x v="1"/>
    <n v="54"/>
    <n v="54"/>
    <n v="28"/>
    <n v="54"/>
    <n v="28"/>
    <n v="26"/>
    <n v="0.48148148148148145"/>
    <s v="Clarks"/>
    <x v="1"/>
  </r>
  <r>
    <x v="2"/>
    <s v="Derby"/>
    <x v="2"/>
    <s v="Formal"/>
    <x v="0"/>
    <s v="Green"/>
    <s v="clarks"/>
    <x v="1"/>
    <x v="1"/>
    <n v="7"/>
    <x v="0"/>
    <n v="32"/>
    <n v="32"/>
    <n v="14"/>
    <n v="224"/>
    <n v="98"/>
    <n v="126"/>
    <n v="0.5625"/>
    <s v="Timberland"/>
    <x v="0"/>
  </r>
  <r>
    <x v="3"/>
    <s v="boots"/>
    <x v="3"/>
    <s v="UTILITY"/>
    <x v="1"/>
    <s v="Black"/>
    <s v="Nike"/>
    <x v="0"/>
    <x v="2"/>
    <n v="6"/>
    <x v="0"/>
    <n v="76"/>
    <n v="76"/>
    <n v="39"/>
    <n v="456"/>
    <n v="234"/>
    <n v="222"/>
    <n v="0.48684210526315791"/>
    <s v="Zara"/>
    <x v="2"/>
  </r>
  <r>
    <x v="4"/>
    <s v="boots"/>
    <x v="3"/>
    <s v="casual"/>
    <x v="2"/>
    <s v="Red"/>
    <s v="clarks"/>
    <x v="1"/>
    <x v="3"/>
    <n v="6"/>
    <x v="0"/>
    <n v="76"/>
    <n v="76"/>
    <n v="39"/>
    <n v="456"/>
    <n v="234"/>
    <n v="222"/>
    <n v="0.48684210526315791"/>
    <s v="Steve Madden"/>
    <x v="3"/>
  </r>
  <r>
    <x v="5"/>
    <s v="Canvas"/>
    <x v="4"/>
    <s v="UTILITY"/>
    <x v="1"/>
    <s v="Blue"/>
    <s v="Nike"/>
    <x v="0"/>
    <x v="4"/>
    <n v="6"/>
    <x v="1"/>
    <n v="128"/>
    <n v="128"/>
    <n v="72"/>
    <n v="768"/>
    <n v="432"/>
    <n v="336"/>
    <n v="0.4375"/>
    <m/>
    <x v="4"/>
  </r>
  <r>
    <x v="6"/>
    <s v="Canvas"/>
    <x v="4"/>
    <s v="Formal"/>
    <x v="0"/>
    <s v="Green"/>
    <s v="clarks"/>
    <x v="1"/>
    <x v="5"/>
    <n v="13"/>
    <x v="2"/>
    <n v="128"/>
    <n v="128"/>
    <n v="72"/>
    <n v="1664"/>
    <n v="936"/>
    <n v="728"/>
    <n v="0.4375"/>
    <m/>
    <x v="1"/>
  </r>
  <r>
    <x v="7"/>
    <s v="monk straps "/>
    <x v="0"/>
    <s v="Formal"/>
    <x v="0"/>
    <s v="Brown"/>
    <s v="timberland"/>
    <x v="2"/>
    <x v="5"/>
    <n v="12"/>
    <x v="2"/>
    <n v="89"/>
    <n v="89"/>
    <n v="47"/>
    <n v="1068"/>
    <n v="564"/>
    <n v="504"/>
    <n v="0.47191011235955055"/>
    <m/>
    <x v="2"/>
  </r>
  <r>
    <x v="8"/>
    <s v="Derby"/>
    <x v="2"/>
    <s v="Formal"/>
    <x v="0"/>
    <s v="Green"/>
    <s v="clarks"/>
    <x v="1"/>
    <x v="6"/>
    <n v="10"/>
    <x v="2"/>
    <n v="32"/>
    <n v="32"/>
    <n v="14"/>
    <n v="320"/>
    <n v="140"/>
    <n v="180"/>
    <n v="0.5625"/>
    <m/>
    <x v="5"/>
  </r>
  <r>
    <x v="9"/>
    <s v="OXFORD"/>
    <x v="5"/>
    <s v="Formal"/>
    <x v="0"/>
    <s v="Black"/>
    <s v="clarks"/>
    <x v="1"/>
    <x v="7"/>
    <n v="15"/>
    <x v="3"/>
    <n v="105"/>
    <n v="105"/>
    <n v="58"/>
    <n v="1575"/>
    <n v="870"/>
    <n v="705"/>
    <n v="0.44761904761904764"/>
    <m/>
    <x v="1"/>
  </r>
  <r>
    <x v="10"/>
    <s v="boots"/>
    <x v="3"/>
    <s v="Formal"/>
    <x v="0"/>
    <s v="Brown"/>
    <s v="clarks"/>
    <x v="1"/>
    <x v="8"/>
    <n v="8"/>
    <x v="0"/>
    <n v="76"/>
    <n v="76"/>
    <n v="39"/>
    <n v="608"/>
    <n v="312"/>
    <n v="296"/>
    <n v="0.48684210526315791"/>
    <m/>
    <x v="3"/>
  </r>
  <r>
    <x v="11"/>
    <s v="loafers"/>
    <x v="1"/>
    <s v="casual"/>
    <x v="2"/>
    <s v="Green"/>
    <s v="clarks"/>
    <x v="1"/>
    <x v="6"/>
    <n v="9"/>
    <x v="2"/>
    <n v="54"/>
    <n v="54"/>
    <n v="28"/>
    <n v="486"/>
    <n v="252"/>
    <n v="234"/>
    <n v="0.48148148148148145"/>
    <m/>
    <x v="4"/>
  </r>
  <r>
    <x v="12"/>
    <s v="BROGUES "/>
    <x v="6"/>
    <s v="UTILITY"/>
    <x v="1"/>
    <s v="Green"/>
    <s v="Nike"/>
    <x v="0"/>
    <x v="9"/>
    <n v="14"/>
    <x v="0"/>
    <n v="112"/>
    <n v="112"/>
    <n v="64"/>
    <n v="1568"/>
    <n v="896"/>
    <n v="672"/>
    <n v="0.42857142857142855"/>
    <m/>
    <x v="0"/>
  </r>
  <r>
    <x v="13"/>
    <s v="OXFORD"/>
    <x v="5"/>
    <s v="Formal"/>
    <x v="0"/>
    <s v="Green"/>
    <s v="timberland"/>
    <x v="2"/>
    <x v="1"/>
    <n v="4"/>
    <x v="1"/>
    <n v="105"/>
    <n v="105"/>
    <n v="58"/>
    <n v="420"/>
    <n v="232"/>
    <n v="188"/>
    <n v="0.44761904761904764"/>
    <m/>
    <x v="5"/>
  </r>
  <r>
    <x v="1"/>
    <s v="SLIPPERS"/>
    <x v="7"/>
    <s v="Formal"/>
    <x v="0"/>
    <s v="Red"/>
    <s v="ZARA"/>
    <x v="3"/>
    <x v="0"/>
    <n v="6"/>
    <x v="1"/>
    <n v="119"/>
    <n v="119"/>
    <n v="67"/>
    <n v="714"/>
    <n v="402"/>
    <n v="312"/>
    <n v="0.43697478991596639"/>
    <m/>
    <x v="1"/>
  </r>
  <r>
    <x v="14"/>
    <s v="Derby"/>
    <x v="2"/>
    <s v="casual"/>
    <x v="2"/>
    <s v="Green"/>
    <s v="ZARA"/>
    <x v="3"/>
    <x v="10"/>
    <n v="10"/>
    <x v="2"/>
    <n v="32"/>
    <n v="32"/>
    <n v="14"/>
    <n v="320"/>
    <n v="140"/>
    <n v="180"/>
    <n v="0.5625"/>
    <m/>
    <x v="2"/>
  </r>
  <r>
    <x v="15"/>
    <s v="boots"/>
    <x v="3"/>
    <s v="OPEN"/>
    <x v="3"/>
    <s v="Red"/>
    <s v="Steve Madden"/>
    <x v="4"/>
    <x v="1"/>
    <n v="7"/>
    <x v="0"/>
    <n v="76"/>
    <n v="76"/>
    <n v="39"/>
    <n v="532"/>
    <n v="273"/>
    <n v="259"/>
    <n v="0.48684210526315791"/>
    <m/>
    <x v="3"/>
  </r>
  <r>
    <x v="16"/>
    <s v="Derby"/>
    <x v="2"/>
    <s v="casual"/>
    <x v="2"/>
    <s v="Blue"/>
    <s v="clarks"/>
    <x v="1"/>
    <x v="3"/>
    <n v="7"/>
    <x v="3"/>
    <n v="32"/>
    <n v="32"/>
    <n v="14"/>
    <n v="224"/>
    <n v="98"/>
    <n v="126"/>
    <n v="0.5625"/>
    <m/>
    <x v="0"/>
  </r>
  <r>
    <x v="17"/>
    <s v="OXFORD"/>
    <x v="5"/>
    <s v="OPEN"/>
    <x v="3"/>
    <s v="Black"/>
    <s v="clarks"/>
    <x v="1"/>
    <x v="3"/>
    <n v="11"/>
    <x v="2"/>
    <n v="105"/>
    <n v="105"/>
    <n v="58"/>
    <n v="1155"/>
    <n v="638"/>
    <n v="517"/>
    <n v="0.44761904761904764"/>
    <m/>
    <x v="4"/>
  </r>
  <r>
    <x v="18"/>
    <s v="boots"/>
    <x v="3"/>
    <s v="UTILITY"/>
    <x v="1"/>
    <s v="Red"/>
    <s v="Nike"/>
    <x v="0"/>
    <x v="11"/>
    <n v="6"/>
    <x v="2"/>
    <n v="76"/>
    <n v="76"/>
    <n v="39"/>
    <n v="456"/>
    <n v="234"/>
    <n v="222"/>
    <n v="0.48684210526315791"/>
    <m/>
    <x v="0"/>
  </r>
  <r>
    <x v="19"/>
    <s v="monk straps"/>
    <x v="0"/>
    <s v="Formal"/>
    <x v="0"/>
    <s v="Red"/>
    <s v="clarks"/>
    <x v="1"/>
    <x v="9"/>
    <n v="8"/>
    <x v="1"/>
    <n v="89"/>
    <n v="89"/>
    <n v="47"/>
    <n v="712"/>
    <n v="376"/>
    <n v="336"/>
    <n v="0.47191011235955055"/>
    <m/>
    <x v="6"/>
  </r>
  <r>
    <x v="20"/>
    <s v="BROGUES"/>
    <x v="6"/>
    <s v="casual"/>
    <x v="2"/>
    <s v="Green"/>
    <s v="Steve Madden"/>
    <x v="4"/>
    <x v="6"/>
    <n v="5"/>
    <x v="3"/>
    <n v="112"/>
    <n v="112"/>
    <n v="64"/>
    <n v="560"/>
    <n v="320"/>
    <n v="240"/>
    <n v="0.42857142857142855"/>
    <m/>
    <x v="2"/>
  </r>
  <r>
    <x v="21"/>
    <s v="OXFORD"/>
    <x v="5"/>
    <s v="Formal"/>
    <x v="0"/>
    <s v="Green"/>
    <s v="Steve Madden"/>
    <x v="4"/>
    <x v="11"/>
    <n v="15"/>
    <x v="1"/>
    <n v="105"/>
    <n v="105"/>
    <n v="58"/>
    <n v="1575"/>
    <n v="870"/>
    <n v="705"/>
    <n v="0.44761904761904764"/>
    <m/>
    <x v="5"/>
  </r>
  <r>
    <x v="22"/>
    <s v="Canvas"/>
    <x v="4"/>
    <s v="Formal"/>
    <x v="0"/>
    <s v="Green"/>
    <s v="Steve Madden"/>
    <x v="4"/>
    <x v="7"/>
    <n v="1"/>
    <x v="1"/>
    <n v="128"/>
    <n v="128"/>
    <n v="72"/>
    <n v="128"/>
    <n v="72"/>
    <n v="56"/>
    <n v="0.4375"/>
    <m/>
    <x v="5"/>
  </r>
  <r>
    <x v="23"/>
    <s v="boots"/>
    <x v="3"/>
    <s v="casual"/>
    <x v="2"/>
    <s v="Blue"/>
    <s v="clarks"/>
    <x v="1"/>
    <x v="4"/>
    <n v="12"/>
    <x v="2"/>
    <n v="76"/>
    <n v="76"/>
    <n v="39"/>
    <n v="912"/>
    <n v="468"/>
    <n v="444"/>
    <n v="0.48684210526315791"/>
    <m/>
    <x v="5"/>
  </r>
  <r>
    <x v="24"/>
    <s v="loafers"/>
    <x v="1"/>
    <s v="UTILITY"/>
    <x v="1"/>
    <s v="Green"/>
    <s v="Steve Madden"/>
    <x v="4"/>
    <x v="8"/>
    <n v="9"/>
    <x v="3"/>
    <n v="54"/>
    <n v="54"/>
    <n v="28"/>
    <n v="486"/>
    <n v="252"/>
    <n v="234"/>
    <n v="0.48148148148148145"/>
    <m/>
    <x v="4"/>
  </r>
  <r>
    <x v="3"/>
    <s v="OXFORD"/>
    <x v="5"/>
    <s v="Formal"/>
    <x v="0"/>
    <s v="Green"/>
    <s v="clarks"/>
    <x v="1"/>
    <x v="4"/>
    <n v="5"/>
    <x v="3"/>
    <n v="105"/>
    <n v="105"/>
    <n v="58"/>
    <n v="525"/>
    <n v="290"/>
    <n v="235"/>
    <n v="0.44761904761904764"/>
    <m/>
    <x v="2"/>
  </r>
  <r>
    <x v="25"/>
    <s v="loafers"/>
    <x v="1"/>
    <s v="casual"/>
    <x v="2"/>
    <s v="Green"/>
    <s v="clarks"/>
    <x v="1"/>
    <x v="11"/>
    <n v="8"/>
    <x v="0"/>
    <n v="54"/>
    <n v="54"/>
    <n v="28"/>
    <n v="432"/>
    <n v="224"/>
    <n v="208"/>
    <n v="0.48148148148148145"/>
    <m/>
    <x v="4"/>
  </r>
  <r>
    <x v="26"/>
    <s v="OXFORD"/>
    <x v="5"/>
    <s v="Formal"/>
    <x v="0"/>
    <s v="Red"/>
    <s v="ZARA"/>
    <x v="3"/>
    <x v="1"/>
    <n v="2"/>
    <x v="0"/>
    <n v="105"/>
    <n v="105"/>
    <n v="58"/>
    <n v="210"/>
    <n v="116"/>
    <n v="94"/>
    <n v="0.44761904761904764"/>
    <m/>
    <x v="3"/>
  </r>
  <r>
    <x v="27"/>
    <s v="monk straps"/>
    <x v="0"/>
    <s v="Formal"/>
    <x v="0"/>
    <s v="Blue"/>
    <s v="ZARA"/>
    <x v="3"/>
    <x v="12"/>
    <n v="7"/>
    <x v="2"/>
    <n v="89"/>
    <n v="89"/>
    <n v="47"/>
    <n v="623"/>
    <n v="329"/>
    <n v="294"/>
    <n v="0.47191011235955055"/>
    <m/>
    <x v="7"/>
  </r>
  <r>
    <x v="28"/>
    <s v="BROGUES"/>
    <x v="6"/>
    <s v="Formal"/>
    <x v="0"/>
    <s v="Red"/>
    <s v="Steve Madden"/>
    <x v="4"/>
    <x v="9"/>
    <n v="12"/>
    <x v="3"/>
    <n v="112"/>
    <n v="112"/>
    <n v="64"/>
    <n v="1344"/>
    <n v="768"/>
    <n v="576"/>
    <n v="0.42857142857142855"/>
    <m/>
    <x v="2"/>
  </r>
  <r>
    <x v="29"/>
    <s v="Canvas "/>
    <x v="4"/>
    <s v="Formal"/>
    <x v="0"/>
    <s v="Blue"/>
    <s v="clarks"/>
    <x v="1"/>
    <x v="11"/>
    <n v="15"/>
    <x v="1"/>
    <n v="128"/>
    <n v="128"/>
    <n v="72"/>
    <n v="1920"/>
    <n v="1080"/>
    <n v="840"/>
    <n v="0.4375"/>
    <m/>
    <x v="1"/>
  </r>
  <r>
    <x v="30"/>
    <s v="boots"/>
    <x v="3"/>
    <s v="Formal"/>
    <x v="0"/>
    <s v="Red"/>
    <s v="ZARA"/>
    <x v="3"/>
    <x v="0"/>
    <n v="7"/>
    <x v="3"/>
    <n v="76"/>
    <n v="76"/>
    <n v="39"/>
    <n v="532"/>
    <n v="273"/>
    <n v="259"/>
    <n v="0.48684210526315791"/>
    <m/>
    <x v="6"/>
  </r>
  <r>
    <x v="31"/>
    <s v="BROGUES"/>
    <x v="6"/>
    <s v="Formal"/>
    <x v="0"/>
    <s v="Black"/>
    <s v="Nike"/>
    <x v="0"/>
    <x v="7"/>
    <n v="10"/>
    <x v="0"/>
    <n v="112"/>
    <n v="112"/>
    <n v="64"/>
    <n v="1120"/>
    <n v="640"/>
    <n v="480"/>
    <n v="0.42857142857142855"/>
    <m/>
    <x v="4"/>
  </r>
  <r>
    <x v="10"/>
    <s v="monk straps"/>
    <x v="0"/>
    <s v="OPEN"/>
    <x v="3"/>
    <s v="Green"/>
    <s v="Nike"/>
    <x v="0"/>
    <x v="10"/>
    <n v="7"/>
    <x v="0"/>
    <n v="89"/>
    <n v="89"/>
    <n v="47"/>
    <n v="623"/>
    <n v="329"/>
    <n v="294"/>
    <n v="0.47191011235955055"/>
    <m/>
    <x v="3"/>
  </r>
  <r>
    <x v="32"/>
    <s v="boots"/>
    <x v="3"/>
    <s v="Formal"/>
    <x v="0"/>
    <s v="Red"/>
    <s v="timberland"/>
    <x v="2"/>
    <x v="2"/>
    <n v="5"/>
    <x v="1"/>
    <n v="76"/>
    <n v="76"/>
    <n v="39"/>
    <n v="380"/>
    <n v="195"/>
    <n v="185"/>
    <n v="0.48684210526315791"/>
    <m/>
    <x v="2"/>
  </r>
  <r>
    <x v="33"/>
    <s v="boots"/>
    <x v="3"/>
    <s v="Formal"/>
    <x v="0"/>
    <s v="Red"/>
    <s v="clarks"/>
    <x v="1"/>
    <x v="8"/>
    <n v="11"/>
    <x v="0"/>
    <n v="76"/>
    <n v="76"/>
    <n v="39"/>
    <n v="836"/>
    <n v="429"/>
    <n v="407"/>
    <n v="0.48684210526315791"/>
    <m/>
    <x v="1"/>
  </r>
  <r>
    <x v="14"/>
    <s v="SLIPPERS"/>
    <x v="7"/>
    <s v="casual"/>
    <x v="2"/>
    <s v="Red"/>
    <s v="ZARA"/>
    <x v="3"/>
    <x v="11"/>
    <n v="10"/>
    <x v="0"/>
    <n v="119"/>
    <n v="119"/>
    <n v="67"/>
    <n v="1190"/>
    <n v="670"/>
    <n v="520"/>
    <n v="0.43697478991596639"/>
    <m/>
    <x v="2"/>
  </r>
  <r>
    <x v="32"/>
    <s v="loafers"/>
    <x v="1"/>
    <s v="OPEN"/>
    <x v="3"/>
    <s v="Green"/>
    <s v="clarks"/>
    <x v="1"/>
    <x v="5"/>
    <n v="10"/>
    <x v="3"/>
    <n v="54"/>
    <n v="54"/>
    <n v="28"/>
    <n v="540"/>
    <n v="280"/>
    <n v="260"/>
    <n v="0.48148148148148145"/>
    <m/>
    <x v="2"/>
  </r>
  <r>
    <x v="33"/>
    <s v="OXFORD"/>
    <x v="5"/>
    <s v="Formal"/>
    <x v="0"/>
    <s v="Red"/>
    <s v="Steve Madden"/>
    <x v="4"/>
    <x v="9"/>
    <n v="13"/>
    <x v="0"/>
    <n v="105"/>
    <n v="105"/>
    <n v="58"/>
    <n v="1365"/>
    <n v="754"/>
    <n v="611"/>
    <n v="0.44761904761904764"/>
    <m/>
    <x v="1"/>
  </r>
  <r>
    <x v="34"/>
    <s v="BROGUES"/>
    <x v="6"/>
    <s v="Formal"/>
    <x v="0"/>
    <s v="Blue"/>
    <s v="clarks"/>
    <x v="1"/>
    <x v="5"/>
    <n v="7"/>
    <x v="2"/>
    <n v="112"/>
    <n v="112"/>
    <n v="64"/>
    <n v="784"/>
    <n v="448"/>
    <n v="336"/>
    <n v="0.42857142857142855"/>
    <m/>
    <x v="4"/>
  </r>
  <r>
    <x v="35"/>
    <s v="boots"/>
    <x v="3"/>
    <s v="OPEN"/>
    <x v="3"/>
    <s v="Green"/>
    <s v="Nike"/>
    <x v="0"/>
    <x v="1"/>
    <n v="14"/>
    <x v="2"/>
    <n v="76"/>
    <n v="76"/>
    <n v="39"/>
    <n v="1064"/>
    <n v="546"/>
    <n v="518"/>
    <n v="0.48684210526315791"/>
    <m/>
    <x v="7"/>
  </r>
  <r>
    <x v="36"/>
    <s v="OXFORD"/>
    <x v="5"/>
    <s v="OPEN"/>
    <x v="3"/>
    <s v="Green"/>
    <s v="clarks"/>
    <x v="1"/>
    <x v="4"/>
    <n v="13"/>
    <x v="3"/>
    <n v="105"/>
    <n v="105"/>
    <n v="58"/>
    <n v="1365"/>
    <n v="754"/>
    <n v="611"/>
    <n v="0.44761904761904764"/>
    <m/>
    <x v="2"/>
  </r>
  <r>
    <x v="37"/>
    <s v="loafers"/>
    <x v="1"/>
    <s v="OPEN"/>
    <x v="3"/>
    <s v="Red"/>
    <s v="Nike"/>
    <x v="0"/>
    <x v="10"/>
    <n v="3"/>
    <x v="1"/>
    <n v="54"/>
    <n v="54"/>
    <n v="28"/>
    <n v="162"/>
    <n v="84"/>
    <n v="78"/>
    <n v="0.48148148148148145"/>
    <m/>
    <x v="3"/>
  </r>
  <r>
    <x v="38"/>
    <s v="boots"/>
    <x v="3"/>
    <s v="Formal"/>
    <x v="0"/>
    <s v="Green"/>
    <s v="Steve Madden"/>
    <x v="4"/>
    <x v="3"/>
    <n v="1"/>
    <x v="0"/>
    <n v="76"/>
    <n v="76"/>
    <n v="39"/>
    <n v="76"/>
    <n v="39"/>
    <n v="37"/>
    <n v="0.48684210526315791"/>
    <m/>
    <x v="3"/>
  </r>
  <r>
    <x v="39"/>
    <s v="BROGUES"/>
    <x v="6"/>
    <s v="Formal"/>
    <x v="0"/>
    <s v="Red"/>
    <s v="clarks"/>
    <x v="1"/>
    <x v="9"/>
    <n v="9"/>
    <x v="3"/>
    <n v="112"/>
    <n v="112"/>
    <n v="64"/>
    <n v="1008"/>
    <n v="576"/>
    <n v="432"/>
    <n v="0.42857142857142855"/>
    <m/>
    <x v="0"/>
  </r>
  <r>
    <x v="40"/>
    <s v="boots"/>
    <x v="3"/>
    <s v="Formal"/>
    <x v="0"/>
    <s v="Green"/>
    <s v="ZARA"/>
    <x v="3"/>
    <x v="12"/>
    <n v="5"/>
    <x v="3"/>
    <n v="76"/>
    <n v="76"/>
    <n v="39"/>
    <n v="380"/>
    <n v="195"/>
    <n v="185"/>
    <n v="0.48684210526315791"/>
    <m/>
    <x v="6"/>
  </r>
  <r>
    <x v="41"/>
    <s v="OXFORD"/>
    <x v="5"/>
    <s v="casual"/>
    <x v="2"/>
    <s v="Black"/>
    <s v="Nike"/>
    <x v="0"/>
    <x v="5"/>
    <n v="11"/>
    <x v="3"/>
    <n v="105"/>
    <n v="105"/>
    <n v="58"/>
    <n v="1155"/>
    <n v="638"/>
    <n v="517"/>
    <n v="0.44761904761904764"/>
    <m/>
    <x v="4"/>
  </r>
  <r>
    <x v="42"/>
    <s v="loafers"/>
    <x v="1"/>
    <s v="Formal"/>
    <x v="0"/>
    <s v="Black"/>
    <s v="ZARA"/>
    <x v="3"/>
    <x v="5"/>
    <n v="6"/>
    <x v="1"/>
    <n v="54"/>
    <n v="54"/>
    <n v="28"/>
    <n v="324"/>
    <n v="168"/>
    <n v="156"/>
    <n v="0.48148148148148145"/>
    <m/>
    <x v="4"/>
  </r>
  <r>
    <x v="43"/>
    <s v="boots"/>
    <x v="3"/>
    <s v="UTILITY"/>
    <x v="1"/>
    <s v="Blue"/>
    <s v="ZARA"/>
    <x v="3"/>
    <x v="13"/>
    <n v="1"/>
    <x v="3"/>
    <n v="76"/>
    <n v="76"/>
    <n v="39"/>
    <n v="76"/>
    <n v="39"/>
    <n v="37"/>
    <n v="0.48684210526315791"/>
    <m/>
    <x v="1"/>
  </r>
  <r>
    <x v="44"/>
    <s v="Canvas "/>
    <x v="4"/>
    <s v="casual"/>
    <x v="2"/>
    <s v="Red"/>
    <s v="clarks"/>
    <x v="1"/>
    <x v="12"/>
    <n v="4"/>
    <x v="0"/>
    <n v="128"/>
    <n v="128"/>
    <n v="72"/>
    <n v="512"/>
    <n v="288"/>
    <n v="224"/>
    <n v="0.4375"/>
    <m/>
    <x v="6"/>
  </r>
  <r>
    <x v="45"/>
    <s v="OXFORD"/>
    <x v="5"/>
    <s v="UTILITY"/>
    <x v="1"/>
    <s v="Black"/>
    <s v="clarks"/>
    <x v="1"/>
    <x v="8"/>
    <n v="5"/>
    <x v="2"/>
    <n v="105"/>
    <n v="105"/>
    <n v="58"/>
    <n v="525"/>
    <n v="290"/>
    <n v="235"/>
    <n v="0.44761904761904764"/>
    <m/>
    <x v="5"/>
  </r>
  <r>
    <x v="41"/>
    <s v="monk straps"/>
    <x v="0"/>
    <s v="Formal"/>
    <x v="0"/>
    <s v="Black"/>
    <s v="ZARA"/>
    <x v="3"/>
    <x v="0"/>
    <n v="4"/>
    <x v="1"/>
    <n v="89"/>
    <n v="89"/>
    <n v="47"/>
    <n v="356"/>
    <n v="188"/>
    <n v="168"/>
    <n v="0.47191011235955055"/>
    <m/>
    <x v="4"/>
  </r>
  <r>
    <x v="46"/>
    <s v="BROGUES"/>
    <x v="6"/>
    <s v="Formal"/>
    <x v="0"/>
    <s v="Black"/>
    <s v="ZARA"/>
    <x v="3"/>
    <x v="1"/>
    <n v="1"/>
    <x v="3"/>
    <n v="112"/>
    <n v="112"/>
    <n v="64"/>
    <n v="112"/>
    <n v="64"/>
    <n v="48"/>
    <n v="0.42857142857142855"/>
    <m/>
    <x v="7"/>
  </r>
  <r>
    <x v="47"/>
    <s v="Canvas"/>
    <x v="4"/>
    <s v="Formal"/>
    <x v="0"/>
    <s v="Red"/>
    <s v="Nike"/>
    <x v="0"/>
    <x v="11"/>
    <n v="4"/>
    <x v="0"/>
    <n v="128"/>
    <n v="128"/>
    <n v="72"/>
    <n v="512"/>
    <n v="288"/>
    <n v="224"/>
    <n v="0.4375"/>
    <m/>
    <x v="4"/>
  </r>
  <r>
    <x v="48"/>
    <s v="monk straps"/>
    <x v="0"/>
    <s v="casual"/>
    <x v="2"/>
    <s v="Black"/>
    <s v="clarks"/>
    <x v="1"/>
    <x v="2"/>
    <n v="5"/>
    <x v="1"/>
    <n v="89"/>
    <n v="89"/>
    <n v="47"/>
    <n v="445"/>
    <n v="235"/>
    <n v="210"/>
    <n v="0.47191011235955055"/>
    <m/>
    <x v="3"/>
  </r>
  <r>
    <x v="49"/>
    <s v="Canvas"/>
    <x v="4"/>
    <s v="OPEN"/>
    <x v="3"/>
    <s v="Black"/>
    <s v="Steve Madden"/>
    <x v="4"/>
    <x v="7"/>
    <n v="2"/>
    <x v="2"/>
    <n v="128"/>
    <n v="128"/>
    <n v="72"/>
    <n v="256"/>
    <n v="144"/>
    <n v="112"/>
    <n v="0.4375"/>
    <m/>
    <x v="1"/>
  </r>
  <r>
    <x v="50"/>
    <s v="SLIPPERS"/>
    <x v="7"/>
    <s v="Formal"/>
    <x v="0"/>
    <s v="Red"/>
    <s v="Nike"/>
    <x v="0"/>
    <x v="1"/>
    <n v="1"/>
    <x v="0"/>
    <n v="119"/>
    <n v="119"/>
    <n v="67"/>
    <n v="119"/>
    <n v="67"/>
    <n v="52"/>
    <n v="0.43697478991596639"/>
    <m/>
    <x v="5"/>
  </r>
  <r>
    <x v="51"/>
    <s v="BROGUES"/>
    <x v="6"/>
    <s v="casual"/>
    <x v="2"/>
    <s v="Green"/>
    <s v="Nike"/>
    <x v="0"/>
    <x v="0"/>
    <n v="15"/>
    <x v="0"/>
    <n v="112"/>
    <n v="112"/>
    <n v="64"/>
    <n v="1680"/>
    <n v="960"/>
    <n v="720"/>
    <n v="0.42857142857142855"/>
    <m/>
    <x v="2"/>
  </r>
  <r>
    <x v="52"/>
    <s v="boots"/>
    <x v="3"/>
    <s v="Formal"/>
    <x v="0"/>
    <s v="Green"/>
    <s v="Steve Madden"/>
    <x v="4"/>
    <x v="3"/>
    <n v="11"/>
    <x v="3"/>
    <n v="76"/>
    <n v="76"/>
    <n v="39"/>
    <n v="836"/>
    <n v="429"/>
    <n v="407"/>
    <n v="0.48684210526315791"/>
    <m/>
    <x v="1"/>
  </r>
  <r>
    <x v="53"/>
    <s v="OXFORD"/>
    <x v="5"/>
    <s v="UTILITY"/>
    <x v="1"/>
    <s v="Red"/>
    <s v="clarks"/>
    <x v="1"/>
    <x v="4"/>
    <n v="10"/>
    <x v="1"/>
    <n v="105"/>
    <n v="105"/>
    <n v="58"/>
    <n v="1050"/>
    <n v="580"/>
    <n v="470"/>
    <n v="0.44761904761904764"/>
    <m/>
    <x v="3"/>
  </r>
  <r>
    <x v="54"/>
    <s v="Canvas"/>
    <x v="4"/>
    <s v="Formal"/>
    <x v="0"/>
    <s v="Brown"/>
    <s v="Steve Madden"/>
    <x v="4"/>
    <x v="2"/>
    <n v="9"/>
    <x v="1"/>
    <n v="128"/>
    <n v="128"/>
    <n v="72"/>
    <n v="1152"/>
    <n v="648"/>
    <n v="504"/>
    <n v="0.4375"/>
    <m/>
    <x v="1"/>
  </r>
  <r>
    <x v="55"/>
    <s v="loafers"/>
    <x v="1"/>
    <s v="Formal"/>
    <x v="0"/>
    <s v="Blue"/>
    <s v="Nike"/>
    <x v="0"/>
    <x v="0"/>
    <n v="1"/>
    <x v="0"/>
    <n v="54"/>
    <n v="54"/>
    <n v="28"/>
    <n v="54"/>
    <n v="28"/>
    <n v="26"/>
    <n v="0.48148148148148145"/>
    <m/>
    <x v="7"/>
  </r>
  <r>
    <x v="56"/>
    <s v="OXFORD"/>
    <x v="5"/>
    <s v="Formal"/>
    <x v="0"/>
    <s v="Green"/>
    <s v="ZARA"/>
    <x v="3"/>
    <x v="7"/>
    <n v="8"/>
    <x v="0"/>
    <n v="105"/>
    <n v="105"/>
    <n v="58"/>
    <n v="840"/>
    <n v="464"/>
    <n v="376"/>
    <n v="0.44761904761904764"/>
    <m/>
    <x v="1"/>
  </r>
  <r>
    <x v="17"/>
    <s v="OXFORD"/>
    <x v="5"/>
    <s v="casual"/>
    <x v="2"/>
    <s v="Green"/>
    <s v="Steve Madden"/>
    <x v="4"/>
    <x v="9"/>
    <n v="5"/>
    <x v="0"/>
    <n v="105"/>
    <n v="105"/>
    <n v="58"/>
    <n v="525"/>
    <n v="290"/>
    <n v="235"/>
    <n v="0.44761904761904764"/>
    <m/>
    <x v="4"/>
  </r>
  <r>
    <x v="57"/>
    <s v="Derby"/>
    <x v="2"/>
    <s v="casual"/>
    <x v="2"/>
    <s v="Black"/>
    <s v="timberland"/>
    <x v="2"/>
    <x v="1"/>
    <n v="14"/>
    <x v="1"/>
    <n v="32"/>
    <n v="32"/>
    <n v="14"/>
    <n v="448"/>
    <n v="196"/>
    <n v="252"/>
    <n v="0.5625"/>
    <m/>
    <x v="3"/>
  </r>
  <r>
    <x v="0"/>
    <s v="monk straps"/>
    <x v="0"/>
    <s v="OPEN"/>
    <x v="3"/>
    <s v="Brown"/>
    <s v="clarks"/>
    <x v="1"/>
    <x v="3"/>
    <n v="14"/>
    <x v="3"/>
    <n v="89"/>
    <n v="89"/>
    <n v="47"/>
    <n v="1246"/>
    <n v="658"/>
    <n v="588"/>
    <n v="0.47191011235955055"/>
    <m/>
    <x v="0"/>
  </r>
  <r>
    <x v="58"/>
    <s v="BROGUES"/>
    <x v="6"/>
    <s v="Formal"/>
    <x v="0"/>
    <s v="Black"/>
    <s v="clarks"/>
    <x v="1"/>
    <x v="11"/>
    <n v="8"/>
    <x v="3"/>
    <n v="112"/>
    <n v="112"/>
    <n v="64"/>
    <n v="896"/>
    <n v="512"/>
    <n v="384"/>
    <n v="0.42857142857142855"/>
    <m/>
    <x v="5"/>
  </r>
  <r>
    <x v="59"/>
    <s v="loafers"/>
    <x v="1"/>
    <s v="Formal"/>
    <x v="0"/>
    <s v="Black"/>
    <s v="clarks"/>
    <x v="1"/>
    <x v="10"/>
    <n v="7"/>
    <x v="0"/>
    <n v="54"/>
    <n v="54"/>
    <n v="28"/>
    <n v="378"/>
    <n v="196"/>
    <n v="182"/>
    <n v="0.48148148148148145"/>
    <m/>
    <x v="1"/>
  </r>
  <r>
    <x v="9"/>
    <s v="BROGUES"/>
    <x v="6"/>
    <s v="OPEN"/>
    <x v="3"/>
    <s v="Green"/>
    <s v="clarks"/>
    <x v="1"/>
    <x v="10"/>
    <n v="7"/>
    <x v="3"/>
    <n v="112"/>
    <n v="112"/>
    <n v="64"/>
    <n v="784"/>
    <n v="448"/>
    <n v="336"/>
    <n v="0.42857142857142855"/>
    <m/>
    <x v="1"/>
  </r>
  <r>
    <x v="60"/>
    <s v="monk straps"/>
    <x v="0"/>
    <s v="Formal"/>
    <x v="0"/>
    <s v="Green"/>
    <s v="timberland"/>
    <x v="2"/>
    <x v="4"/>
    <n v="8"/>
    <x v="2"/>
    <n v="89"/>
    <n v="89"/>
    <n v="47"/>
    <n v="712"/>
    <n v="376"/>
    <n v="336"/>
    <n v="0.47191011235955055"/>
    <m/>
    <x v="4"/>
  </r>
  <r>
    <x v="61"/>
    <s v="Derby"/>
    <x v="2"/>
    <s v="casual"/>
    <x v="2"/>
    <s v="Green"/>
    <s v="clarks"/>
    <x v="1"/>
    <x v="3"/>
    <n v="9"/>
    <x v="3"/>
    <n v="32"/>
    <n v="32"/>
    <n v="14"/>
    <n v="288"/>
    <n v="126"/>
    <n v="162"/>
    <n v="0.5625"/>
    <m/>
    <x v="2"/>
  </r>
  <r>
    <x v="62"/>
    <s v="boots"/>
    <x v="3"/>
    <s v="Formal"/>
    <x v="0"/>
    <s v="Brown"/>
    <s v="ZARA"/>
    <x v="3"/>
    <x v="3"/>
    <n v="5"/>
    <x v="1"/>
    <n v="76"/>
    <n v="76"/>
    <n v="39"/>
    <n v="380"/>
    <n v="195"/>
    <n v="185"/>
    <n v="0.48684210526315791"/>
    <m/>
    <x v="4"/>
  </r>
  <r>
    <x v="63"/>
    <s v="boots"/>
    <x v="3"/>
    <s v="Formal"/>
    <x v="0"/>
    <s v="Blue"/>
    <s v="Steve Madden"/>
    <x v="4"/>
    <x v="10"/>
    <n v="9"/>
    <x v="2"/>
    <n v="76"/>
    <n v="76"/>
    <n v="39"/>
    <n v="684"/>
    <n v="351"/>
    <n v="333"/>
    <n v="0.48684210526315791"/>
    <m/>
    <x v="1"/>
  </r>
  <r>
    <x v="64"/>
    <s v="OXFORD"/>
    <x v="5"/>
    <s v="casual"/>
    <x v="2"/>
    <s v="Brown"/>
    <s v="clarks"/>
    <x v="1"/>
    <x v="9"/>
    <n v="7"/>
    <x v="1"/>
    <n v="105"/>
    <n v="105"/>
    <n v="58"/>
    <n v="735"/>
    <n v="406"/>
    <n v="329"/>
    <n v="0.44761904761904764"/>
    <m/>
    <x v="7"/>
  </r>
  <r>
    <x v="65"/>
    <s v="OXFORD"/>
    <x v="5"/>
    <s v="Formal"/>
    <x v="0"/>
    <s v="Green"/>
    <s v="clarks"/>
    <x v="1"/>
    <x v="0"/>
    <n v="13"/>
    <x v="2"/>
    <n v="105"/>
    <n v="105"/>
    <n v="58"/>
    <n v="1365"/>
    <n v="754"/>
    <n v="611"/>
    <n v="0.44761904761904764"/>
    <m/>
    <x v="0"/>
  </r>
  <r>
    <x v="66"/>
    <s v="loafers"/>
    <x v="1"/>
    <s v="Formal"/>
    <x v="0"/>
    <s v="Blue"/>
    <s v="ZARA"/>
    <x v="3"/>
    <x v="4"/>
    <n v="8"/>
    <x v="1"/>
    <n v="54"/>
    <n v="54"/>
    <n v="28"/>
    <n v="432"/>
    <n v="224"/>
    <n v="208"/>
    <n v="0.48148148148148145"/>
    <m/>
    <x v="7"/>
  </r>
  <r>
    <x v="67"/>
    <s v="Derby"/>
    <x v="2"/>
    <s v="casual"/>
    <x v="2"/>
    <s v="Brown"/>
    <s v="timberland"/>
    <x v="2"/>
    <x v="10"/>
    <n v="11"/>
    <x v="3"/>
    <n v="32"/>
    <n v="32"/>
    <n v="14"/>
    <n v="352"/>
    <n v="154"/>
    <n v="198"/>
    <n v="0.5625"/>
    <m/>
    <x v="4"/>
  </r>
  <r>
    <x v="68"/>
    <s v="BROGUES"/>
    <x v="6"/>
    <s v="Formal"/>
    <x v="0"/>
    <s v="Green"/>
    <s v="clarks"/>
    <x v="1"/>
    <x v="6"/>
    <n v="11"/>
    <x v="1"/>
    <n v="112"/>
    <n v="112"/>
    <n v="64"/>
    <n v="1232"/>
    <n v="704"/>
    <n v="528"/>
    <n v="0.42857142857142855"/>
    <m/>
    <x v="3"/>
  </r>
  <r>
    <x v="28"/>
    <s v="SLIPPERS"/>
    <x v="7"/>
    <s v="Formal"/>
    <x v="0"/>
    <s v="Black"/>
    <s v="timberland"/>
    <x v="2"/>
    <x v="13"/>
    <n v="15"/>
    <x v="1"/>
    <n v="119"/>
    <n v="119"/>
    <n v="67"/>
    <n v="1785"/>
    <n v="1005"/>
    <n v="780"/>
    <n v="0.43697478991596639"/>
    <m/>
    <x v="2"/>
  </r>
  <r>
    <x v="34"/>
    <s v="Canvas"/>
    <x v="4"/>
    <s v="casual"/>
    <x v="2"/>
    <s v="Brown"/>
    <s v="ZARA"/>
    <x v="3"/>
    <x v="11"/>
    <n v="10"/>
    <x v="0"/>
    <n v="128"/>
    <n v="128"/>
    <n v="72"/>
    <n v="1280"/>
    <n v="720"/>
    <n v="560"/>
    <n v="0.4375"/>
    <m/>
    <x v="4"/>
  </r>
  <r>
    <x v="69"/>
    <s v="boots"/>
    <x v="3"/>
    <s v="UTILITY"/>
    <x v="1"/>
    <s v="Brown"/>
    <s v="ZARA"/>
    <x v="3"/>
    <x v="7"/>
    <n v="4"/>
    <x v="0"/>
    <n v="76"/>
    <n v="76"/>
    <n v="39"/>
    <n v="304"/>
    <n v="156"/>
    <n v="148"/>
    <n v="0.48684210526315791"/>
    <m/>
    <x v="3"/>
  </r>
  <r>
    <x v="11"/>
    <s v="boots"/>
    <x v="3"/>
    <s v="casual"/>
    <x v="2"/>
    <s v="Green"/>
    <s v="Steve Madden"/>
    <x v="4"/>
    <x v="8"/>
    <n v="7"/>
    <x v="3"/>
    <n v="76"/>
    <n v="76"/>
    <n v="39"/>
    <n v="532"/>
    <n v="273"/>
    <n v="259"/>
    <n v="0.48684210526315791"/>
    <m/>
    <x v="4"/>
  </r>
  <r>
    <x v="70"/>
    <s v="Derby"/>
    <x v="2"/>
    <s v="UTILITY"/>
    <x v="1"/>
    <s v="Blue"/>
    <s v="Steve Madden"/>
    <x v="4"/>
    <x v="12"/>
    <n v="7"/>
    <x v="2"/>
    <n v="32"/>
    <n v="32"/>
    <n v="14"/>
    <n v="224"/>
    <n v="98"/>
    <n v="126"/>
    <n v="0.5625"/>
    <m/>
    <x v="5"/>
  </r>
  <r>
    <x v="71"/>
    <s v="boots"/>
    <x v="3"/>
    <s v="Formal"/>
    <x v="0"/>
    <s v="Green"/>
    <s v="ZARA"/>
    <x v="3"/>
    <x v="1"/>
    <n v="13"/>
    <x v="3"/>
    <n v="76"/>
    <n v="76"/>
    <n v="39"/>
    <n v="988"/>
    <n v="507"/>
    <n v="481"/>
    <n v="0.48684210526315791"/>
    <m/>
    <x v="1"/>
  </r>
  <r>
    <x v="72"/>
    <s v="loafers"/>
    <x v="1"/>
    <s v="UTILITY"/>
    <x v="1"/>
    <s v="Green"/>
    <s v="timberland"/>
    <x v="2"/>
    <x v="12"/>
    <n v="12"/>
    <x v="0"/>
    <n v="54"/>
    <n v="54"/>
    <n v="28"/>
    <n v="648"/>
    <n v="336"/>
    <n v="312"/>
    <n v="0.48148148148148145"/>
    <m/>
    <x v="0"/>
  </r>
  <r>
    <x v="73"/>
    <s v="boots"/>
    <x v="3"/>
    <s v="casual"/>
    <x v="2"/>
    <s v="Red"/>
    <s v="timberland"/>
    <x v="2"/>
    <x v="0"/>
    <n v="14"/>
    <x v="2"/>
    <n v="76"/>
    <n v="76"/>
    <n v="39"/>
    <n v="1064"/>
    <n v="546"/>
    <n v="518"/>
    <n v="0.48684210526315791"/>
    <m/>
    <x v="7"/>
  </r>
  <r>
    <x v="74"/>
    <s v="OXFORD"/>
    <x v="5"/>
    <s v="Formal"/>
    <x v="0"/>
    <s v="Brown"/>
    <s v="clarks"/>
    <x v="1"/>
    <x v="12"/>
    <n v="8"/>
    <x v="2"/>
    <n v="105"/>
    <n v="105"/>
    <n v="58"/>
    <n v="840"/>
    <n v="464"/>
    <n v="376"/>
    <n v="0.44761904761904764"/>
    <m/>
    <x v="7"/>
  </r>
  <r>
    <x v="75"/>
    <s v="boots"/>
    <x v="3"/>
    <s v="Formal"/>
    <x v="0"/>
    <s v="Green"/>
    <s v="clarks"/>
    <x v="1"/>
    <x v="7"/>
    <n v="3"/>
    <x v="0"/>
    <n v="76"/>
    <n v="76"/>
    <n v="39"/>
    <n v="228"/>
    <n v="117"/>
    <n v="111"/>
    <n v="0.48684210526315791"/>
    <m/>
    <x v="4"/>
  </r>
  <r>
    <x v="34"/>
    <s v="Derby"/>
    <x v="2"/>
    <s v="UTILITY"/>
    <x v="1"/>
    <s v="Black"/>
    <s v="Steve Madden"/>
    <x v="4"/>
    <x v="4"/>
    <n v="8"/>
    <x v="1"/>
    <n v="32"/>
    <n v="32"/>
    <n v="14"/>
    <n v="256"/>
    <n v="112"/>
    <n v="144"/>
    <n v="0.5625"/>
    <m/>
    <x v="4"/>
  </r>
  <r>
    <x v="31"/>
    <s v="SLIPPERS"/>
    <x v="7"/>
    <s v="UTILITY"/>
    <x v="1"/>
    <s v="Green"/>
    <s v="ZARA"/>
    <x v="3"/>
    <x v="4"/>
    <n v="14"/>
    <x v="0"/>
    <n v="119"/>
    <n v="119"/>
    <n v="67"/>
    <n v="1666"/>
    <n v="938"/>
    <n v="728"/>
    <n v="0.43697478991596639"/>
    <m/>
    <x v="4"/>
  </r>
  <r>
    <x v="76"/>
    <s v="BROGUES"/>
    <x v="6"/>
    <s v="Formal"/>
    <x v="0"/>
    <s v="Green"/>
    <s v="Steve Madden"/>
    <x v="4"/>
    <x v="1"/>
    <n v="7"/>
    <x v="3"/>
    <n v="112"/>
    <n v="112"/>
    <n v="64"/>
    <n v="784"/>
    <n v="448"/>
    <n v="336"/>
    <n v="0.42857142857142855"/>
    <m/>
    <x v="2"/>
  </r>
  <r>
    <x v="77"/>
    <s v="loafers"/>
    <x v="1"/>
    <s v="UTILITY"/>
    <x v="1"/>
    <s v="Brown"/>
    <s v="clarks"/>
    <x v="1"/>
    <x v="3"/>
    <n v="5"/>
    <x v="2"/>
    <n v="54"/>
    <n v="54"/>
    <n v="28"/>
    <n v="270"/>
    <n v="140"/>
    <n v="130"/>
    <n v="0.48148148148148145"/>
    <m/>
    <x v="6"/>
  </r>
  <r>
    <x v="78"/>
    <s v="OXFORD"/>
    <x v="5"/>
    <s v="Formal"/>
    <x v="0"/>
    <s v="Green"/>
    <s v="Steve Madden"/>
    <x v="4"/>
    <x v="1"/>
    <n v="14"/>
    <x v="2"/>
    <n v="105"/>
    <n v="105"/>
    <n v="58"/>
    <n v="1470"/>
    <n v="812"/>
    <n v="658"/>
    <n v="0.44761904761904764"/>
    <m/>
    <x v="5"/>
  </r>
  <r>
    <x v="79"/>
    <s v="SLIPPERS"/>
    <x v="7"/>
    <s v="OPEN"/>
    <x v="3"/>
    <s v="Red"/>
    <s v="clarks"/>
    <x v="1"/>
    <x v="5"/>
    <n v="6"/>
    <x v="2"/>
    <n v="119"/>
    <n v="119"/>
    <n v="67"/>
    <n v="714"/>
    <n v="402"/>
    <n v="312"/>
    <n v="0.43697478991596639"/>
    <m/>
    <x v="1"/>
  </r>
  <r>
    <x v="80"/>
    <s v="SLIPPERS"/>
    <x v="7"/>
    <s v="casual"/>
    <x v="2"/>
    <s v="Red"/>
    <s v="Nike"/>
    <x v="0"/>
    <x v="1"/>
    <n v="7"/>
    <x v="1"/>
    <n v="119"/>
    <n v="119"/>
    <n v="67"/>
    <n v="833"/>
    <n v="469"/>
    <n v="364"/>
    <n v="0.43697478991596639"/>
    <m/>
    <x v="5"/>
  </r>
  <r>
    <x v="81"/>
    <s v="loafers"/>
    <x v="1"/>
    <s v="Formal"/>
    <x v="0"/>
    <s v="Green"/>
    <s v="clarks"/>
    <x v="1"/>
    <x v="2"/>
    <n v="9"/>
    <x v="0"/>
    <n v="54"/>
    <n v="54"/>
    <n v="28"/>
    <n v="486"/>
    <n v="252"/>
    <n v="234"/>
    <n v="0.48148148148148145"/>
    <m/>
    <x v="2"/>
  </r>
  <r>
    <x v="82"/>
    <s v="monk straps"/>
    <x v="0"/>
    <s v="Formal"/>
    <x v="0"/>
    <s v="Blue"/>
    <s v="Steve Madden"/>
    <x v="4"/>
    <x v="4"/>
    <n v="10"/>
    <x v="1"/>
    <n v="89"/>
    <n v="89"/>
    <n v="47"/>
    <n v="890"/>
    <n v="470"/>
    <n v="420"/>
    <n v="0.47191011235955055"/>
    <m/>
    <x v="3"/>
  </r>
  <r>
    <x v="21"/>
    <s v="BROGUES"/>
    <x v="6"/>
    <s v="casual"/>
    <x v="2"/>
    <s v="Red"/>
    <s v="Nike"/>
    <x v="0"/>
    <x v="11"/>
    <n v="6"/>
    <x v="1"/>
    <n v="112"/>
    <n v="112"/>
    <n v="64"/>
    <n v="672"/>
    <n v="384"/>
    <n v="288"/>
    <n v="0.42857142857142855"/>
    <m/>
    <x v="5"/>
  </r>
  <r>
    <x v="56"/>
    <s v="OXFORD"/>
    <x v="5"/>
    <s v="OPEN"/>
    <x v="3"/>
    <s v="Brown"/>
    <s v="clarks"/>
    <x v="1"/>
    <x v="3"/>
    <n v="12"/>
    <x v="1"/>
    <n v="105"/>
    <n v="105"/>
    <n v="58"/>
    <n v="1260"/>
    <n v="696"/>
    <n v="564"/>
    <n v="0.44761904761904764"/>
    <m/>
    <x v="1"/>
  </r>
  <r>
    <x v="83"/>
    <s v="boots"/>
    <x v="3"/>
    <s v="casual"/>
    <x v="2"/>
    <s v="Brown"/>
    <s v="ZARA"/>
    <x v="3"/>
    <x v="8"/>
    <n v="4"/>
    <x v="0"/>
    <n v="76"/>
    <n v="76"/>
    <n v="39"/>
    <n v="304"/>
    <n v="156"/>
    <n v="148"/>
    <n v="0.48684210526315791"/>
    <m/>
    <x v="4"/>
  </r>
  <r>
    <x v="84"/>
    <s v="monk straps"/>
    <x v="0"/>
    <s v="Formal"/>
    <x v="0"/>
    <s v="Black"/>
    <s v="ZARA"/>
    <x v="3"/>
    <x v="4"/>
    <n v="8"/>
    <x v="3"/>
    <n v="89"/>
    <n v="89"/>
    <n v="47"/>
    <n v="712"/>
    <n v="376"/>
    <n v="336"/>
    <n v="0.47191011235955055"/>
    <m/>
    <x v="2"/>
  </r>
  <r>
    <x v="85"/>
    <s v="Derby"/>
    <x v="2"/>
    <s v="Formal"/>
    <x v="0"/>
    <s v="Blue"/>
    <s v="clarks"/>
    <x v="1"/>
    <x v="0"/>
    <n v="8"/>
    <x v="2"/>
    <n v="32"/>
    <n v="32"/>
    <n v="14"/>
    <n v="256"/>
    <n v="112"/>
    <n v="144"/>
    <n v="0.5625"/>
    <m/>
    <x v="5"/>
  </r>
  <r>
    <x v="71"/>
    <s v="SLIPPERS"/>
    <x v="7"/>
    <s v="UTILITY"/>
    <x v="1"/>
    <s v="Brown"/>
    <s v="ZARA"/>
    <x v="3"/>
    <x v="3"/>
    <n v="6"/>
    <x v="1"/>
    <n v="119"/>
    <n v="119"/>
    <n v="67"/>
    <n v="714"/>
    <n v="402"/>
    <n v="312"/>
    <n v="0.43697478991596639"/>
    <m/>
    <x v="1"/>
  </r>
  <r>
    <x v="29"/>
    <s v="monk straps"/>
    <x v="0"/>
    <s v="OPEN"/>
    <x v="3"/>
    <s v="Black"/>
    <s v="timberland"/>
    <x v="2"/>
    <x v="0"/>
    <n v="9"/>
    <x v="1"/>
    <n v="89"/>
    <n v="89"/>
    <n v="47"/>
    <n v="801"/>
    <n v="423"/>
    <n v="378"/>
    <n v="0.47191011235955055"/>
    <m/>
    <x v="1"/>
  </r>
  <r>
    <x v="44"/>
    <s v="boots"/>
    <x v="3"/>
    <s v="casual"/>
    <x v="2"/>
    <s v="Brown"/>
    <s v="ZARA"/>
    <x v="3"/>
    <x v="3"/>
    <n v="2"/>
    <x v="3"/>
    <n v="76"/>
    <n v="76"/>
    <n v="39"/>
    <n v="152"/>
    <n v="78"/>
    <n v="74"/>
    <n v="0.48684210526315791"/>
    <m/>
    <x v="6"/>
  </r>
  <r>
    <x v="85"/>
    <s v="BROGUES"/>
    <x v="6"/>
    <s v="Formal"/>
    <x v="0"/>
    <s v="Brown"/>
    <s v="ZARA"/>
    <x v="3"/>
    <x v="6"/>
    <n v="4"/>
    <x v="2"/>
    <n v="112"/>
    <n v="112"/>
    <n v="64"/>
    <n v="448"/>
    <n v="256"/>
    <n v="192"/>
    <n v="0.42857142857142855"/>
    <m/>
    <x v="5"/>
  </r>
  <r>
    <x v="72"/>
    <s v="monk straps"/>
    <x v="0"/>
    <s v="Formal"/>
    <x v="0"/>
    <s v="Red"/>
    <s v="ZARA"/>
    <x v="3"/>
    <x v="3"/>
    <n v="15"/>
    <x v="2"/>
    <n v="89"/>
    <n v="89"/>
    <n v="47"/>
    <n v="1335"/>
    <n v="705"/>
    <n v="630"/>
    <n v="0.47191011235955055"/>
    <m/>
    <x v="0"/>
  </r>
  <r>
    <x v="4"/>
    <s v="boots"/>
    <x v="3"/>
    <s v="UTILITY"/>
    <x v="1"/>
    <s v="Red"/>
    <s v="ZARA"/>
    <x v="3"/>
    <x v="5"/>
    <n v="15"/>
    <x v="0"/>
    <n v="76"/>
    <n v="76"/>
    <n v="39"/>
    <n v="1140"/>
    <n v="585"/>
    <n v="555"/>
    <n v="0.48684210526315791"/>
    <m/>
    <x v="3"/>
  </r>
  <r>
    <x v="86"/>
    <s v="Derby"/>
    <x v="2"/>
    <s v="Formal"/>
    <x v="0"/>
    <s v="Green"/>
    <s v="clarks"/>
    <x v="1"/>
    <x v="10"/>
    <n v="8"/>
    <x v="1"/>
    <n v="32"/>
    <n v="32"/>
    <n v="14"/>
    <n v="256"/>
    <n v="112"/>
    <n v="144"/>
    <n v="0.5625"/>
    <m/>
    <x v="7"/>
  </r>
  <r>
    <x v="87"/>
    <s v="monk straps"/>
    <x v="0"/>
    <s v="casual"/>
    <x v="2"/>
    <s v="Brown"/>
    <s v="Nike"/>
    <x v="0"/>
    <x v="3"/>
    <n v="7"/>
    <x v="1"/>
    <n v="89"/>
    <n v="89"/>
    <n v="47"/>
    <n v="623"/>
    <n v="329"/>
    <n v="294"/>
    <n v="0.47191011235955055"/>
    <m/>
    <x v="1"/>
  </r>
  <r>
    <x v="88"/>
    <s v="SLIPPERS"/>
    <x v="7"/>
    <s v="casual"/>
    <x v="2"/>
    <s v="Red"/>
    <s v="clarks"/>
    <x v="1"/>
    <x v="7"/>
    <n v="8"/>
    <x v="0"/>
    <n v="119"/>
    <n v="119"/>
    <n v="67"/>
    <n v="952"/>
    <n v="536"/>
    <n v="416"/>
    <n v="0.43697478991596639"/>
    <m/>
    <x v="3"/>
  </r>
  <r>
    <x v="2"/>
    <s v="monk straps"/>
    <x v="0"/>
    <s v="Formal"/>
    <x v="0"/>
    <s v="Red"/>
    <s v="Steve Madden"/>
    <x v="4"/>
    <x v="4"/>
    <n v="13"/>
    <x v="2"/>
    <n v="89"/>
    <n v="89"/>
    <n v="47"/>
    <n v="1157"/>
    <n v="611"/>
    <n v="546"/>
    <n v="0.47191011235955055"/>
    <m/>
    <x v="0"/>
  </r>
  <r>
    <x v="55"/>
    <s v="OXFORD"/>
    <x v="5"/>
    <s v="Formal"/>
    <x v="0"/>
    <s v="Green"/>
    <s v="Nike"/>
    <x v="0"/>
    <x v="3"/>
    <n v="14"/>
    <x v="0"/>
    <n v="105"/>
    <n v="105"/>
    <n v="58"/>
    <n v="1470"/>
    <n v="812"/>
    <n v="658"/>
    <n v="0.44761904761904764"/>
    <m/>
    <x v="7"/>
  </r>
  <r>
    <x v="89"/>
    <s v="monk straps"/>
    <x v="0"/>
    <s v="Formal"/>
    <x v="0"/>
    <s v="Green"/>
    <s v="clarks"/>
    <x v="1"/>
    <x v="13"/>
    <n v="12"/>
    <x v="2"/>
    <n v="89"/>
    <n v="89"/>
    <n v="47"/>
    <n v="1068"/>
    <n v="564"/>
    <n v="504"/>
    <n v="0.47191011235955055"/>
    <m/>
    <x v="0"/>
  </r>
  <r>
    <x v="90"/>
    <s v="Canvas"/>
    <x v="4"/>
    <s v="OPEN"/>
    <x v="3"/>
    <s v="Green"/>
    <s v="clarks"/>
    <x v="1"/>
    <x v="8"/>
    <n v="10"/>
    <x v="1"/>
    <n v="128"/>
    <n v="128"/>
    <n v="72"/>
    <n v="1280"/>
    <n v="720"/>
    <n v="560"/>
    <n v="0.4375"/>
    <m/>
    <x v="7"/>
  </r>
  <r>
    <x v="12"/>
    <s v="BROGUES"/>
    <x v="6"/>
    <s v="Formal"/>
    <x v="0"/>
    <s v="Blue"/>
    <s v="clarks"/>
    <x v="1"/>
    <x v="10"/>
    <n v="6"/>
    <x v="1"/>
    <n v="112"/>
    <n v="112"/>
    <n v="64"/>
    <n v="672"/>
    <n v="384"/>
    <n v="288"/>
    <n v="0.42857142857142855"/>
    <m/>
    <x v="0"/>
  </r>
  <r>
    <x v="56"/>
    <s v="monk straps"/>
    <x v="0"/>
    <s v="OPEN"/>
    <x v="3"/>
    <s v="Brown"/>
    <s v="ZARA"/>
    <x v="3"/>
    <x v="0"/>
    <n v="13"/>
    <x v="1"/>
    <n v="89"/>
    <n v="89"/>
    <n v="47"/>
    <n v="1157"/>
    <n v="611"/>
    <n v="546"/>
    <n v="0.47191011235955055"/>
    <m/>
    <x v="1"/>
  </r>
  <r>
    <x v="83"/>
    <s v="Derby"/>
    <x v="2"/>
    <s v="Formal"/>
    <x v="0"/>
    <s v="Green"/>
    <s v="clarks"/>
    <x v="1"/>
    <x v="1"/>
    <n v="4"/>
    <x v="3"/>
    <n v="32"/>
    <n v="32"/>
    <n v="14"/>
    <n v="128"/>
    <n v="56"/>
    <n v="72"/>
    <n v="0.5625"/>
    <m/>
    <x v="4"/>
  </r>
  <r>
    <x v="16"/>
    <s v="boots"/>
    <x v="3"/>
    <s v="Formal"/>
    <x v="0"/>
    <s v="Black"/>
    <s v="clarks"/>
    <x v="1"/>
    <x v="3"/>
    <n v="12"/>
    <x v="0"/>
    <n v="76"/>
    <n v="76"/>
    <n v="39"/>
    <n v="912"/>
    <n v="468"/>
    <n v="444"/>
    <n v="0.48684210526315791"/>
    <m/>
    <x v="0"/>
  </r>
  <r>
    <x v="91"/>
    <s v="monk straps"/>
    <x v="0"/>
    <s v="Formal"/>
    <x v="0"/>
    <s v="Green"/>
    <s v="ZARA"/>
    <x v="3"/>
    <x v="5"/>
    <n v="5"/>
    <x v="3"/>
    <n v="89"/>
    <n v="89"/>
    <n v="47"/>
    <n v="445"/>
    <n v="235"/>
    <n v="210"/>
    <n v="0.47191011235955055"/>
    <m/>
    <x v="6"/>
  </r>
  <r>
    <x v="92"/>
    <s v="loafers"/>
    <x v="1"/>
    <s v="UTILITY"/>
    <x v="1"/>
    <s v="Red"/>
    <s v="Nike"/>
    <x v="0"/>
    <x v="7"/>
    <n v="7"/>
    <x v="0"/>
    <n v="54"/>
    <n v="54"/>
    <n v="28"/>
    <n v="378"/>
    <n v="196"/>
    <n v="182"/>
    <n v="0.48148148148148145"/>
    <m/>
    <x v="5"/>
  </r>
  <r>
    <x v="93"/>
    <s v="loafers"/>
    <x v="1"/>
    <s v="Formal"/>
    <x v="0"/>
    <s v="Brown"/>
    <s v="timberland"/>
    <x v="2"/>
    <x v="3"/>
    <n v="15"/>
    <x v="0"/>
    <n v="54"/>
    <n v="54"/>
    <n v="28"/>
    <n v="810"/>
    <n v="420"/>
    <n v="390"/>
    <n v="0.48148148148148145"/>
    <m/>
    <x v="1"/>
  </r>
  <r>
    <x v="49"/>
    <s v="OXFORD"/>
    <x v="5"/>
    <s v="Formal"/>
    <x v="0"/>
    <s v="Red"/>
    <s v="clarks"/>
    <x v="1"/>
    <x v="8"/>
    <n v="15"/>
    <x v="0"/>
    <n v="105"/>
    <n v="105"/>
    <n v="58"/>
    <n v="1575"/>
    <n v="870"/>
    <n v="705"/>
    <n v="0.44761904761904764"/>
    <m/>
    <x v="1"/>
  </r>
  <r>
    <x v="22"/>
    <s v="Derby"/>
    <x v="2"/>
    <s v="Formal"/>
    <x v="0"/>
    <s v="Red"/>
    <s v="clarks"/>
    <x v="1"/>
    <x v="10"/>
    <n v="5"/>
    <x v="0"/>
    <n v="32"/>
    <n v="32"/>
    <n v="14"/>
    <n v="160"/>
    <n v="70"/>
    <n v="90"/>
    <n v="0.5625"/>
    <m/>
    <x v="5"/>
  </r>
  <r>
    <x v="94"/>
    <s v="SLIPPERS"/>
    <x v="7"/>
    <s v="casual"/>
    <x v="2"/>
    <s v="Blue"/>
    <s v="Steve Madden"/>
    <x v="4"/>
    <x v="12"/>
    <n v="3"/>
    <x v="2"/>
    <n v="119"/>
    <n v="119"/>
    <n v="67"/>
    <n v="357"/>
    <n v="201"/>
    <n v="156"/>
    <n v="0.43697478991596639"/>
    <m/>
    <x v="2"/>
  </r>
  <r>
    <x v="53"/>
    <s v="OXFORD"/>
    <x v="5"/>
    <s v="Formal"/>
    <x v="0"/>
    <s v="Blue"/>
    <s v="Nike"/>
    <x v="0"/>
    <x v="0"/>
    <n v="14"/>
    <x v="2"/>
    <n v="105"/>
    <n v="105"/>
    <n v="58"/>
    <n v="1470"/>
    <n v="812"/>
    <n v="658"/>
    <n v="0.44761904761904764"/>
    <m/>
    <x v="3"/>
  </r>
  <r>
    <x v="95"/>
    <s v="BROGUES"/>
    <x v="6"/>
    <s v="Formal"/>
    <x v="0"/>
    <s v="Black"/>
    <s v="clarks"/>
    <x v="1"/>
    <x v="9"/>
    <n v="7"/>
    <x v="2"/>
    <n v="112"/>
    <n v="112"/>
    <n v="64"/>
    <n v="784"/>
    <n v="448"/>
    <n v="336"/>
    <n v="0.42857142857142855"/>
    <m/>
    <x v="7"/>
  </r>
  <r>
    <x v="96"/>
    <s v="Derby"/>
    <x v="2"/>
    <s v="UTILITY"/>
    <x v="1"/>
    <s v="Brown"/>
    <s v="ZARA"/>
    <x v="3"/>
    <x v="2"/>
    <n v="8"/>
    <x v="2"/>
    <n v="32"/>
    <n v="32"/>
    <n v="14"/>
    <n v="256"/>
    <n v="112"/>
    <n v="144"/>
    <n v="0.5625"/>
    <m/>
    <x v="2"/>
  </r>
  <r>
    <x v="97"/>
    <s v="boots"/>
    <x v="3"/>
    <s v="Formal"/>
    <x v="0"/>
    <s v="Green"/>
    <s v="ZARA"/>
    <x v="3"/>
    <x v="2"/>
    <n v="3"/>
    <x v="1"/>
    <n v="76"/>
    <n v="76"/>
    <n v="39"/>
    <n v="228"/>
    <n v="117"/>
    <n v="111"/>
    <n v="0.48684210526315791"/>
    <m/>
    <x v="2"/>
  </r>
  <r>
    <x v="98"/>
    <s v="OXFORD"/>
    <x v="5"/>
    <s v="Formal"/>
    <x v="0"/>
    <s v="Brown"/>
    <s v="ZARA"/>
    <x v="3"/>
    <x v="13"/>
    <n v="10"/>
    <x v="1"/>
    <n v="105"/>
    <n v="105"/>
    <n v="58"/>
    <n v="1050"/>
    <n v="580"/>
    <n v="470"/>
    <n v="0.44761904761904764"/>
    <m/>
    <x v="7"/>
  </r>
  <r>
    <x v="99"/>
    <s v="Derby"/>
    <x v="2"/>
    <s v="Formal"/>
    <x v="0"/>
    <s v="Red"/>
    <s v="clarks"/>
    <x v="1"/>
    <x v="10"/>
    <n v="15"/>
    <x v="3"/>
    <n v="32"/>
    <n v="32"/>
    <n v="14"/>
    <n v="480"/>
    <n v="210"/>
    <n v="270"/>
    <n v="0.5625"/>
    <m/>
    <x v="5"/>
  </r>
  <r>
    <x v="100"/>
    <s v="loafers"/>
    <x v="1"/>
    <s v="Formal"/>
    <x v="0"/>
    <s v="Green"/>
    <s v="timberland"/>
    <x v="2"/>
    <x v="13"/>
    <n v="8"/>
    <x v="2"/>
    <n v="54"/>
    <n v="54"/>
    <n v="28"/>
    <n v="432"/>
    <n v="224"/>
    <n v="208"/>
    <n v="0.48148148148148145"/>
    <m/>
    <x v="0"/>
  </r>
  <r>
    <x v="101"/>
    <s v="boots"/>
    <x v="3"/>
    <s v="casual"/>
    <x v="2"/>
    <s v="Green"/>
    <s v="Steve Madden"/>
    <x v="4"/>
    <x v="7"/>
    <n v="9"/>
    <x v="3"/>
    <n v="76"/>
    <n v="76"/>
    <n v="39"/>
    <n v="684"/>
    <n v="351"/>
    <n v="333"/>
    <n v="0.48684210526315791"/>
    <m/>
    <x v="2"/>
  </r>
  <r>
    <x v="81"/>
    <s v="SLIPPERS"/>
    <x v="7"/>
    <s v="Formal"/>
    <x v="0"/>
    <s v="Black"/>
    <s v="ZARA"/>
    <x v="3"/>
    <x v="11"/>
    <n v="10"/>
    <x v="0"/>
    <n v="119"/>
    <n v="119"/>
    <n v="67"/>
    <n v="1190"/>
    <n v="670"/>
    <n v="520"/>
    <n v="0.43697478991596639"/>
    <m/>
    <x v="2"/>
  </r>
  <r>
    <x v="53"/>
    <s v="BROGUES"/>
    <x v="6"/>
    <s v="Formal"/>
    <x v="0"/>
    <s v="Red"/>
    <s v="Nike"/>
    <x v="0"/>
    <x v="6"/>
    <n v="6"/>
    <x v="1"/>
    <n v="112"/>
    <n v="112"/>
    <n v="64"/>
    <n v="672"/>
    <n v="384"/>
    <n v="288"/>
    <n v="0.42857142857142855"/>
    <m/>
    <x v="3"/>
  </r>
  <r>
    <x v="102"/>
    <s v="Canvas"/>
    <x v="4"/>
    <s v="Formal"/>
    <x v="0"/>
    <s v="Blue"/>
    <s v="ZARA"/>
    <x v="3"/>
    <x v="10"/>
    <n v="7"/>
    <x v="1"/>
    <n v="128"/>
    <n v="128"/>
    <n v="72"/>
    <n v="896"/>
    <n v="504"/>
    <n v="392"/>
    <n v="0.4375"/>
    <m/>
    <x v="0"/>
  </r>
  <r>
    <x v="28"/>
    <s v="boots"/>
    <x v="3"/>
    <s v="OPEN"/>
    <x v="3"/>
    <s v="Red"/>
    <s v="Steve Madden"/>
    <x v="4"/>
    <x v="4"/>
    <n v="15"/>
    <x v="2"/>
    <n v="76"/>
    <n v="76"/>
    <n v="39"/>
    <n v="1140"/>
    <n v="585"/>
    <n v="555"/>
    <n v="0.48684210526315791"/>
    <m/>
    <x v="2"/>
  </r>
  <r>
    <x v="79"/>
    <s v="monk straps"/>
    <x v="0"/>
    <s v="Formal"/>
    <x v="0"/>
    <s v="Blue"/>
    <s v="ZARA"/>
    <x v="3"/>
    <x v="6"/>
    <n v="11"/>
    <x v="0"/>
    <n v="89"/>
    <n v="89"/>
    <n v="47"/>
    <n v="979"/>
    <n v="517"/>
    <n v="462"/>
    <n v="0.47191011235955055"/>
    <m/>
    <x v="1"/>
  </r>
  <r>
    <x v="103"/>
    <s v="Canvas"/>
    <x v="4"/>
    <s v="casual"/>
    <x v="2"/>
    <s v="Red"/>
    <s v="Nike"/>
    <x v="0"/>
    <x v="1"/>
    <n v="8"/>
    <x v="1"/>
    <n v="128"/>
    <n v="128"/>
    <n v="72"/>
    <n v="1024"/>
    <n v="576"/>
    <n v="448"/>
    <n v="0.4375"/>
    <m/>
    <x v="0"/>
  </r>
  <r>
    <x v="104"/>
    <s v="monk straps"/>
    <x v="0"/>
    <s v="Formal"/>
    <x v="0"/>
    <s v="Green"/>
    <s v="ZARA"/>
    <x v="3"/>
    <x v="9"/>
    <n v="8"/>
    <x v="0"/>
    <n v="89"/>
    <n v="89"/>
    <n v="47"/>
    <n v="712"/>
    <n v="376"/>
    <n v="336"/>
    <n v="0.47191011235955055"/>
    <m/>
    <x v="6"/>
  </r>
  <r>
    <x v="22"/>
    <s v="Canvas"/>
    <x v="4"/>
    <s v="UTILITY"/>
    <x v="1"/>
    <s v="Brown"/>
    <s v="Nike"/>
    <x v="0"/>
    <x v="6"/>
    <n v="2"/>
    <x v="3"/>
    <n v="128"/>
    <n v="128"/>
    <n v="72"/>
    <n v="256"/>
    <n v="144"/>
    <n v="112"/>
    <n v="0.4375"/>
    <m/>
    <x v="5"/>
  </r>
  <r>
    <x v="46"/>
    <s v="OXFORD"/>
    <x v="5"/>
    <s v="Formal"/>
    <x v="0"/>
    <s v="Red"/>
    <s v="clarks"/>
    <x v="1"/>
    <x v="4"/>
    <n v="12"/>
    <x v="1"/>
    <n v="105"/>
    <n v="105"/>
    <n v="58"/>
    <n v="1260"/>
    <n v="696"/>
    <n v="564"/>
    <n v="0.44761904761904764"/>
    <m/>
    <x v="7"/>
  </r>
  <r>
    <x v="105"/>
    <s v="Canvas"/>
    <x v="4"/>
    <s v="Formal"/>
    <x v="0"/>
    <s v="Blue"/>
    <s v="ZARA"/>
    <x v="3"/>
    <x v="13"/>
    <n v="13"/>
    <x v="2"/>
    <n v="128"/>
    <n v="128"/>
    <n v="72"/>
    <n v="1664"/>
    <n v="936"/>
    <n v="728"/>
    <n v="0.4375"/>
    <m/>
    <x v="2"/>
  </r>
  <r>
    <x v="47"/>
    <s v="loafers"/>
    <x v="1"/>
    <s v="casual"/>
    <x v="2"/>
    <s v="Black"/>
    <s v="timberland"/>
    <x v="2"/>
    <x v="13"/>
    <n v="3"/>
    <x v="0"/>
    <n v="54"/>
    <n v="54"/>
    <n v="28"/>
    <n v="162"/>
    <n v="84"/>
    <n v="78"/>
    <n v="0.48148148148148145"/>
    <m/>
    <x v="4"/>
  </r>
  <r>
    <x v="4"/>
    <s v="Canvas"/>
    <x v="4"/>
    <s v="Formal"/>
    <x v="0"/>
    <s v="Black"/>
    <s v="ZARA"/>
    <x v="3"/>
    <x v="7"/>
    <n v="11"/>
    <x v="1"/>
    <n v="128"/>
    <n v="128"/>
    <n v="72"/>
    <n v="1408"/>
    <n v="792"/>
    <n v="616"/>
    <n v="0.4375"/>
    <m/>
    <x v="3"/>
  </r>
  <r>
    <x v="54"/>
    <s v="BROGUES"/>
    <x v="6"/>
    <s v="Formal"/>
    <x v="0"/>
    <s v="Red"/>
    <s v="ZARA"/>
    <x v="3"/>
    <x v="3"/>
    <n v="3"/>
    <x v="0"/>
    <n v="112"/>
    <n v="112"/>
    <n v="64"/>
    <n v="336"/>
    <n v="192"/>
    <n v="144"/>
    <n v="0.42857142857142855"/>
    <m/>
    <x v="1"/>
  </r>
  <r>
    <x v="106"/>
    <s v="OXFORD"/>
    <x v="5"/>
    <s v="OPEN"/>
    <x v="3"/>
    <s v="Green"/>
    <s v="ZARA"/>
    <x v="3"/>
    <x v="3"/>
    <n v="14"/>
    <x v="1"/>
    <n v="105"/>
    <n v="105"/>
    <n v="58"/>
    <n v="1470"/>
    <n v="812"/>
    <n v="658"/>
    <n v="0.44761904761904764"/>
    <m/>
    <x v="7"/>
  </r>
  <r>
    <x v="98"/>
    <s v="SLIPPERS"/>
    <x v="7"/>
    <s v="casual"/>
    <x v="2"/>
    <s v="Brown"/>
    <s v="clarks"/>
    <x v="1"/>
    <x v="3"/>
    <n v="1"/>
    <x v="2"/>
    <n v="119"/>
    <n v="119"/>
    <n v="67"/>
    <n v="119"/>
    <n v="67"/>
    <n v="52"/>
    <n v="0.43697478991596639"/>
    <m/>
    <x v="7"/>
  </r>
  <r>
    <x v="107"/>
    <s v="BROGUES"/>
    <x v="6"/>
    <s v="Formal"/>
    <x v="0"/>
    <s v="Green"/>
    <s v="Steve Madden"/>
    <x v="4"/>
    <x v="13"/>
    <n v="10"/>
    <x v="0"/>
    <n v="112"/>
    <n v="112"/>
    <n v="64"/>
    <n v="1120"/>
    <n v="640"/>
    <n v="480"/>
    <n v="0.42857142857142855"/>
    <m/>
    <x v="0"/>
  </r>
  <r>
    <x v="97"/>
    <s v="monk straps"/>
    <x v="0"/>
    <s v="Formal"/>
    <x v="0"/>
    <s v="Green"/>
    <s v="Nike"/>
    <x v="0"/>
    <x v="2"/>
    <n v="7"/>
    <x v="0"/>
    <n v="89"/>
    <n v="89"/>
    <n v="47"/>
    <n v="623"/>
    <n v="329"/>
    <n v="294"/>
    <n v="0.47191011235955055"/>
    <m/>
    <x v="2"/>
  </r>
  <r>
    <x v="15"/>
    <s v="OXFORD"/>
    <x v="5"/>
    <s v="UTILITY"/>
    <x v="1"/>
    <s v="Brown"/>
    <s v="ZARA"/>
    <x v="3"/>
    <x v="10"/>
    <n v="6"/>
    <x v="3"/>
    <n v="105"/>
    <n v="105"/>
    <n v="58"/>
    <n v="630"/>
    <n v="348"/>
    <n v="282"/>
    <n v="0.44761904761904764"/>
    <m/>
    <x v="3"/>
  </r>
  <r>
    <x v="1"/>
    <s v="BROGUES"/>
    <x v="6"/>
    <s v="UTILITY"/>
    <x v="1"/>
    <s v="Brown"/>
    <s v="Nike"/>
    <x v="0"/>
    <x v="8"/>
    <n v="8"/>
    <x v="0"/>
    <n v="112"/>
    <n v="112"/>
    <n v="64"/>
    <n v="896"/>
    <n v="512"/>
    <n v="384"/>
    <n v="0.42857142857142855"/>
    <m/>
    <x v="1"/>
  </r>
  <r>
    <x v="108"/>
    <s v="boots"/>
    <x v="3"/>
    <s v="Formal"/>
    <x v="0"/>
    <s v="Green"/>
    <s v="ZARA"/>
    <x v="3"/>
    <x v="2"/>
    <n v="13"/>
    <x v="1"/>
    <n v="76"/>
    <n v="76"/>
    <n v="39"/>
    <n v="988"/>
    <n v="507"/>
    <n v="481"/>
    <n v="0.48684210526315791"/>
    <m/>
    <x v="4"/>
  </r>
  <r>
    <x v="54"/>
    <s v="Canvas"/>
    <x v="4"/>
    <s v="Formal"/>
    <x v="0"/>
    <s v="Black"/>
    <s v="timberland"/>
    <x v="2"/>
    <x v="1"/>
    <n v="11"/>
    <x v="1"/>
    <n v="128"/>
    <n v="128"/>
    <n v="72"/>
    <n v="1408"/>
    <n v="792"/>
    <n v="616"/>
    <n v="0.4375"/>
    <m/>
    <x v="1"/>
  </r>
  <r>
    <x v="59"/>
    <s v="BROGUES"/>
    <x v="6"/>
    <s v="Formal"/>
    <x v="0"/>
    <s v="Brown"/>
    <s v="ZARA"/>
    <x v="3"/>
    <x v="4"/>
    <n v="8"/>
    <x v="3"/>
    <n v="112"/>
    <n v="112"/>
    <n v="64"/>
    <n v="896"/>
    <n v="512"/>
    <n v="384"/>
    <n v="0.42857142857142855"/>
    <m/>
    <x v="1"/>
  </r>
  <r>
    <x v="109"/>
    <s v="loafers"/>
    <x v="1"/>
    <s v="Formal"/>
    <x v="0"/>
    <s v="Black"/>
    <s v="Steve Madden"/>
    <x v="4"/>
    <x v="7"/>
    <n v="13"/>
    <x v="3"/>
    <n v="54"/>
    <n v="54"/>
    <n v="28"/>
    <n v="702"/>
    <n v="364"/>
    <n v="338"/>
    <n v="0.48148148148148145"/>
    <m/>
    <x v="5"/>
  </r>
  <r>
    <x v="109"/>
    <s v="monk straps"/>
    <x v="0"/>
    <s v="UTILITY"/>
    <x v="1"/>
    <s v="Blue"/>
    <s v="ZARA"/>
    <x v="3"/>
    <x v="1"/>
    <n v="12"/>
    <x v="2"/>
    <n v="89"/>
    <n v="89"/>
    <n v="47"/>
    <n v="1068"/>
    <n v="564"/>
    <n v="504"/>
    <n v="0.47191011235955055"/>
    <m/>
    <x v="5"/>
  </r>
  <r>
    <x v="110"/>
    <s v="boots"/>
    <x v="3"/>
    <s v="casual"/>
    <x v="2"/>
    <s v="Green"/>
    <s v="clarks"/>
    <x v="1"/>
    <x v="8"/>
    <n v="1"/>
    <x v="1"/>
    <n v="76"/>
    <n v="76"/>
    <n v="39"/>
    <n v="76"/>
    <n v="39"/>
    <n v="37"/>
    <n v="0.48684210526315791"/>
    <m/>
    <x v="4"/>
  </r>
  <r>
    <x v="71"/>
    <s v="loafers"/>
    <x v="1"/>
    <s v="Formal"/>
    <x v="0"/>
    <s v="Red"/>
    <s v="clarks"/>
    <x v="1"/>
    <x v="3"/>
    <n v="10"/>
    <x v="3"/>
    <n v="54"/>
    <n v="54"/>
    <n v="28"/>
    <n v="540"/>
    <n v="280"/>
    <n v="260"/>
    <n v="0.48148148148148145"/>
    <m/>
    <x v="1"/>
  </r>
  <r>
    <x v="57"/>
    <s v="monk straps"/>
    <x v="0"/>
    <s v="casual"/>
    <x v="2"/>
    <s v="Red"/>
    <s v="Steve Madden"/>
    <x v="4"/>
    <x v="3"/>
    <n v="15"/>
    <x v="2"/>
    <n v="89"/>
    <n v="89"/>
    <n v="47"/>
    <n v="1335"/>
    <n v="705"/>
    <n v="630"/>
    <n v="0.47191011235955055"/>
    <m/>
    <x v="3"/>
  </r>
  <r>
    <x v="41"/>
    <s v="SLIPPERS"/>
    <x v="7"/>
    <s v="Formal"/>
    <x v="0"/>
    <s v="Brown"/>
    <s v="clarks"/>
    <x v="1"/>
    <x v="2"/>
    <n v="3"/>
    <x v="3"/>
    <n v="119"/>
    <n v="119"/>
    <n v="67"/>
    <n v="357"/>
    <n v="201"/>
    <n v="156"/>
    <n v="0.43697478991596639"/>
    <m/>
    <x v="4"/>
  </r>
  <r>
    <x v="58"/>
    <s v="boots"/>
    <x v="3"/>
    <s v="casual"/>
    <x v="2"/>
    <s v="Blue"/>
    <s v="Steve Madden"/>
    <x v="4"/>
    <x v="1"/>
    <n v="1"/>
    <x v="0"/>
    <n v="76"/>
    <n v="76"/>
    <n v="39"/>
    <n v="76"/>
    <n v="39"/>
    <n v="37"/>
    <n v="0.48684210526315791"/>
    <m/>
    <x v="5"/>
  </r>
  <r>
    <x v="111"/>
    <s v="loafers"/>
    <x v="1"/>
    <s v="casual"/>
    <x v="2"/>
    <s v="Red"/>
    <s v="clarks"/>
    <x v="1"/>
    <x v="4"/>
    <n v="9"/>
    <x v="2"/>
    <n v="54"/>
    <n v="54"/>
    <n v="28"/>
    <n v="486"/>
    <n v="252"/>
    <n v="234"/>
    <n v="0.48148148148148145"/>
    <m/>
    <x v="2"/>
  </r>
  <r>
    <x v="18"/>
    <s v="Derby"/>
    <x v="2"/>
    <s v="UTILITY"/>
    <x v="1"/>
    <s v="Black"/>
    <s v="ZARA"/>
    <x v="3"/>
    <x v="7"/>
    <n v="13"/>
    <x v="0"/>
    <n v="32"/>
    <n v="32"/>
    <n v="14"/>
    <n v="416"/>
    <n v="182"/>
    <n v="234"/>
    <n v="0.5625"/>
    <m/>
    <x v="0"/>
  </r>
  <r>
    <x v="71"/>
    <s v="SLIPPERS"/>
    <x v="7"/>
    <s v="OPEN"/>
    <x v="3"/>
    <s v="Black"/>
    <s v="clarks"/>
    <x v="1"/>
    <x v="10"/>
    <n v="10"/>
    <x v="1"/>
    <n v="119"/>
    <n v="119"/>
    <n v="67"/>
    <n v="1190"/>
    <n v="670"/>
    <n v="520"/>
    <n v="0.43697478991596639"/>
    <m/>
    <x v="1"/>
  </r>
  <r>
    <x v="59"/>
    <s v="monk straps"/>
    <x v="0"/>
    <s v="Formal"/>
    <x v="0"/>
    <s v="Green"/>
    <s v="Nike"/>
    <x v="0"/>
    <x v="11"/>
    <n v="10"/>
    <x v="0"/>
    <n v="89"/>
    <n v="89"/>
    <n v="47"/>
    <n v="890"/>
    <n v="470"/>
    <n v="420"/>
    <n v="0.47191011235955055"/>
    <m/>
    <x v="1"/>
  </r>
  <r>
    <x v="36"/>
    <s v="Canvas"/>
    <x v="4"/>
    <s v="Formal"/>
    <x v="0"/>
    <s v="Brown"/>
    <s v="ZARA"/>
    <x v="3"/>
    <x v="5"/>
    <n v="15"/>
    <x v="1"/>
    <n v="128"/>
    <n v="128"/>
    <n v="72"/>
    <n v="1920"/>
    <n v="1080"/>
    <n v="840"/>
    <n v="0.4375"/>
    <m/>
    <x v="2"/>
  </r>
  <r>
    <x v="112"/>
    <s v="Derby"/>
    <x v="2"/>
    <s v="casual"/>
    <x v="2"/>
    <s v="Red"/>
    <s v="ZARA"/>
    <x v="3"/>
    <x v="6"/>
    <n v="9"/>
    <x v="3"/>
    <n v="32"/>
    <n v="32"/>
    <n v="14"/>
    <n v="288"/>
    <n v="126"/>
    <n v="162"/>
    <n v="0.5625"/>
    <m/>
    <x v="3"/>
  </r>
  <r>
    <x v="113"/>
    <s v="BROGUES"/>
    <x v="6"/>
    <s v="casual"/>
    <x v="2"/>
    <s v="Brown"/>
    <s v="Steve Madden"/>
    <x v="4"/>
    <x v="11"/>
    <n v="14"/>
    <x v="2"/>
    <n v="112"/>
    <n v="112"/>
    <n v="64"/>
    <n v="1568"/>
    <n v="896"/>
    <n v="672"/>
    <n v="0.42857142857142855"/>
    <m/>
    <x v="1"/>
  </r>
  <r>
    <x v="114"/>
    <s v="BROGUES"/>
    <x v="6"/>
    <s v="Formal"/>
    <x v="0"/>
    <s v="Black"/>
    <s v="clarks"/>
    <x v="1"/>
    <x v="4"/>
    <n v="14"/>
    <x v="3"/>
    <n v="112"/>
    <n v="112"/>
    <n v="64"/>
    <n v="1568"/>
    <n v="896"/>
    <n v="672"/>
    <n v="0.42857142857142855"/>
    <m/>
    <x v="3"/>
  </r>
  <r>
    <x v="77"/>
    <s v="Canvas"/>
    <x v="4"/>
    <s v="Formal"/>
    <x v="0"/>
    <s v="Black"/>
    <s v="ZARA"/>
    <x v="3"/>
    <x v="5"/>
    <n v="10"/>
    <x v="1"/>
    <n v="128"/>
    <n v="128"/>
    <n v="72"/>
    <n v="1280"/>
    <n v="720"/>
    <n v="560"/>
    <n v="0.4375"/>
    <m/>
    <x v="6"/>
  </r>
  <r>
    <x v="35"/>
    <s v="BROGUES"/>
    <x v="6"/>
    <s v="casual"/>
    <x v="2"/>
    <s v="Green"/>
    <s v="ZARA"/>
    <x v="3"/>
    <x v="6"/>
    <n v="15"/>
    <x v="0"/>
    <n v="112"/>
    <n v="112"/>
    <n v="64"/>
    <n v="1680"/>
    <n v="960"/>
    <n v="720"/>
    <n v="0.42857142857142855"/>
    <m/>
    <x v="7"/>
  </r>
  <r>
    <x v="56"/>
    <s v="Derby"/>
    <x v="2"/>
    <s v="casual"/>
    <x v="2"/>
    <s v="Blue"/>
    <s v="timberland"/>
    <x v="2"/>
    <x v="7"/>
    <n v="5"/>
    <x v="3"/>
    <n v="32"/>
    <n v="32"/>
    <n v="14"/>
    <n v="160"/>
    <n v="70"/>
    <n v="90"/>
    <n v="0.5625"/>
    <m/>
    <x v="1"/>
  </r>
  <r>
    <x v="73"/>
    <s v="Derby"/>
    <x v="2"/>
    <s v="Formal"/>
    <x v="0"/>
    <s v="Brown"/>
    <s v="timberland"/>
    <x v="2"/>
    <x v="7"/>
    <n v="15"/>
    <x v="0"/>
    <n v="32"/>
    <n v="32"/>
    <n v="14"/>
    <n v="480"/>
    <n v="210"/>
    <n v="270"/>
    <n v="0.5625"/>
    <m/>
    <x v="7"/>
  </r>
  <r>
    <x v="78"/>
    <s v="Canvas"/>
    <x v="4"/>
    <s v="casual"/>
    <x v="2"/>
    <s v="Black"/>
    <s v="timberland"/>
    <x v="2"/>
    <x v="10"/>
    <n v="13"/>
    <x v="2"/>
    <n v="128"/>
    <n v="128"/>
    <n v="72"/>
    <n v="1664"/>
    <n v="936"/>
    <n v="728"/>
    <n v="0.4375"/>
    <m/>
    <x v="5"/>
  </r>
  <r>
    <x v="19"/>
    <s v="BROGUES"/>
    <x v="6"/>
    <s v="OPEN"/>
    <x v="3"/>
    <s v="Green"/>
    <s v="timberland"/>
    <x v="2"/>
    <x v="1"/>
    <n v="9"/>
    <x v="2"/>
    <n v="112"/>
    <n v="112"/>
    <n v="64"/>
    <n v="1008"/>
    <n v="576"/>
    <n v="432"/>
    <n v="0.42857142857142855"/>
    <m/>
    <x v="6"/>
  </r>
  <r>
    <x v="115"/>
    <s v="Derby"/>
    <x v="2"/>
    <s v="UTILITY"/>
    <x v="1"/>
    <s v="Black"/>
    <s v="clarks"/>
    <x v="1"/>
    <x v="10"/>
    <n v="9"/>
    <x v="1"/>
    <n v="32"/>
    <n v="32"/>
    <n v="14"/>
    <n v="288"/>
    <n v="126"/>
    <n v="162"/>
    <n v="0.5625"/>
    <m/>
    <x v="3"/>
  </r>
  <r>
    <x v="116"/>
    <s v="SLIPPERS"/>
    <x v="7"/>
    <s v="casual"/>
    <x v="2"/>
    <s v="Green"/>
    <s v="clarks"/>
    <x v="1"/>
    <x v="11"/>
    <n v="9"/>
    <x v="1"/>
    <n v="119"/>
    <n v="119"/>
    <n v="67"/>
    <n v="1071"/>
    <n v="603"/>
    <n v="468"/>
    <n v="0.43697478991596639"/>
    <m/>
    <x v="5"/>
  </r>
  <r>
    <x v="62"/>
    <s v="Canvas"/>
    <x v="4"/>
    <s v="Formal"/>
    <x v="0"/>
    <s v="Blue"/>
    <s v="timberland"/>
    <x v="2"/>
    <x v="6"/>
    <n v="3"/>
    <x v="2"/>
    <n v="128"/>
    <n v="128"/>
    <n v="72"/>
    <n v="384"/>
    <n v="216"/>
    <n v="168"/>
    <n v="0.4375"/>
    <m/>
    <x v="4"/>
  </r>
  <r>
    <x v="110"/>
    <s v="BROGUES"/>
    <x v="6"/>
    <s v="casual"/>
    <x v="2"/>
    <s v="Brown"/>
    <s v="ZARA"/>
    <x v="3"/>
    <x v="4"/>
    <n v="2"/>
    <x v="3"/>
    <n v="112"/>
    <n v="112"/>
    <n v="64"/>
    <n v="224"/>
    <n v="128"/>
    <n v="96"/>
    <n v="0.42857142857142855"/>
    <m/>
    <x v="4"/>
  </r>
  <r>
    <x v="39"/>
    <s v="boots"/>
    <x v="3"/>
    <s v="UTILITY"/>
    <x v="1"/>
    <s v="Red"/>
    <s v="Steve Madden"/>
    <x v="4"/>
    <x v="8"/>
    <n v="6"/>
    <x v="0"/>
    <n v="76"/>
    <n v="76"/>
    <n v="39"/>
    <n v="456"/>
    <n v="234"/>
    <n v="222"/>
    <n v="0.48684210526315791"/>
    <m/>
    <x v="0"/>
  </r>
  <r>
    <x v="117"/>
    <s v="SLIPPERS"/>
    <x v="7"/>
    <s v="OPEN"/>
    <x v="3"/>
    <s v="Brown"/>
    <s v="ZARA"/>
    <x v="3"/>
    <x v="5"/>
    <n v="4"/>
    <x v="1"/>
    <n v="119"/>
    <n v="119"/>
    <n v="67"/>
    <n v="476"/>
    <n v="268"/>
    <n v="208"/>
    <n v="0.43697478991596639"/>
    <m/>
    <x v="0"/>
  </r>
  <r>
    <x v="118"/>
    <s v="SLIPPERS"/>
    <x v="7"/>
    <s v="Formal"/>
    <x v="0"/>
    <s v="Black"/>
    <s v="ZARA"/>
    <x v="3"/>
    <x v="9"/>
    <n v="7"/>
    <x v="1"/>
    <n v="119"/>
    <n v="119"/>
    <n v="67"/>
    <n v="833"/>
    <n v="469"/>
    <n v="364"/>
    <n v="0.43697478991596639"/>
    <m/>
    <x v="2"/>
  </r>
  <r>
    <x v="67"/>
    <s v="loafers"/>
    <x v="1"/>
    <s v="casual"/>
    <x v="2"/>
    <s v="Blue"/>
    <s v="ZARA"/>
    <x v="3"/>
    <x v="2"/>
    <n v="14"/>
    <x v="1"/>
    <n v="54"/>
    <n v="54"/>
    <n v="28"/>
    <n v="756"/>
    <n v="392"/>
    <n v="364"/>
    <n v="0.48148148148148145"/>
    <m/>
    <x v="4"/>
  </r>
  <r>
    <x v="24"/>
    <s v="loafers"/>
    <x v="1"/>
    <s v="UTILITY"/>
    <x v="1"/>
    <s v="Red"/>
    <s v="Nike"/>
    <x v="0"/>
    <x v="12"/>
    <n v="12"/>
    <x v="0"/>
    <n v="54"/>
    <n v="54"/>
    <n v="28"/>
    <n v="648"/>
    <n v="336"/>
    <n v="312"/>
    <n v="0.48148148148148145"/>
    <m/>
    <x v="4"/>
  </r>
  <r>
    <x v="119"/>
    <s v="Derby"/>
    <x v="2"/>
    <s v="Formal"/>
    <x v="0"/>
    <s v="Red"/>
    <s v="ZARA"/>
    <x v="3"/>
    <x v="3"/>
    <n v="11"/>
    <x v="1"/>
    <n v="32"/>
    <n v="32"/>
    <n v="14"/>
    <n v="352"/>
    <n v="154"/>
    <n v="198"/>
    <n v="0.5625"/>
    <m/>
    <x v="6"/>
  </r>
  <r>
    <x v="49"/>
    <s v="SLIPPERS"/>
    <x v="7"/>
    <s v="UTILITY"/>
    <x v="1"/>
    <s v="Green"/>
    <s v="ZARA"/>
    <x v="3"/>
    <x v="3"/>
    <n v="4"/>
    <x v="0"/>
    <n v="119"/>
    <n v="119"/>
    <n v="67"/>
    <n v="476"/>
    <n v="268"/>
    <n v="208"/>
    <n v="0.43697478991596639"/>
    <m/>
    <x v="1"/>
  </r>
  <r>
    <x v="120"/>
    <s v="OXFORD"/>
    <x v="5"/>
    <s v="Formal"/>
    <x v="0"/>
    <s v="Red"/>
    <s v="Nike"/>
    <x v="0"/>
    <x v="11"/>
    <n v="4"/>
    <x v="0"/>
    <n v="105"/>
    <n v="105"/>
    <n v="58"/>
    <n v="420"/>
    <n v="232"/>
    <n v="188"/>
    <n v="0.44761904761904764"/>
    <m/>
    <x v="5"/>
  </r>
  <r>
    <x v="97"/>
    <s v="Derby"/>
    <x v="2"/>
    <s v="Formal"/>
    <x v="0"/>
    <s v="Black"/>
    <s v="ZARA"/>
    <x v="3"/>
    <x v="9"/>
    <n v="3"/>
    <x v="1"/>
    <n v="32"/>
    <n v="32"/>
    <n v="14"/>
    <n v="96"/>
    <n v="42"/>
    <n v="54"/>
    <n v="0.5625"/>
    <m/>
    <x v="2"/>
  </r>
  <r>
    <x v="39"/>
    <s v="BROGUES"/>
    <x v="6"/>
    <s v="casual"/>
    <x v="2"/>
    <s v="Brown"/>
    <s v="Steve Madden"/>
    <x v="4"/>
    <x v="6"/>
    <n v="15"/>
    <x v="1"/>
    <n v="112"/>
    <n v="112"/>
    <n v="64"/>
    <n v="1680"/>
    <n v="960"/>
    <n v="720"/>
    <n v="0.42857142857142855"/>
    <m/>
    <x v="0"/>
  </r>
  <r>
    <x v="35"/>
    <s v="monk straps"/>
    <x v="0"/>
    <s v="UTILITY"/>
    <x v="1"/>
    <s v="Blue"/>
    <s v="timberland"/>
    <x v="2"/>
    <x v="6"/>
    <n v="9"/>
    <x v="1"/>
    <n v="89"/>
    <n v="89"/>
    <n v="47"/>
    <n v="801"/>
    <n v="423"/>
    <n v="378"/>
    <n v="0.47191011235955055"/>
    <m/>
    <x v="7"/>
  </r>
  <r>
    <x v="82"/>
    <s v="Canvas"/>
    <x v="4"/>
    <s v="OPEN"/>
    <x v="3"/>
    <s v="Blue"/>
    <s v="ZARA"/>
    <x v="3"/>
    <x v="5"/>
    <n v="12"/>
    <x v="0"/>
    <n v="128"/>
    <n v="128"/>
    <n v="72"/>
    <n v="1536"/>
    <n v="864"/>
    <n v="672"/>
    <n v="0.4375"/>
    <m/>
    <x v="3"/>
  </r>
  <r>
    <x v="121"/>
    <s v="BROGUES"/>
    <x v="6"/>
    <s v="OPEN"/>
    <x v="3"/>
    <s v="Blue"/>
    <s v="ZARA"/>
    <x v="3"/>
    <x v="4"/>
    <n v="5"/>
    <x v="2"/>
    <n v="112"/>
    <n v="112"/>
    <n v="64"/>
    <n v="560"/>
    <n v="320"/>
    <n v="240"/>
    <n v="0.42857142857142855"/>
    <m/>
    <x v="4"/>
  </r>
  <r>
    <x v="69"/>
    <s v="boots"/>
    <x v="3"/>
    <s v="Formal"/>
    <x v="0"/>
    <s v="Brown"/>
    <s v="clarks"/>
    <x v="1"/>
    <x v="7"/>
    <n v="4"/>
    <x v="3"/>
    <n v="76"/>
    <n v="76"/>
    <n v="39"/>
    <n v="304"/>
    <n v="156"/>
    <n v="148"/>
    <n v="0.48684210526315791"/>
    <m/>
    <x v="3"/>
  </r>
  <r>
    <x v="81"/>
    <s v="monk straps"/>
    <x v="0"/>
    <s v="UTILITY"/>
    <x v="1"/>
    <s v="Blue"/>
    <s v="ZARA"/>
    <x v="3"/>
    <x v="13"/>
    <n v="10"/>
    <x v="1"/>
    <n v="89"/>
    <n v="89"/>
    <n v="47"/>
    <n v="890"/>
    <n v="470"/>
    <n v="420"/>
    <n v="0.47191011235955055"/>
    <m/>
    <x v="2"/>
  </r>
  <r>
    <x v="122"/>
    <s v="loafers"/>
    <x v="1"/>
    <s v="OPEN"/>
    <x v="3"/>
    <s v="Red"/>
    <s v="timberland"/>
    <x v="2"/>
    <x v="4"/>
    <n v="4"/>
    <x v="3"/>
    <n v="54"/>
    <n v="54"/>
    <n v="28"/>
    <n v="216"/>
    <n v="112"/>
    <n v="104"/>
    <n v="0.48148148148148145"/>
    <m/>
    <x v="2"/>
  </r>
  <r>
    <x v="91"/>
    <s v="BROGUES"/>
    <x v="6"/>
    <s v="casual"/>
    <x v="2"/>
    <s v="Green"/>
    <s v="clarks"/>
    <x v="1"/>
    <x v="5"/>
    <n v="1"/>
    <x v="0"/>
    <n v="112"/>
    <n v="112"/>
    <n v="64"/>
    <n v="112"/>
    <n v="64"/>
    <n v="48"/>
    <n v="0.42857142857142855"/>
    <m/>
    <x v="6"/>
  </r>
  <r>
    <x v="123"/>
    <s v="monk straps"/>
    <x v="0"/>
    <s v="Formal"/>
    <x v="0"/>
    <s v="Blue"/>
    <s v="clarks"/>
    <x v="1"/>
    <x v="9"/>
    <n v="13"/>
    <x v="1"/>
    <n v="89"/>
    <n v="89"/>
    <n v="47"/>
    <n v="1157"/>
    <n v="611"/>
    <n v="546"/>
    <n v="0.47191011235955055"/>
    <m/>
    <x v="7"/>
  </r>
  <r>
    <x v="24"/>
    <s v="loafers"/>
    <x v="1"/>
    <s v="OPEN"/>
    <x v="3"/>
    <s v="Brown"/>
    <s v="clarks"/>
    <x v="1"/>
    <x v="13"/>
    <n v="7"/>
    <x v="1"/>
    <n v="54"/>
    <n v="54"/>
    <n v="28"/>
    <n v="378"/>
    <n v="196"/>
    <n v="182"/>
    <n v="0.48148148148148145"/>
    <m/>
    <x v="4"/>
  </r>
  <r>
    <x v="71"/>
    <s v="Derby"/>
    <x v="2"/>
    <s v="Formal"/>
    <x v="0"/>
    <s v="Brown"/>
    <s v="clarks"/>
    <x v="1"/>
    <x v="6"/>
    <n v="10"/>
    <x v="2"/>
    <n v="32"/>
    <n v="32"/>
    <n v="14"/>
    <n v="320"/>
    <n v="140"/>
    <n v="180"/>
    <n v="0.5625"/>
    <m/>
    <x v="1"/>
  </r>
  <r>
    <x v="124"/>
    <s v="monk straps"/>
    <x v="0"/>
    <s v="Formal"/>
    <x v="0"/>
    <s v="Brown"/>
    <s v="ZARA"/>
    <x v="3"/>
    <x v="11"/>
    <n v="5"/>
    <x v="2"/>
    <n v="89"/>
    <n v="89"/>
    <n v="47"/>
    <n v="445"/>
    <n v="235"/>
    <n v="210"/>
    <n v="0.47191011235955055"/>
    <m/>
    <x v="5"/>
  </r>
  <r>
    <x v="125"/>
    <s v="boots"/>
    <x v="3"/>
    <s v="casual"/>
    <x v="2"/>
    <s v="Red"/>
    <s v="clarks"/>
    <x v="1"/>
    <x v="6"/>
    <n v="2"/>
    <x v="3"/>
    <n v="76"/>
    <n v="76"/>
    <n v="39"/>
    <n v="152"/>
    <n v="78"/>
    <n v="74"/>
    <n v="0.48684210526315791"/>
    <m/>
    <x v="4"/>
  </r>
  <r>
    <x v="113"/>
    <s v="Derby"/>
    <x v="2"/>
    <s v="casual"/>
    <x v="2"/>
    <s v="Brown"/>
    <s v="clarks"/>
    <x v="1"/>
    <x v="3"/>
    <n v="8"/>
    <x v="1"/>
    <n v="32"/>
    <n v="32"/>
    <n v="14"/>
    <n v="256"/>
    <n v="112"/>
    <n v="144"/>
    <n v="0.5625"/>
    <m/>
    <x v="1"/>
  </r>
  <r>
    <x v="81"/>
    <s v="BROGUES"/>
    <x v="6"/>
    <s v="Formal"/>
    <x v="0"/>
    <s v="Brown"/>
    <s v="ZARA"/>
    <x v="3"/>
    <x v="8"/>
    <n v="4"/>
    <x v="1"/>
    <n v="112"/>
    <n v="112"/>
    <n v="64"/>
    <n v="448"/>
    <n v="256"/>
    <n v="192"/>
    <n v="0.42857142857142855"/>
    <m/>
    <x v="2"/>
  </r>
  <r>
    <x v="126"/>
    <s v="loafers"/>
    <x v="1"/>
    <s v="casual"/>
    <x v="2"/>
    <s v="Red"/>
    <s v="Steve Madden"/>
    <x v="4"/>
    <x v="8"/>
    <n v="10"/>
    <x v="1"/>
    <n v="54"/>
    <n v="54"/>
    <n v="28"/>
    <n v="540"/>
    <n v="280"/>
    <n v="260"/>
    <n v="0.48148148148148145"/>
    <m/>
    <x v="5"/>
  </r>
  <r>
    <x v="127"/>
    <s v="BROGUES"/>
    <x v="6"/>
    <s v="UTILITY"/>
    <x v="1"/>
    <s v="Green"/>
    <s v="clarks"/>
    <x v="1"/>
    <x v="11"/>
    <n v="12"/>
    <x v="0"/>
    <n v="112"/>
    <n v="112"/>
    <n v="64"/>
    <n v="1344"/>
    <n v="768"/>
    <n v="576"/>
    <n v="0.42857142857142855"/>
    <m/>
    <x v="3"/>
  </r>
  <r>
    <x v="69"/>
    <s v="boots"/>
    <x v="3"/>
    <s v="Formal"/>
    <x v="0"/>
    <s v="Green"/>
    <s v="ZARA"/>
    <x v="3"/>
    <x v="0"/>
    <n v="4"/>
    <x v="1"/>
    <n v="76"/>
    <n v="76"/>
    <n v="39"/>
    <n v="304"/>
    <n v="156"/>
    <n v="148"/>
    <n v="0.48684210526315791"/>
    <m/>
    <x v="3"/>
  </r>
  <r>
    <x v="25"/>
    <s v="boots"/>
    <x v="3"/>
    <s v="Formal"/>
    <x v="0"/>
    <s v="Brown"/>
    <s v="ZARA"/>
    <x v="3"/>
    <x v="5"/>
    <n v="6"/>
    <x v="2"/>
    <n v="76"/>
    <n v="76"/>
    <n v="39"/>
    <n v="456"/>
    <n v="234"/>
    <n v="222"/>
    <n v="0.48684210526315791"/>
    <m/>
    <x v="4"/>
  </r>
  <r>
    <x v="128"/>
    <s v="BROGUES"/>
    <x v="6"/>
    <s v="Formal"/>
    <x v="0"/>
    <s v="Red"/>
    <s v="Nike"/>
    <x v="0"/>
    <x v="2"/>
    <n v="4"/>
    <x v="1"/>
    <n v="112"/>
    <n v="112"/>
    <n v="64"/>
    <n v="448"/>
    <n v="256"/>
    <n v="192"/>
    <n v="0.42857142857142855"/>
    <m/>
    <x v="0"/>
  </r>
  <r>
    <x v="129"/>
    <s v="Derby"/>
    <x v="2"/>
    <s v="Formal"/>
    <x v="0"/>
    <s v="Green"/>
    <s v="timberland"/>
    <x v="2"/>
    <x v="0"/>
    <n v="5"/>
    <x v="1"/>
    <n v="32"/>
    <n v="32"/>
    <n v="14"/>
    <n v="160"/>
    <n v="70"/>
    <n v="90"/>
    <n v="0.5625"/>
    <m/>
    <x v="1"/>
  </r>
  <r>
    <x v="11"/>
    <s v="loafers"/>
    <x v="1"/>
    <s v="casual"/>
    <x v="2"/>
    <s v="Green"/>
    <s v="clarks"/>
    <x v="1"/>
    <x v="5"/>
    <n v="5"/>
    <x v="1"/>
    <n v="54"/>
    <n v="54"/>
    <n v="28"/>
    <n v="270"/>
    <n v="140"/>
    <n v="130"/>
    <n v="0.48148148148148145"/>
    <m/>
    <x v="4"/>
  </r>
  <r>
    <x v="87"/>
    <s v="Canvas"/>
    <x v="4"/>
    <s v="OPEN"/>
    <x v="3"/>
    <s v="Black"/>
    <s v="timberland"/>
    <x v="2"/>
    <x v="13"/>
    <n v="11"/>
    <x v="0"/>
    <n v="128"/>
    <n v="128"/>
    <n v="72"/>
    <n v="1408"/>
    <n v="792"/>
    <n v="616"/>
    <n v="0.4375"/>
    <m/>
    <x v="1"/>
  </r>
  <r>
    <x v="76"/>
    <s v="Canvas"/>
    <x v="4"/>
    <s v="OPEN"/>
    <x v="3"/>
    <s v="Black"/>
    <s v="Steve Madden"/>
    <x v="4"/>
    <x v="0"/>
    <n v="3"/>
    <x v="0"/>
    <n v="128"/>
    <n v="128"/>
    <n v="72"/>
    <n v="384"/>
    <n v="216"/>
    <n v="168"/>
    <n v="0.4375"/>
    <m/>
    <x v="2"/>
  </r>
  <r>
    <x v="130"/>
    <s v="monk straps"/>
    <x v="0"/>
    <s v="Formal"/>
    <x v="0"/>
    <s v="Green"/>
    <s v="clarks"/>
    <x v="1"/>
    <x v="3"/>
    <n v="4"/>
    <x v="1"/>
    <n v="89"/>
    <n v="89"/>
    <n v="47"/>
    <n v="356"/>
    <n v="188"/>
    <n v="168"/>
    <n v="0.47191011235955055"/>
    <m/>
    <x v="7"/>
  </r>
  <r>
    <x v="71"/>
    <s v="OXFORD"/>
    <x v="5"/>
    <s v="casual"/>
    <x v="2"/>
    <s v="Blue"/>
    <s v="Nike"/>
    <x v="0"/>
    <x v="10"/>
    <n v="8"/>
    <x v="2"/>
    <n v="105"/>
    <n v="105"/>
    <n v="58"/>
    <n v="840"/>
    <n v="464"/>
    <n v="376"/>
    <n v="0.44761904761904764"/>
    <m/>
    <x v="1"/>
  </r>
  <r>
    <x v="65"/>
    <s v="Canvas"/>
    <x v="4"/>
    <s v="OPEN"/>
    <x v="3"/>
    <s v="Red"/>
    <s v="ZARA"/>
    <x v="3"/>
    <x v="0"/>
    <n v="8"/>
    <x v="2"/>
    <n v="128"/>
    <n v="128"/>
    <n v="72"/>
    <n v="1024"/>
    <n v="576"/>
    <n v="448"/>
    <n v="0.4375"/>
    <m/>
    <x v="0"/>
  </r>
  <r>
    <x v="131"/>
    <s v="boots"/>
    <x v="3"/>
    <s v="Formal"/>
    <x v="0"/>
    <s v="Blue"/>
    <s v="ZARA"/>
    <x v="3"/>
    <x v="1"/>
    <n v="8"/>
    <x v="2"/>
    <n v="76"/>
    <n v="76"/>
    <n v="39"/>
    <n v="608"/>
    <n v="312"/>
    <n v="296"/>
    <n v="0.48684210526315791"/>
    <m/>
    <x v="7"/>
  </r>
  <r>
    <x v="132"/>
    <s v="Derby"/>
    <x v="2"/>
    <s v="UTILITY"/>
    <x v="1"/>
    <s v="Red"/>
    <s v="ZARA"/>
    <x v="3"/>
    <x v="0"/>
    <n v="6"/>
    <x v="1"/>
    <n v="32"/>
    <n v="32"/>
    <n v="14"/>
    <n v="192"/>
    <n v="84"/>
    <n v="108"/>
    <n v="0.5625"/>
    <m/>
    <x v="0"/>
  </r>
  <r>
    <x v="133"/>
    <s v="boots"/>
    <x v="3"/>
    <s v="casual"/>
    <x v="2"/>
    <s v="Brown"/>
    <s v="timberland"/>
    <x v="2"/>
    <x v="2"/>
    <n v="4"/>
    <x v="3"/>
    <n v="76"/>
    <n v="76"/>
    <n v="39"/>
    <n v="304"/>
    <n v="156"/>
    <n v="148"/>
    <n v="0.48684210526315791"/>
    <m/>
    <x v="4"/>
  </r>
  <r>
    <x v="134"/>
    <s v="monk straps"/>
    <x v="0"/>
    <s v="Formal"/>
    <x v="0"/>
    <s v="Blue"/>
    <s v="ZARA"/>
    <x v="3"/>
    <x v="6"/>
    <n v="14"/>
    <x v="3"/>
    <n v="89"/>
    <n v="89"/>
    <n v="47"/>
    <n v="1246"/>
    <n v="658"/>
    <n v="588"/>
    <n v="0.47191011235955055"/>
    <m/>
    <x v="6"/>
  </r>
  <r>
    <x v="135"/>
    <s v="monk straps"/>
    <x v="0"/>
    <s v="Formal"/>
    <x v="0"/>
    <s v="Green"/>
    <s v="Nike"/>
    <x v="0"/>
    <x v="13"/>
    <n v="7"/>
    <x v="3"/>
    <n v="89"/>
    <n v="89"/>
    <n v="47"/>
    <n v="623"/>
    <n v="329"/>
    <n v="294"/>
    <n v="0.47191011235955055"/>
    <m/>
    <x v="5"/>
  </r>
  <r>
    <x v="136"/>
    <s v="BROGUES"/>
    <x v="6"/>
    <s v="Formal"/>
    <x v="0"/>
    <s v="Brown"/>
    <s v="timberland"/>
    <x v="2"/>
    <x v="8"/>
    <n v="8"/>
    <x v="0"/>
    <n v="112"/>
    <n v="112"/>
    <n v="64"/>
    <n v="896"/>
    <n v="512"/>
    <n v="384"/>
    <n v="0.42857142857142855"/>
    <m/>
    <x v="3"/>
  </r>
  <r>
    <x v="123"/>
    <s v="OXFORD"/>
    <x v="5"/>
    <s v="Formal"/>
    <x v="0"/>
    <s v="Black"/>
    <s v="clarks"/>
    <x v="1"/>
    <x v="5"/>
    <n v="12"/>
    <x v="1"/>
    <n v="105"/>
    <n v="105"/>
    <n v="58"/>
    <n v="1260"/>
    <n v="696"/>
    <n v="564"/>
    <n v="0.44761904761904764"/>
    <m/>
    <x v="7"/>
  </r>
  <r>
    <x v="137"/>
    <s v="SLIPPERS"/>
    <x v="7"/>
    <s v="Formal"/>
    <x v="0"/>
    <s v="Brown"/>
    <s v="Steve Madden"/>
    <x v="4"/>
    <x v="3"/>
    <n v="8"/>
    <x v="1"/>
    <n v="119"/>
    <n v="119"/>
    <n v="67"/>
    <n v="952"/>
    <n v="536"/>
    <n v="416"/>
    <n v="0.43697478991596639"/>
    <m/>
    <x v="5"/>
  </r>
  <r>
    <x v="138"/>
    <s v="OXFORD"/>
    <x v="5"/>
    <s v="OPEN"/>
    <x v="3"/>
    <s v="Red"/>
    <s v="Nike"/>
    <x v="0"/>
    <x v="11"/>
    <n v="11"/>
    <x v="2"/>
    <n v="105"/>
    <n v="105"/>
    <n v="58"/>
    <n v="1155"/>
    <n v="638"/>
    <n v="517"/>
    <n v="0.44761904761904764"/>
    <m/>
    <x v="0"/>
  </r>
  <r>
    <x v="119"/>
    <s v="boots"/>
    <x v="3"/>
    <s v="UTILITY"/>
    <x v="1"/>
    <s v="Brown"/>
    <s v="ZARA"/>
    <x v="3"/>
    <x v="10"/>
    <n v="2"/>
    <x v="3"/>
    <n v="76"/>
    <n v="76"/>
    <n v="39"/>
    <n v="152"/>
    <n v="78"/>
    <n v="74"/>
    <n v="0.48684210526315791"/>
    <m/>
    <x v="6"/>
  </r>
  <r>
    <x v="57"/>
    <s v="SLIPPERS"/>
    <x v="7"/>
    <s v="Formal"/>
    <x v="0"/>
    <s v="Green"/>
    <s v="Steve Madden"/>
    <x v="4"/>
    <x v="13"/>
    <n v="7"/>
    <x v="0"/>
    <n v="119"/>
    <n v="119"/>
    <n v="67"/>
    <n v="833"/>
    <n v="469"/>
    <n v="364"/>
    <n v="0.43697478991596639"/>
    <m/>
    <x v="3"/>
  </r>
  <r>
    <x v="130"/>
    <s v="SLIPPERS"/>
    <x v="7"/>
    <s v="Formal"/>
    <x v="0"/>
    <s v="Blue"/>
    <s v="ZARA"/>
    <x v="3"/>
    <x v="5"/>
    <n v="1"/>
    <x v="3"/>
    <n v="119"/>
    <n v="119"/>
    <n v="67"/>
    <n v="119"/>
    <n v="67"/>
    <n v="52"/>
    <n v="0.43697478991596639"/>
    <m/>
    <x v="7"/>
  </r>
  <r>
    <x v="34"/>
    <s v="Derby"/>
    <x v="2"/>
    <s v="UTILITY"/>
    <x v="1"/>
    <s v="Blue"/>
    <s v="Nike"/>
    <x v="0"/>
    <x v="12"/>
    <n v="11"/>
    <x v="2"/>
    <n v="32"/>
    <n v="32"/>
    <n v="14"/>
    <n v="352"/>
    <n v="154"/>
    <n v="198"/>
    <n v="0.5625"/>
    <m/>
    <x v="4"/>
  </r>
  <r>
    <x v="9"/>
    <s v="BROGUES"/>
    <x v="6"/>
    <s v="casual"/>
    <x v="2"/>
    <s v="Brown"/>
    <s v="Nike"/>
    <x v="0"/>
    <x v="4"/>
    <n v="14"/>
    <x v="0"/>
    <n v="112"/>
    <n v="112"/>
    <n v="64"/>
    <n v="1568"/>
    <n v="896"/>
    <n v="672"/>
    <n v="0.42857142857142855"/>
    <m/>
    <x v="1"/>
  </r>
  <r>
    <x v="114"/>
    <s v="SLIPPERS"/>
    <x v="7"/>
    <s v="Formal"/>
    <x v="0"/>
    <s v="Brown"/>
    <s v="ZARA"/>
    <x v="3"/>
    <x v="4"/>
    <n v="4"/>
    <x v="2"/>
    <n v="119"/>
    <n v="119"/>
    <n v="67"/>
    <n v="476"/>
    <n v="268"/>
    <n v="208"/>
    <n v="0.43697478991596639"/>
    <m/>
    <x v="3"/>
  </r>
  <r>
    <x v="65"/>
    <s v="boots"/>
    <x v="3"/>
    <s v="Formal"/>
    <x v="0"/>
    <s v="Blue"/>
    <s v="clarks"/>
    <x v="1"/>
    <x v="7"/>
    <n v="5"/>
    <x v="1"/>
    <n v="76"/>
    <n v="76"/>
    <n v="39"/>
    <n v="380"/>
    <n v="195"/>
    <n v="185"/>
    <n v="0.48684210526315791"/>
    <m/>
    <x v="0"/>
  </r>
  <r>
    <x v="32"/>
    <s v="Canvas"/>
    <x v="4"/>
    <s v="Formal"/>
    <x v="0"/>
    <s v="Brown"/>
    <s v="clarks"/>
    <x v="1"/>
    <x v="1"/>
    <n v="5"/>
    <x v="3"/>
    <n v="128"/>
    <n v="128"/>
    <n v="72"/>
    <n v="640"/>
    <n v="360"/>
    <n v="280"/>
    <n v="0.4375"/>
    <m/>
    <x v="2"/>
  </r>
  <r>
    <x v="29"/>
    <s v="Derby"/>
    <x v="2"/>
    <s v="Formal"/>
    <x v="0"/>
    <s v="Green"/>
    <s v="ZARA"/>
    <x v="3"/>
    <x v="5"/>
    <n v="15"/>
    <x v="0"/>
    <n v="32"/>
    <n v="32"/>
    <n v="14"/>
    <n v="480"/>
    <n v="210"/>
    <n v="270"/>
    <n v="0.5625"/>
    <m/>
    <x v="1"/>
  </r>
  <r>
    <x v="54"/>
    <s v="boots"/>
    <x v="3"/>
    <s v="Formal"/>
    <x v="0"/>
    <s v="Brown"/>
    <s v="clarks"/>
    <x v="1"/>
    <x v="5"/>
    <n v="14"/>
    <x v="1"/>
    <n v="76"/>
    <n v="76"/>
    <n v="39"/>
    <n v="1064"/>
    <n v="546"/>
    <n v="518"/>
    <n v="0.48684210526315791"/>
    <m/>
    <x v="1"/>
  </r>
  <r>
    <x v="112"/>
    <s v="loafers"/>
    <x v="1"/>
    <s v="OPEN"/>
    <x v="3"/>
    <s v="Blue"/>
    <s v="timberland"/>
    <x v="2"/>
    <x v="0"/>
    <n v="6"/>
    <x v="3"/>
    <n v="54"/>
    <n v="54"/>
    <n v="28"/>
    <n v="324"/>
    <n v="168"/>
    <n v="156"/>
    <n v="0.48148148148148145"/>
    <m/>
    <x v="3"/>
  </r>
  <r>
    <x v="84"/>
    <s v="Derby"/>
    <x v="2"/>
    <s v="casual"/>
    <x v="2"/>
    <s v="Brown"/>
    <s v="ZARA"/>
    <x v="3"/>
    <x v="11"/>
    <n v="12"/>
    <x v="2"/>
    <n v="32"/>
    <n v="32"/>
    <n v="14"/>
    <n v="384"/>
    <n v="168"/>
    <n v="216"/>
    <n v="0.5625"/>
    <m/>
    <x v="2"/>
  </r>
  <r>
    <x v="139"/>
    <s v="SLIPPERS"/>
    <x v="7"/>
    <s v="casual"/>
    <x v="2"/>
    <s v="Black"/>
    <s v="clarks"/>
    <x v="1"/>
    <x v="5"/>
    <n v="9"/>
    <x v="2"/>
    <n v="119"/>
    <n v="119"/>
    <n v="67"/>
    <n v="1071"/>
    <n v="603"/>
    <n v="468"/>
    <n v="0.43697478991596639"/>
    <m/>
    <x v="5"/>
  </r>
  <r>
    <x v="140"/>
    <s v="boots"/>
    <x v="3"/>
    <s v="UTILITY"/>
    <x v="1"/>
    <s v="Red"/>
    <s v="ZARA"/>
    <x v="3"/>
    <x v="8"/>
    <n v="7"/>
    <x v="1"/>
    <n v="76"/>
    <n v="76"/>
    <n v="39"/>
    <n v="532"/>
    <n v="273"/>
    <n v="259"/>
    <n v="0.48684210526315791"/>
    <m/>
    <x v="0"/>
  </r>
  <r>
    <x v="141"/>
    <s v="BROGUES"/>
    <x v="6"/>
    <s v="casual"/>
    <x v="2"/>
    <s v="Blue"/>
    <s v="ZARA"/>
    <x v="3"/>
    <x v="10"/>
    <n v="13"/>
    <x v="2"/>
    <n v="112"/>
    <n v="112"/>
    <n v="64"/>
    <n v="1456"/>
    <n v="832"/>
    <n v="624"/>
    <n v="0.42857142857142855"/>
    <m/>
    <x v="7"/>
  </r>
  <r>
    <x v="18"/>
    <s v="monk straps"/>
    <x v="0"/>
    <s v="UTILITY"/>
    <x v="1"/>
    <s v="Red"/>
    <s v="clarks"/>
    <x v="1"/>
    <x v="5"/>
    <n v="8"/>
    <x v="0"/>
    <n v="89"/>
    <n v="89"/>
    <n v="47"/>
    <n v="712"/>
    <n v="376"/>
    <n v="336"/>
    <n v="0.47191011235955055"/>
    <m/>
    <x v="0"/>
  </r>
  <r>
    <x v="70"/>
    <s v="loafers"/>
    <x v="1"/>
    <s v="Formal"/>
    <x v="0"/>
    <s v="Black"/>
    <s v="Nike"/>
    <x v="0"/>
    <x v="3"/>
    <n v="6"/>
    <x v="2"/>
    <n v="54"/>
    <n v="54"/>
    <n v="28"/>
    <n v="324"/>
    <n v="168"/>
    <n v="156"/>
    <n v="0.48148148148148145"/>
    <m/>
    <x v="5"/>
  </r>
  <r>
    <x v="142"/>
    <s v="OXFORD"/>
    <x v="5"/>
    <s v="Formal"/>
    <x v="0"/>
    <s v="Green"/>
    <s v="Nike"/>
    <x v="0"/>
    <x v="5"/>
    <n v="13"/>
    <x v="0"/>
    <n v="105"/>
    <n v="105"/>
    <n v="58"/>
    <n v="1365"/>
    <n v="754"/>
    <n v="611"/>
    <n v="0.44761904761904764"/>
    <m/>
    <x v="2"/>
  </r>
  <r>
    <x v="79"/>
    <s v="boots"/>
    <x v="3"/>
    <s v="Formal"/>
    <x v="0"/>
    <s v="Green"/>
    <s v="ZARA"/>
    <x v="3"/>
    <x v="5"/>
    <n v="7"/>
    <x v="0"/>
    <n v="76"/>
    <n v="76"/>
    <n v="39"/>
    <n v="532"/>
    <n v="273"/>
    <n v="259"/>
    <n v="0.48684210526315791"/>
    <m/>
    <x v="1"/>
  </r>
  <r>
    <x v="104"/>
    <s v="OXFORD"/>
    <x v="5"/>
    <s v="OPEN"/>
    <x v="3"/>
    <s v="Green"/>
    <s v="Nike"/>
    <x v="0"/>
    <x v="4"/>
    <n v="9"/>
    <x v="0"/>
    <n v="105"/>
    <n v="105"/>
    <n v="58"/>
    <n v="945"/>
    <n v="522"/>
    <n v="423"/>
    <n v="0.44761904761904764"/>
    <m/>
    <x v="6"/>
  </r>
  <r>
    <x v="143"/>
    <s v="Derby"/>
    <x v="2"/>
    <s v="UTILITY"/>
    <x v="1"/>
    <s v="Brown"/>
    <s v="Steve Madden"/>
    <x v="4"/>
    <x v="2"/>
    <n v="3"/>
    <x v="0"/>
    <n v="32"/>
    <n v="32"/>
    <n v="14"/>
    <n v="96"/>
    <n v="42"/>
    <n v="54"/>
    <n v="0.5625"/>
    <m/>
    <x v="3"/>
  </r>
  <r>
    <x v="144"/>
    <s v="monk straps"/>
    <x v="0"/>
    <s v="OPEN"/>
    <x v="3"/>
    <s v="Green"/>
    <s v="timberland"/>
    <x v="2"/>
    <x v="3"/>
    <n v="11"/>
    <x v="3"/>
    <n v="89"/>
    <n v="89"/>
    <n v="47"/>
    <n v="979"/>
    <n v="517"/>
    <n v="462"/>
    <n v="0.47191011235955055"/>
    <m/>
    <x v="1"/>
  </r>
  <r>
    <x v="43"/>
    <s v="Canvas"/>
    <x v="4"/>
    <s v="casual"/>
    <x v="2"/>
    <s v="Green"/>
    <s v="clarks"/>
    <x v="1"/>
    <x v="8"/>
    <n v="15"/>
    <x v="2"/>
    <n v="128"/>
    <n v="128"/>
    <n v="72"/>
    <n v="1920"/>
    <n v="1080"/>
    <n v="840"/>
    <n v="0.4375"/>
    <m/>
    <x v="1"/>
  </r>
  <r>
    <x v="145"/>
    <s v="monk straps"/>
    <x v="0"/>
    <s v="Formal"/>
    <x v="0"/>
    <s v="Green"/>
    <s v="ZARA"/>
    <x v="3"/>
    <x v="3"/>
    <n v="9"/>
    <x v="1"/>
    <n v="89"/>
    <n v="89"/>
    <n v="47"/>
    <n v="801"/>
    <n v="423"/>
    <n v="378"/>
    <n v="0.47191011235955055"/>
    <m/>
    <x v="0"/>
  </r>
  <r>
    <x v="30"/>
    <s v="monk straps"/>
    <x v="0"/>
    <s v="Formal"/>
    <x v="0"/>
    <s v="Red"/>
    <s v="Steve Madden"/>
    <x v="4"/>
    <x v="5"/>
    <n v="1"/>
    <x v="3"/>
    <n v="89"/>
    <n v="89"/>
    <n v="47"/>
    <n v="89"/>
    <n v="47"/>
    <n v="42"/>
    <n v="0.47191011235955055"/>
    <m/>
    <x v="6"/>
  </r>
  <r>
    <x v="146"/>
    <s v="Canvas"/>
    <x v="4"/>
    <s v="Formal"/>
    <x v="0"/>
    <s v="Blue"/>
    <s v="Nike"/>
    <x v="0"/>
    <x v="8"/>
    <n v="1"/>
    <x v="0"/>
    <n v="128"/>
    <n v="128"/>
    <n v="72"/>
    <n v="128"/>
    <n v="72"/>
    <n v="56"/>
    <n v="0.4375"/>
    <m/>
    <x v="0"/>
  </r>
  <r>
    <x v="147"/>
    <s v="OXFORD"/>
    <x v="5"/>
    <s v="UTILITY"/>
    <x v="1"/>
    <s v="Brown"/>
    <s v="Steve Madden"/>
    <x v="4"/>
    <x v="10"/>
    <n v="7"/>
    <x v="2"/>
    <n v="105"/>
    <n v="105"/>
    <n v="58"/>
    <n v="735"/>
    <n v="406"/>
    <n v="329"/>
    <n v="0.44761904761904764"/>
    <m/>
    <x v="7"/>
  </r>
  <r>
    <x v="148"/>
    <s v="monk straps"/>
    <x v="0"/>
    <s v="Formal"/>
    <x v="0"/>
    <s v="Blue"/>
    <s v="clarks"/>
    <x v="1"/>
    <x v="0"/>
    <n v="13"/>
    <x v="1"/>
    <n v="89"/>
    <n v="89"/>
    <n v="47"/>
    <n v="1157"/>
    <n v="611"/>
    <n v="546"/>
    <n v="0.47191011235955055"/>
    <m/>
    <x v="3"/>
  </r>
  <r>
    <x v="46"/>
    <s v="OXFORD"/>
    <x v="5"/>
    <s v="Formal"/>
    <x v="0"/>
    <s v="Blue"/>
    <s v="clarks"/>
    <x v="1"/>
    <x v="4"/>
    <n v="15"/>
    <x v="1"/>
    <n v="105"/>
    <n v="105"/>
    <n v="58"/>
    <n v="1575"/>
    <n v="870"/>
    <n v="705"/>
    <n v="0.44761904761904764"/>
    <m/>
    <x v="7"/>
  </r>
  <r>
    <x v="25"/>
    <s v="OXFORD"/>
    <x v="5"/>
    <s v="Formal"/>
    <x v="0"/>
    <s v="Brown"/>
    <s v="ZARA"/>
    <x v="3"/>
    <x v="2"/>
    <n v="9"/>
    <x v="3"/>
    <n v="105"/>
    <n v="105"/>
    <n v="58"/>
    <n v="945"/>
    <n v="522"/>
    <n v="423"/>
    <n v="0.44761904761904764"/>
    <m/>
    <x v="4"/>
  </r>
  <r>
    <x v="106"/>
    <s v="monk straps"/>
    <x v="0"/>
    <s v="UTILITY"/>
    <x v="1"/>
    <s v="Blue"/>
    <s v="clarks"/>
    <x v="1"/>
    <x v="6"/>
    <n v="15"/>
    <x v="2"/>
    <n v="89"/>
    <n v="89"/>
    <n v="47"/>
    <n v="1335"/>
    <n v="705"/>
    <n v="630"/>
    <n v="0.47191011235955055"/>
    <m/>
    <x v="7"/>
  </r>
  <r>
    <x v="149"/>
    <s v="Derby"/>
    <x v="2"/>
    <s v="Formal"/>
    <x v="0"/>
    <s v="Green"/>
    <s v="ZARA"/>
    <x v="3"/>
    <x v="12"/>
    <n v="15"/>
    <x v="0"/>
    <n v="32"/>
    <n v="32"/>
    <n v="14"/>
    <n v="480"/>
    <n v="210"/>
    <n v="270"/>
    <n v="0.5625"/>
    <m/>
    <x v="5"/>
  </r>
  <r>
    <x v="150"/>
    <s v="SLIPPERS"/>
    <x v="7"/>
    <s v="Formal"/>
    <x v="0"/>
    <s v="Blue"/>
    <s v="ZARA"/>
    <x v="3"/>
    <x v="8"/>
    <n v="13"/>
    <x v="3"/>
    <n v="119"/>
    <n v="119"/>
    <n v="67"/>
    <n v="1547"/>
    <n v="871"/>
    <n v="676"/>
    <n v="0.43697478991596639"/>
    <m/>
    <x v="4"/>
  </r>
  <r>
    <x v="64"/>
    <s v="Derby"/>
    <x v="2"/>
    <s v="OPEN"/>
    <x v="3"/>
    <s v="Red"/>
    <s v="clarks"/>
    <x v="1"/>
    <x v="1"/>
    <n v="6"/>
    <x v="0"/>
    <n v="32"/>
    <n v="32"/>
    <n v="14"/>
    <n v="192"/>
    <n v="84"/>
    <n v="108"/>
    <n v="0.5625"/>
    <m/>
    <x v="7"/>
  </r>
  <r>
    <x v="70"/>
    <s v="monk straps"/>
    <x v="0"/>
    <s v="OPEN"/>
    <x v="3"/>
    <s v="Brown"/>
    <s v="timberland"/>
    <x v="2"/>
    <x v="5"/>
    <n v="6"/>
    <x v="3"/>
    <n v="89"/>
    <n v="89"/>
    <n v="47"/>
    <n v="534"/>
    <n v="282"/>
    <n v="252"/>
    <n v="0.47191011235955055"/>
    <m/>
    <x v="5"/>
  </r>
  <r>
    <x v="151"/>
    <s v="boots"/>
    <x v="3"/>
    <s v="Formal"/>
    <x v="0"/>
    <s v="Red"/>
    <s v="clarks"/>
    <x v="1"/>
    <x v="7"/>
    <n v="10"/>
    <x v="1"/>
    <n v="76"/>
    <n v="76"/>
    <n v="39"/>
    <n v="760"/>
    <n v="390"/>
    <n v="370"/>
    <n v="0.48684210526315791"/>
    <m/>
    <x v="1"/>
  </r>
  <r>
    <x v="93"/>
    <s v="Derby"/>
    <x v="2"/>
    <s v="OPEN"/>
    <x v="3"/>
    <s v="Green"/>
    <s v="clarks"/>
    <x v="1"/>
    <x v="9"/>
    <n v="4"/>
    <x v="3"/>
    <n v="32"/>
    <n v="32"/>
    <n v="14"/>
    <n v="128"/>
    <n v="56"/>
    <n v="72"/>
    <n v="0.5625"/>
    <m/>
    <x v="1"/>
  </r>
  <r>
    <x v="152"/>
    <s v="Derby"/>
    <x v="2"/>
    <s v="OPEN"/>
    <x v="3"/>
    <s v="Brown"/>
    <s v="Nike"/>
    <x v="0"/>
    <x v="12"/>
    <n v="7"/>
    <x v="3"/>
    <n v="32"/>
    <n v="32"/>
    <n v="14"/>
    <n v="224"/>
    <n v="98"/>
    <n v="126"/>
    <n v="0.5625"/>
    <m/>
    <x v="2"/>
  </r>
  <r>
    <x v="153"/>
    <s v="OXFORD"/>
    <x v="5"/>
    <s v="OPEN"/>
    <x v="3"/>
    <s v="Blue"/>
    <s v="clarks"/>
    <x v="1"/>
    <x v="5"/>
    <n v="10"/>
    <x v="1"/>
    <n v="105"/>
    <n v="105"/>
    <n v="58"/>
    <n v="1050"/>
    <n v="580"/>
    <n v="470"/>
    <n v="0.44761904761904764"/>
    <m/>
    <x v="0"/>
  </r>
  <r>
    <x v="141"/>
    <s v="Derby"/>
    <x v="2"/>
    <s v="Formal"/>
    <x v="0"/>
    <s v="Red"/>
    <s v="timberland"/>
    <x v="2"/>
    <x v="3"/>
    <n v="10"/>
    <x v="1"/>
    <n v="32"/>
    <n v="32"/>
    <n v="14"/>
    <n v="320"/>
    <n v="140"/>
    <n v="180"/>
    <n v="0.5625"/>
    <m/>
    <x v="7"/>
  </r>
  <r>
    <x v="149"/>
    <s v="loafers"/>
    <x v="1"/>
    <s v="Formal"/>
    <x v="0"/>
    <s v="Brown"/>
    <s v="clarks"/>
    <x v="1"/>
    <x v="1"/>
    <n v="15"/>
    <x v="3"/>
    <n v="54"/>
    <n v="54"/>
    <n v="28"/>
    <n v="810"/>
    <n v="420"/>
    <n v="390"/>
    <n v="0.48148148148148145"/>
    <m/>
    <x v="5"/>
  </r>
  <r>
    <x v="38"/>
    <s v="loafers"/>
    <x v="1"/>
    <s v="OPEN"/>
    <x v="3"/>
    <s v="Green"/>
    <s v="ZARA"/>
    <x v="3"/>
    <x v="2"/>
    <n v="1"/>
    <x v="1"/>
    <n v="54"/>
    <n v="54"/>
    <n v="28"/>
    <n v="54"/>
    <n v="28"/>
    <n v="26"/>
    <n v="0.48148148148148145"/>
    <m/>
    <x v="3"/>
  </r>
  <r>
    <x v="121"/>
    <s v="Canvas"/>
    <x v="4"/>
    <s v="OPEN"/>
    <x v="3"/>
    <s v="Black"/>
    <s v="timberland"/>
    <x v="2"/>
    <x v="0"/>
    <n v="2"/>
    <x v="2"/>
    <n v="128"/>
    <n v="128"/>
    <n v="72"/>
    <n v="256"/>
    <n v="144"/>
    <n v="112"/>
    <n v="0.4375"/>
    <m/>
    <x v="4"/>
  </r>
  <r>
    <x v="154"/>
    <s v="OXFORD"/>
    <x v="5"/>
    <s v="OPEN"/>
    <x v="3"/>
    <s v="Blue"/>
    <s v="ZARA"/>
    <x v="3"/>
    <x v="11"/>
    <n v="12"/>
    <x v="2"/>
    <n v="105"/>
    <n v="105"/>
    <n v="58"/>
    <n v="1260"/>
    <n v="696"/>
    <n v="564"/>
    <n v="0.44761904761904764"/>
    <m/>
    <x v="6"/>
  </r>
  <r>
    <x v="155"/>
    <s v="loafers"/>
    <x v="1"/>
    <s v="Formal"/>
    <x v="0"/>
    <s v="Brown"/>
    <s v="Nike"/>
    <x v="0"/>
    <x v="7"/>
    <n v="15"/>
    <x v="0"/>
    <n v="54"/>
    <n v="54"/>
    <n v="28"/>
    <n v="810"/>
    <n v="420"/>
    <n v="390"/>
    <n v="0.48148148148148145"/>
    <m/>
    <x v="1"/>
  </r>
  <r>
    <x v="93"/>
    <s v="Derby"/>
    <x v="2"/>
    <s v="Formal"/>
    <x v="0"/>
    <s v="Blue"/>
    <s v="timberland"/>
    <x v="2"/>
    <x v="7"/>
    <n v="13"/>
    <x v="3"/>
    <n v="32"/>
    <n v="32"/>
    <n v="14"/>
    <n v="416"/>
    <n v="182"/>
    <n v="234"/>
    <n v="0.5625"/>
    <m/>
    <x v="1"/>
  </r>
  <r>
    <x v="42"/>
    <s v="SLIPPERS"/>
    <x v="7"/>
    <s v="OPEN"/>
    <x v="3"/>
    <s v="Green"/>
    <s v="clarks"/>
    <x v="1"/>
    <x v="0"/>
    <n v="3"/>
    <x v="2"/>
    <n v="119"/>
    <n v="119"/>
    <n v="67"/>
    <n v="357"/>
    <n v="201"/>
    <n v="156"/>
    <n v="0.43697478991596639"/>
    <m/>
    <x v="4"/>
  </r>
  <r>
    <x v="156"/>
    <s v="monk straps"/>
    <x v="0"/>
    <s v="Formal"/>
    <x v="0"/>
    <s v="Blue"/>
    <s v="timberland"/>
    <x v="2"/>
    <x v="12"/>
    <n v="3"/>
    <x v="2"/>
    <n v="89"/>
    <n v="89"/>
    <n v="47"/>
    <n v="267"/>
    <n v="141"/>
    <n v="126"/>
    <n v="0.47191011235955055"/>
    <m/>
    <x v="2"/>
  </r>
  <r>
    <x v="11"/>
    <s v="SLIPPERS"/>
    <x v="7"/>
    <s v="Formal"/>
    <x v="0"/>
    <s v="Red"/>
    <s v="clarks"/>
    <x v="1"/>
    <x v="4"/>
    <n v="12"/>
    <x v="3"/>
    <n v="119"/>
    <n v="119"/>
    <n v="67"/>
    <n v="1428"/>
    <n v="804"/>
    <n v="624"/>
    <n v="0.43697478991596639"/>
    <m/>
    <x v="4"/>
  </r>
  <r>
    <x v="1"/>
    <s v="Canvas"/>
    <x v="4"/>
    <s v="Formal"/>
    <x v="0"/>
    <s v="Blue"/>
    <s v="ZARA"/>
    <x v="3"/>
    <x v="1"/>
    <n v="8"/>
    <x v="2"/>
    <n v="128"/>
    <n v="128"/>
    <n v="72"/>
    <n v="1024"/>
    <n v="576"/>
    <n v="448"/>
    <n v="0.4375"/>
    <m/>
    <x v="1"/>
  </r>
  <r>
    <x v="31"/>
    <s v="BROGUES"/>
    <x v="6"/>
    <s v="OPEN"/>
    <x v="3"/>
    <s v="Blue"/>
    <s v="timberland"/>
    <x v="2"/>
    <x v="12"/>
    <n v="4"/>
    <x v="0"/>
    <n v="112"/>
    <n v="112"/>
    <n v="64"/>
    <n v="448"/>
    <n v="256"/>
    <n v="192"/>
    <n v="0.42857142857142855"/>
    <m/>
    <x v="4"/>
  </r>
  <r>
    <x v="24"/>
    <s v="Derby"/>
    <x v="2"/>
    <s v="casual"/>
    <x v="2"/>
    <s v="Green"/>
    <s v="clarks"/>
    <x v="1"/>
    <x v="8"/>
    <n v="9"/>
    <x v="1"/>
    <n v="32"/>
    <n v="32"/>
    <n v="14"/>
    <n v="288"/>
    <n v="126"/>
    <n v="162"/>
    <n v="0.5625"/>
    <m/>
    <x v="4"/>
  </r>
  <r>
    <x v="13"/>
    <s v="Canvas"/>
    <x v="4"/>
    <s v="Formal"/>
    <x v="0"/>
    <s v="Black"/>
    <s v="clarks"/>
    <x v="1"/>
    <x v="1"/>
    <n v="7"/>
    <x v="2"/>
    <n v="128"/>
    <n v="128"/>
    <n v="72"/>
    <n v="896"/>
    <n v="504"/>
    <n v="392"/>
    <n v="0.4375"/>
    <m/>
    <x v="5"/>
  </r>
  <r>
    <x v="63"/>
    <s v="Canvas"/>
    <x v="4"/>
    <s v="Formal"/>
    <x v="0"/>
    <s v="Brown"/>
    <s v="clarks"/>
    <x v="1"/>
    <x v="4"/>
    <n v="8"/>
    <x v="0"/>
    <n v="128"/>
    <n v="128"/>
    <n v="72"/>
    <n v="1024"/>
    <n v="576"/>
    <n v="448"/>
    <n v="0.4375"/>
    <m/>
    <x v="1"/>
  </r>
  <r>
    <x v="157"/>
    <s v="BROGUES"/>
    <x v="6"/>
    <s v="Formal"/>
    <x v="0"/>
    <s v="Brown"/>
    <s v="clarks"/>
    <x v="1"/>
    <x v="13"/>
    <n v="6"/>
    <x v="0"/>
    <n v="112"/>
    <n v="112"/>
    <n v="64"/>
    <n v="672"/>
    <n v="384"/>
    <n v="288"/>
    <n v="0.42857142857142855"/>
    <m/>
    <x v="0"/>
  </r>
  <r>
    <x v="158"/>
    <s v="Canvas"/>
    <x v="4"/>
    <s v="Formal"/>
    <x v="0"/>
    <s v="Black"/>
    <s v="clarks"/>
    <x v="1"/>
    <x v="2"/>
    <n v="3"/>
    <x v="0"/>
    <n v="128"/>
    <n v="128"/>
    <n v="72"/>
    <n v="384"/>
    <n v="216"/>
    <n v="168"/>
    <n v="0.4375"/>
    <m/>
    <x v="7"/>
  </r>
  <r>
    <x v="159"/>
    <s v="OXFORD"/>
    <x v="5"/>
    <s v="UTILITY"/>
    <x v="1"/>
    <s v="Red"/>
    <s v="clarks"/>
    <x v="1"/>
    <x v="5"/>
    <n v="3"/>
    <x v="2"/>
    <n v="105"/>
    <n v="105"/>
    <n v="58"/>
    <n v="315"/>
    <n v="174"/>
    <n v="141"/>
    <n v="0.44761904761904764"/>
    <m/>
    <x v="4"/>
  </r>
  <r>
    <x v="160"/>
    <s v="Canvas"/>
    <x v="4"/>
    <s v="Formal"/>
    <x v="0"/>
    <s v="Red"/>
    <s v="clarks"/>
    <x v="1"/>
    <x v="12"/>
    <n v="7"/>
    <x v="0"/>
    <n v="128"/>
    <n v="128"/>
    <n v="72"/>
    <n v="896"/>
    <n v="504"/>
    <n v="392"/>
    <n v="0.4375"/>
    <m/>
    <x v="5"/>
  </r>
  <r>
    <x v="15"/>
    <s v="SLIPPERS"/>
    <x v="7"/>
    <s v="Formal"/>
    <x v="0"/>
    <s v="Blue"/>
    <s v="clarks"/>
    <x v="1"/>
    <x v="12"/>
    <n v="5"/>
    <x v="3"/>
    <n v="119"/>
    <n v="119"/>
    <n v="67"/>
    <n v="595"/>
    <n v="335"/>
    <n v="260"/>
    <n v="0.43697478991596639"/>
    <m/>
    <x v="3"/>
  </r>
  <r>
    <x v="92"/>
    <s v="SLIPPERS"/>
    <x v="7"/>
    <s v="casual"/>
    <x v="2"/>
    <s v="Red"/>
    <s v="clarks"/>
    <x v="1"/>
    <x v="9"/>
    <n v="3"/>
    <x v="1"/>
    <n v="119"/>
    <n v="119"/>
    <n v="67"/>
    <n v="357"/>
    <n v="201"/>
    <n v="156"/>
    <n v="0.43697478991596639"/>
    <m/>
    <x v="5"/>
  </r>
  <r>
    <x v="161"/>
    <s v="OXFORD"/>
    <x v="5"/>
    <s v="OPEN"/>
    <x v="3"/>
    <s v="Red"/>
    <s v="clarks"/>
    <x v="1"/>
    <x v="0"/>
    <n v="12"/>
    <x v="1"/>
    <n v="105"/>
    <n v="105"/>
    <n v="58"/>
    <n v="1260"/>
    <n v="696"/>
    <n v="564"/>
    <n v="0.44761904761904764"/>
    <m/>
    <x v="3"/>
  </r>
  <r>
    <x v="87"/>
    <s v="Derby"/>
    <x v="2"/>
    <s v="Formal"/>
    <x v="0"/>
    <s v="Blue"/>
    <s v="clarks"/>
    <x v="1"/>
    <x v="3"/>
    <n v="9"/>
    <x v="1"/>
    <n v="32"/>
    <n v="32"/>
    <n v="14"/>
    <n v="288"/>
    <n v="126"/>
    <n v="162"/>
    <n v="0.5625"/>
    <m/>
    <x v="1"/>
  </r>
  <r>
    <x v="57"/>
    <s v="SLIPPERS"/>
    <x v="7"/>
    <s v="Formal"/>
    <x v="0"/>
    <s v="Red"/>
    <s v="clarks"/>
    <x v="1"/>
    <x v="6"/>
    <n v="3"/>
    <x v="3"/>
    <n v="119"/>
    <n v="119"/>
    <n v="67"/>
    <n v="357"/>
    <n v="201"/>
    <n v="156"/>
    <n v="0.43697478991596639"/>
    <m/>
    <x v="3"/>
  </r>
  <r>
    <x v="58"/>
    <s v="OXFORD"/>
    <x v="5"/>
    <s v="Formal"/>
    <x v="0"/>
    <s v="Red"/>
    <s v="Nike"/>
    <x v="0"/>
    <x v="4"/>
    <n v="9"/>
    <x v="0"/>
    <n v="105"/>
    <n v="105"/>
    <n v="58"/>
    <n v="945"/>
    <n v="522"/>
    <n v="423"/>
    <n v="0.44761904761904764"/>
    <m/>
    <x v="5"/>
  </r>
  <r>
    <x v="34"/>
    <s v="BROGUES"/>
    <x v="6"/>
    <s v="Formal"/>
    <x v="0"/>
    <s v="Blue"/>
    <s v="ZARA"/>
    <x v="3"/>
    <x v="3"/>
    <n v="2"/>
    <x v="1"/>
    <n v="112"/>
    <n v="112"/>
    <n v="64"/>
    <n v="224"/>
    <n v="128"/>
    <n v="96"/>
    <n v="0.42857142857142855"/>
    <m/>
    <x v="4"/>
  </r>
  <r>
    <x v="9"/>
    <s v="boots"/>
    <x v="3"/>
    <s v="casual"/>
    <x v="2"/>
    <s v="Blue"/>
    <s v="Nike"/>
    <x v="0"/>
    <x v="11"/>
    <n v="6"/>
    <x v="0"/>
    <n v="76"/>
    <n v="76"/>
    <n v="39"/>
    <n v="456"/>
    <n v="234"/>
    <n v="222"/>
    <n v="0.48684210526315791"/>
    <m/>
    <x v="1"/>
  </r>
  <r>
    <x v="25"/>
    <s v="OXFORD"/>
    <x v="5"/>
    <s v="Formal"/>
    <x v="0"/>
    <s v="Black"/>
    <s v="timberland"/>
    <x v="2"/>
    <x v="13"/>
    <n v="14"/>
    <x v="1"/>
    <n v="105"/>
    <n v="105"/>
    <n v="58"/>
    <n v="1470"/>
    <n v="812"/>
    <n v="658"/>
    <n v="0.44761904761904764"/>
    <m/>
    <x v="4"/>
  </r>
  <r>
    <x v="137"/>
    <s v="loafers"/>
    <x v="1"/>
    <s v="Formal"/>
    <x v="0"/>
    <s v="Red"/>
    <s v="ZARA"/>
    <x v="3"/>
    <x v="11"/>
    <n v="7"/>
    <x v="2"/>
    <n v="54"/>
    <n v="54"/>
    <n v="28"/>
    <n v="378"/>
    <n v="196"/>
    <n v="182"/>
    <n v="0.48148148148148145"/>
    <m/>
    <x v="5"/>
  </r>
  <r>
    <x v="162"/>
    <s v="boots"/>
    <x v="3"/>
    <s v="OPEN"/>
    <x v="3"/>
    <s v="Red"/>
    <s v="ZARA"/>
    <x v="3"/>
    <x v="12"/>
    <n v="8"/>
    <x v="3"/>
    <n v="76"/>
    <n v="76"/>
    <n v="39"/>
    <n v="608"/>
    <n v="312"/>
    <n v="296"/>
    <n v="0.48684210526315791"/>
    <m/>
    <x v="7"/>
  </r>
  <r>
    <x v="18"/>
    <s v="Derby"/>
    <x v="2"/>
    <s v="casual"/>
    <x v="2"/>
    <s v="Red"/>
    <s v="ZARA"/>
    <x v="3"/>
    <x v="3"/>
    <n v="1"/>
    <x v="3"/>
    <n v="32"/>
    <n v="32"/>
    <n v="14"/>
    <n v="32"/>
    <n v="14"/>
    <n v="18"/>
    <n v="0.5625"/>
    <m/>
    <x v="0"/>
  </r>
  <r>
    <x v="27"/>
    <s v="loafers"/>
    <x v="1"/>
    <s v="Formal"/>
    <x v="0"/>
    <s v="Red"/>
    <s v="clarks"/>
    <x v="1"/>
    <x v="8"/>
    <n v="9"/>
    <x v="0"/>
    <n v="54"/>
    <n v="54"/>
    <n v="28"/>
    <n v="486"/>
    <n v="252"/>
    <n v="234"/>
    <n v="0.48148148148148145"/>
    <m/>
    <x v="7"/>
  </r>
  <r>
    <x v="100"/>
    <s v="Derby"/>
    <x v="2"/>
    <s v="casual"/>
    <x v="2"/>
    <s v="Red"/>
    <s v="ZARA"/>
    <x v="3"/>
    <x v="8"/>
    <n v="1"/>
    <x v="2"/>
    <n v="32"/>
    <n v="32"/>
    <n v="14"/>
    <n v="32"/>
    <n v="14"/>
    <n v="18"/>
    <n v="0.5625"/>
    <m/>
    <x v="0"/>
  </r>
  <r>
    <x v="30"/>
    <s v="loafers"/>
    <x v="1"/>
    <s v="Formal"/>
    <x v="0"/>
    <s v="Red"/>
    <s v="Nike"/>
    <x v="0"/>
    <x v="7"/>
    <n v="14"/>
    <x v="2"/>
    <n v="54"/>
    <n v="54"/>
    <n v="28"/>
    <n v="756"/>
    <n v="392"/>
    <n v="364"/>
    <n v="0.48148148148148145"/>
    <m/>
    <x v="6"/>
  </r>
  <r>
    <x v="49"/>
    <s v="SLIPPERS"/>
    <x v="7"/>
    <s v="casual"/>
    <x v="2"/>
    <s v="Brown"/>
    <s v="timberland"/>
    <x v="2"/>
    <x v="4"/>
    <n v="7"/>
    <x v="1"/>
    <n v="119"/>
    <n v="119"/>
    <n v="67"/>
    <n v="833"/>
    <n v="469"/>
    <n v="364"/>
    <n v="0.43697478991596639"/>
    <m/>
    <x v="1"/>
  </r>
  <r>
    <x v="163"/>
    <s v="boots"/>
    <x v="3"/>
    <s v="UTILITY"/>
    <x v="1"/>
    <s v="Black"/>
    <s v="clarks"/>
    <x v="1"/>
    <x v="2"/>
    <n v="6"/>
    <x v="0"/>
    <n v="76"/>
    <n v="76"/>
    <n v="39"/>
    <n v="456"/>
    <n v="234"/>
    <n v="222"/>
    <n v="0.48684210526315791"/>
    <m/>
    <x v="7"/>
  </r>
  <r>
    <x v="164"/>
    <s v="loafers"/>
    <x v="1"/>
    <s v="OPEN"/>
    <x v="3"/>
    <s v="Red"/>
    <s v="clarks"/>
    <x v="1"/>
    <x v="10"/>
    <n v="6"/>
    <x v="1"/>
    <n v="54"/>
    <n v="54"/>
    <n v="28"/>
    <n v="324"/>
    <n v="168"/>
    <n v="156"/>
    <n v="0.48148148148148145"/>
    <m/>
    <x v="1"/>
  </r>
  <r>
    <x v="0"/>
    <s v="OXFORD"/>
    <x v="5"/>
    <s v="casual"/>
    <x v="2"/>
    <s v="Red"/>
    <s v="clarks"/>
    <x v="1"/>
    <x v="10"/>
    <n v="4"/>
    <x v="0"/>
    <n v="105"/>
    <n v="105"/>
    <n v="58"/>
    <n v="420"/>
    <n v="232"/>
    <n v="188"/>
    <n v="0.44761904761904764"/>
    <m/>
    <x v="0"/>
  </r>
  <r>
    <x v="43"/>
    <s v="monk straps"/>
    <x v="0"/>
    <s v="UTILITY"/>
    <x v="1"/>
    <s v="Blue"/>
    <s v="Steve Madden"/>
    <x v="4"/>
    <x v="8"/>
    <n v="12"/>
    <x v="2"/>
    <n v="89"/>
    <n v="89"/>
    <n v="47"/>
    <n v="1068"/>
    <n v="564"/>
    <n v="504"/>
    <n v="0.47191011235955055"/>
    <m/>
    <x v="1"/>
  </r>
  <r>
    <x v="99"/>
    <s v="boots"/>
    <x v="3"/>
    <s v="Formal"/>
    <x v="0"/>
    <s v="Blue"/>
    <s v="clarks"/>
    <x v="1"/>
    <x v="5"/>
    <n v="13"/>
    <x v="1"/>
    <n v="76"/>
    <n v="76"/>
    <n v="39"/>
    <n v="988"/>
    <n v="507"/>
    <n v="481"/>
    <n v="0.48684210526315791"/>
    <m/>
    <x v="5"/>
  </r>
  <r>
    <x v="49"/>
    <s v="loafers"/>
    <x v="1"/>
    <s v="Formal"/>
    <x v="0"/>
    <s v="Red"/>
    <s v="ZARA"/>
    <x v="3"/>
    <x v="8"/>
    <n v="6"/>
    <x v="2"/>
    <n v="54"/>
    <n v="54"/>
    <n v="28"/>
    <n v="324"/>
    <n v="168"/>
    <n v="156"/>
    <n v="0.48148148148148145"/>
    <m/>
    <x v="1"/>
  </r>
  <r>
    <x v="37"/>
    <s v="BROGUES"/>
    <x v="6"/>
    <s v="Formal"/>
    <x v="0"/>
    <s v="Green"/>
    <s v="Nike"/>
    <x v="0"/>
    <x v="13"/>
    <n v="13"/>
    <x v="1"/>
    <n v="112"/>
    <n v="112"/>
    <n v="64"/>
    <n v="1456"/>
    <n v="832"/>
    <n v="624"/>
    <n v="0.42857142857142855"/>
    <m/>
    <x v="3"/>
  </r>
  <r>
    <x v="114"/>
    <s v="monk straps"/>
    <x v="0"/>
    <s v="Formal"/>
    <x v="0"/>
    <s v="Blue"/>
    <s v="Nike"/>
    <x v="0"/>
    <x v="7"/>
    <n v="5"/>
    <x v="2"/>
    <n v="89"/>
    <n v="89"/>
    <n v="47"/>
    <n v="445"/>
    <n v="235"/>
    <n v="210"/>
    <n v="0.47191011235955055"/>
    <m/>
    <x v="3"/>
  </r>
  <r>
    <x v="165"/>
    <s v="loafers"/>
    <x v="1"/>
    <s v="casual"/>
    <x v="2"/>
    <s v="Brown"/>
    <s v="ZARA"/>
    <x v="3"/>
    <x v="1"/>
    <n v="2"/>
    <x v="1"/>
    <n v="54"/>
    <n v="54"/>
    <n v="28"/>
    <n v="108"/>
    <n v="56"/>
    <n v="52"/>
    <n v="0.48148148148148145"/>
    <m/>
    <x v="0"/>
  </r>
  <r>
    <x v="140"/>
    <s v="BROGUES"/>
    <x v="6"/>
    <s v="OPEN"/>
    <x v="3"/>
    <s v="Red"/>
    <s v="timberland"/>
    <x v="2"/>
    <x v="7"/>
    <n v="7"/>
    <x v="1"/>
    <n v="112"/>
    <n v="112"/>
    <n v="64"/>
    <n v="784"/>
    <n v="448"/>
    <n v="336"/>
    <n v="0.42857142857142855"/>
    <m/>
    <x v="0"/>
  </r>
  <r>
    <x v="17"/>
    <s v="monk straps"/>
    <x v="0"/>
    <s v="casual"/>
    <x v="2"/>
    <s v="Blue"/>
    <s v="Nike"/>
    <x v="0"/>
    <x v="8"/>
    <n v="9"/>
    <x v="2"/>
    <n v="89"/>
    <n v="89"/>
    <n v="47"/>
    <n v="801"/>
    <n v="423"/>
    <n v="378"/>
    <n v="0.47191011235955055"/>
    <m/>
    <x v="4"/>
  </r>
  <r>
    <x v="72"/>
    <s v="monk straps"/>
    <x v="0"/>
    <s v="Formal"/>
    <x v="0"/>
    <s v="Green"/>
    <s v="ZARA"/>
    <x v="3"/>
    <x v="0"/>
    <n v="6"/>
    <x v="0"/>
    <n v="89"/>
    <n v="89"/>
    <n v="47"/>
    <n v="534"/>
    <n v="282"/>
    <n v="252"/>
    <n v="0.47191011235955055"/>
    <m/>
    <x v="0"/>
  </r>
  <r>
    <x v="26"/>
    <s v="BROGUES"/>
    <x v="6"/>
    <s v="OPEN"/>
    <x v="3"/>
    <s v="Black"/>
    <s v="timberland"/>
    <x v="2"/>
    <x v="13"/>
    <n v="10"/>
    <x v="3"/>
    <n v="112"/>
    <n v="112"/>
    <n v="64"/>
    <n v="1120"/>
    <n v="640"/>
    <n v="480"/>
    <n v="0.42857142857142855"/>
    <m/>
    <x v="3"/>
  </r>
  <r>
    <x v="122"/>
    <s v="Derby"/>
    <x v="2"/>
    <s v="OPEN"/>
    <x v="3"/>
    <s v="Brown"/>
    <s v="timberland"/>
    <x v="2"/>
    <x v="12"/>
    <n v="1"/>
    <x v="1"/>
    <n v="32"/>
    <n v="32"/>
    <n v="14"/>
    <n v="32"/>
    <n v="14"/>
    <n v="18"/>
    <n v="0.5625"/>
    <m/>
    <x v="2"/>
  </r>
  <r>
    <x v="146"/>
    <s v="OXFORD"/>
    <x v="5"/>
    <s v="casual"/>
    <x v="2"/>
    <s v="Brown"/>
    <s v="ZARA"/>
    <x v="3"/>
    <x v="0"/>
    <n v="13"/>
    <x v="2"/>
    <n v="105"/>
    <n v="105"/>
    <n v="58"/>
    <n v="1365"/>
    <n v="754"/>
    <n v="611"/>
    <n v="0.44761904761904764"/>
    <m/>
    <x v="0"/>
  </r>
  <r>
    <x v="166"/>
    <s v="loafers"/>
    <x v="1"/>
    <s v="Formal"/>
    <x v="0"/>
    <s v="Brown"/>
    <s v="clarks"/>
    <x v="1"/>
    <x v="4"/>
    <n v="9"/>
    <x v="2"/>
    <n v="54"/>
    <n v="54"/>
    <n v="28"/>
    <n v="486"/>
    <n v="252"/>
    <n v="234"/>
    <n v="0.48148148148148145"/>
    <m/>
    <x v="7"/>
  </r>
  <r>
    <x v="155"/>
    <s v="SLIPPERS"/>
    <x v="7"/>
    <s v="casual"/>
    <x v="2"/>
    <s v="Green"/>
    <s v="clarks"/>
    <x v="1"/>
    <x v="2"/>
    <n v="15"/>
    <x v="2"/>
    <n v="119"/>
    <n v="119"/>
    <n v="67"/>
    <n v="1785"/>
    <n v="1005"/>
    <n v="780"/>
    <n v="0.43697478991596639"/>
    <m/>
    <x v="1"/>
  </r>
  <r>
    <x v="124"/>
    <s v="Canvas"/>
    <x v="4"/>
    <s v="OPEN"/>
    <x v="3"/>
    <s v="Red"/>
    <s v="ZARA"/>
    <x v="3"/>
    <x v="4"/>
    <n v="14"/>
    <x v="1"/>
    <n v="128"/>
    <n v="128"/>
    <n v="72"/>
    <n v="1792"/>
    <n v="1008"/>
    <n v="784"/>
    <n v="0.4375"/>
    <m/>
    <x v="5"/>
  </r>
  <r>
    <x v="132"/>
    <s v="monk straps"/>
    <x v="0"/>
    <s v="OPEN"/>
    <x v="3"/>
    <s v="Blue"/>
    <s v="clarks"/>
    <x v="1"/>
    <x v="5"/>
    <n v="15"/>
    <x v="1"/>
    <n v="89"/>
    <n v="89"/>
    <n v="47"/>
    <n v="1335"/>
    <n v="705"/>
    <n v="630"/>
    <n v="0.47191011235955055"/>
    <m/>
    <x v="0"/>
  </r>
  <r>
    <x v="167"/>
    <s v="OXFORD"/>
    <x v="5"/>
    <s v="Formal"/>
    <x v="0"/>
    <s v="Green"/>
    <s v="clarks"/>
    <x v="1"/>
    <x v="5"/>
    <n v="14"/>
    <x v="1"/>
    <n v="105"/>
    <n v="105"/>
    <n v="58"/>
    <n v="1470"/>
    <n v="812"/>
    <n v="658"/>
    <n v="0.44761904761904764"/>
    <m/>
    <x v="4"/>
  </r>
  <r>
    <x v="168"/>
    <s v="SLIPPERS"/>
    <x v="7"/>
    <s v="casual"/>
    <x v="2"/>
    <s v="Blue"/>
    <s v="clarks"/>
    <x v="1"/>
    <x v="12"/>
    <n v="6"/>
    <x v="2"/>
    <n v="119"/>
    <n v="119"/>
    <n v="67"/>
    <n v="714"/>
    <n v="402"/>
    <n v="312"/>
    <n v="0.43697478991596639"/>
    <m/>
    <x v="1"/>
  </r>
  <r>
    <x v="137"/>
    <s v="loafers"/>
    <x v="1"/>
    <s v="UTILITY"/>
    <x v="1"/>
    <s v="Red"/>
    <s v="Nike"/>
    <x v="0"/>
    <x v="3"/>
    <n v="15"/>
    <x v="3"/>
    <n v="54"/>
    <n v="54"/>
    <n v="28"/>
    <n v="810"/>
    <n v="420"/>
    <n v="390"/>
    <n v="0.48148148148148145"/>
    <m/>
    <x v="5"/>
  </r>
  <r>
    <x v="62"/>
    <s v="boots"/>
    <x v="3"/>
    <s v="OPEN"/>
    <x v="3"/>
    <s v="Black"/>
    <s v="Steve Madden"/>
    <x v="4"/>
    <x v="12"/>
    <n v="6"/>
    <x v="0"/>
    <n v="76"/>
    <n v="76"/>
    <n v="39"/>
    <n v="456"/>
    <n v="234"/>
    <n v="222"/>
    <n v="0.48684210526315791"/>
    <m/>
    <x v="4"/>
  </r>
  <r>
    <x v="169"/>
    <s v="Canvas"/>
    <x v="4"/>
    <s v="casual"/>
    <x v="2"/>
    <s v="Brown"/>
    <s v="ZARA"/>
    <x v="3"/>
    <x v="5"/>
    <n v="10"/>
    <x v="0"/>
    <n v="128"/>
    <n v="128"/>
    <n v="72"/>
    <n v="1280"/>
    <n v="720"/>
    <n v="560"/>
    <n v="0.4375"/>
    <m/>
    <x v="4"/>
  </r>
  <r>
    <x v="57"/>
    <s v="OXFORD"/>
    <x v="5"/>
    <s v="casual"/>
    <x v="2"/>
    <s v="Blue"/>
    <s v="clarks"/>
    <x v="1"/>
    <x v="9"/>
    <n v="4"/>
    <x v="1"/>
    <n v="105"/>
    <n v="105"/>
    <n v="58"/>
    <n v="420"/>
    <n v="232"/>
    <n v="188"/>
    <n v="0.44761904761904764"/>
    <m/>
    <x v="3"/>
  </r>
  <r>
    <x v="170"/>
    <s v="loafers"/>
    <x v="1"/>
    <s v="Formal"/>
    <x v="0"/>
    <s v="Blue"/>
    <s v="ZARA"/>
    <x v="3"/>
    <x v="9"/>
    <n v="11"/>
    <x v="3"/>
    <n v="54"/>
    <n v="54"/>
    <n v="28"/>
    <n v="594"/>
    <n v="308"/>
    <n v="286"/>
    <n v="0.48148148148148145"/>
    <m/>
    <x v="1"/>
  </r>
  <r>
    <x v="3"/>
    <s v="monk straps"/>
    <x v="0"/>
    <s v="casual"/>
    <x v="2"/>
    <s v="Brown"/>
    <s v="ZARA"/>
    <x v="3"/>
    <x v="11"/>
    <n v="4"/>
    <x v="0"/>
    <n v="89"/>
    <n v="89"/>
    <n v="47"/>
    <n v="356"/>
    <n v="188"/>
    <n v="168"/>
    <n v="0.47191011235955055"/>
    <m/>
    <x v="2"/>
  </r>
  <r>
    <x v="84"/>
    <s v="BROGUES"/>
    <x v="6"/>
    <s v="casual"/>
    <x v="2"/>
    <s v="Blue"/>
    <s v="Nike"/>
    <x v="0"/>
    <x v="9"/>
    <n v="10"/>
    <x v="2"/>
    <n v="112"/>
    <n v="112"/>
    <n v="64"/>
    <n v="1120"/>
    <n v="640"/>
    <n v="480"/>
    <n v="0.42857142857142855"/>
    <m/>
    <x v="2"/>
  </r>
  <r>
    <x v="47"/>
    <s v="Derby"/>
    <x v="2"/>
    <s v="Formal"/>
    <x v="0"/>
    <s v="Black"/>
    <s v="Steve Madden"/>
    <x v="4"/>
    <x v="9"/>
    <n v="3"/>
    <x v="2"/>
    <n v="32"/>
    <n v="32"/>
    <n v="14"/>
    <n v="96"/>
    <n v="42"/>
    <n v="54"/>
    <n v="0.5625"/>
    <m/>
    <x v="4"/>
  </r>
  <r>
    <x v="124"/>
    <s v="Derby"/>
    <x v="2"/>
    <s v="Formal"/>
    <x v="0"/>
    <s v="Black"/>
    <s v="clarks"/>
    <x v="1"/>
    <x v="4"/>
    <n v="5"/>
    <x v="2"/>
    <n v="32"/>
    <n v="32"/>
    <n v="14"/>
    <n v="160"/>
    <n v="70"/>
    <n v="90"/>
    <n v="0.5625"/>
    <m/>
    <x v="5"/>
  </r>
  <r>
    <x v="171"/>
    <s v="monk straps"/>
    <x v="0"/>
    <s v="Formal"/>
    <x v="0"/>
    <s v="Black"/>
    <s v="Nike"/>
    <x v="0"/>
    <x v="11"/>
    <n v="10"/>
    <x v="3"/>
    <n v="89"/>
    <n v="89"/>
    <n v="47"/>
    <n v="890"/>
    <n v="470"/>
    <n v="420"/>
    <n v="0.47191011235955055"/>
    <m/>
    <x v="3"/>
  </r>
  <r>
    <x v="70"/>
    <s v="monk straps"/>
    <x v="0"/>
    <s v="Formal"/>
    <x v="0"/>
    <s v="Green"/>
    <s v="clarks"/>
    <x v="1"/>
    <x v="12"/>
    <n v="5"/>
    <x v="3"/>
    <n v="89"/>
    <n v="89"/>
    <n v="47"/>
    <n v="445"/>
    <n v="235"/>
    <n v="210"/>
    <n v="0.47191011235955055"/>
    <m/>
    <x v="5"/>
  </r>
  <r>
    <x v="26"/>
    <s v="Canvas"/>
    <x v="4"/>
    <s v="casual"/>
    <x v="2"/>
    <s v="Green"/>
    <s v="clarks"/>
    <x v="1"/>
    <x v="8"/>
    <n v="7"/>
    <x v="0"/>
    <n v="128"/>
    <n v="128"/>
    <n v="72"/>
    <n v="896"/>
    <n v="504"/>
    <n v="392"/>
    <n v="0.4375"/>
    <m/>
    <x v="3"/>
  </r>
  <r>
    <x v="145"/>
    <s v="monk straps"/>
    <x v="0"/>
    <s v="Formal"/>
    <x v="0"/>
    <s v="Black"/>
    <s v="Nike"/>
    <x v="0"/>
    <x v="5"/>
    <n v="5"/>
    <x v="2"/>
    <n v="89"/>
    <n v="89"/>
    <n v="47"/>
    <n v="445"/>
    <n v="235"/>
    <n v="210"/>
    <n v="0.47191011235955055"/>
    <m/>
    <x v="0"/>
  </r>
  <r>
    <x v="172"/>
    <s v="Derby"/>
    <x v="2"/>
    <s v="casual"/>
    <x v="2"/>
    <s v="Green"/>
    <s v="clarks"/>
    <x v="1"/>
    <x v="13"/>
    <n v="4"/>
    <x v="2"/>
    <n v="32"/>
    <n v="32"/>
    <n v="14"/>
    <n v="128"/>
    <n v="56"/>
    <n v="72"/>
    <n v="0.5625"/>
    <m/>
    <x v="5"/>
  </r>
  <r>
    <x v="102"/>
    <s v="loafers"/>
    <x v="1"/>
    <s v="Formal"/>
    <x v="0"/>
    <s v="Red"/>
    <s v="clarks"/>
    <x v="1"/>
    <x v="10"/>
    <n v="10"/>
    <x v="0"/>
    <n v="54"/>
    <n v="54"/>
    <n v="28"/>
    <n v="540"/>
    <n v="280"/>
    <n v="260"/>
    <n v="0.48148148148148145"/>
    <m/>
    <x v="0"/>
  </r>
  <r>
    <x v="173"/>
    <s v="Derby"/>
    <x v="2"/>
    <s v="casual"/>
    <x v="2"/>
    <s v="Green"/>
    <s v="clarks"/>
    <x v="1"/>
    <x v="11"/>
    <n v="12"/>
    <x v="1"/>
    <n v="32"/>
    <n v="32"/>
    <n v="14"/>
    <n v="384"/>
    <n v="168"/>
    <n v="216"/>
    <n v="0.5625"/>
    <m/>
    <x v="5"/>
  </r>
  <r>
    <x v="138"/>
    <s v="Canvas"/>
    <x v="4"/>
    <s v="Formal"/>
    <x v="0"/>
    <s v="Red"/>
    <s v="clarks"/>
    <x v="1"/>
    <x v="5"/>
    <n v="8"/>
    <x v="0"/>
    <n v="128"/>
    <n v="128"/>
    <n v="72"/>
    <n v="1024"/>
    <n v="576"/>
    <n v="448"/>
    <n v="0.4375"/>
    <m/>
    <x v="0"/>
  </r>
  <r>
    <x v="23"/>
    <s v="OXFORD"/>
    <x v="5"/>
    <s v="Formal"/>
    <x v="0"/>
    <s v="Brown"/>
    <s v="timberland"/>
    <x v="2"/>
    <x v="0"/>
    <n v="4"/>
    <x v="3"/>
    <n v="105"/>
    <n v="105"/>
    <n v="58"/>
    <n v="420"/>
    <n v="232"/>
    <n v="188"/>
    <n v="0.44761904761904764"/>
    <m/>
    <x v="5"/>
  </r>
  <r>
    <x v="47"/>
    <s v="Canvas"/>
    <x v="4"/>
    <s v="OPEN"/>
    <x v="3"/>
    <s v="Green"/>
    <s v="clarks"/>
    <x v="1"/>
    <x v="10"/>
    <n v="13"/>
    <x v="0"/>
    <n v="128"/>
    <n v="128"/>
    <n v="72"/>
    <n v="1664"/>
    <n v="936"/>
    <n v="728"/>
    <n v="0.4375"/>
    <m/>
    <x v="4"/>
  </r>
  <r>
    <x v="28"/>
    <s v="boots"/>
    <x v="3"/>
    <s v="Formal"/>
    <x v="0"/>
    <s v="Brown"/>
    <s v="Steve Madden"/>
    <x v="4"/>
    <x v="10"/>
    <n v="14"/>
    <x v="1"/>
    <n v="76"/>
    <n v="76"/>
    <n v="39"/>
    <n v="1064"/>
    <n v="546"/>
    <n v="518"/>
    <n v="0.48684210526315791"/>
    <m/>
    <x v="2"/>
  </r>
  <r>
    <x v="172"/>
    <s v="boots"/>
    <x v="3"/>
    <s v="UTILITY"/>
    <x v="1"/>
    <s v="Green"/>
    <s v="timberland"/>
    <x v="2"/>
    <x v="2"/>
    <n v="1"/>
    <x v="2"/>
    <n v="76"/>
    <n v="76"/>
    <n v="39"/>
    <n v="76"/>
    <n v="39"/>
    <n v="37"/>
    <n v="0.48684210526315791"/>
    <m/>
    <x v="5"/>
  </r>
  <r>
    <x v="152"/>
    <s v="BROGUES"/>
    <x v="6"/>
    <s v="Formal"/>
    <x v="0"/>
    <s v="Red"/>
    <s v="Steve Madden"/>
    <x v="4"/>
    <x v="8"/>
    <n v="15"/>
    <x v="2"/>
    <n v="112"/>
    <n v="112"/>
    <n v="64"/>
    <n v="1680"/>
    <n v="960"/>
    <n v="720"/>
    <n v="0.42857142857142855"/>
    <m/>
    <x v="2"/>
  </r>
  <r>
    <x v="144"/>
    <s v="SLIPPERS"/>
    <x v="7"/>
    <s v="casual"/>
    <x v="2"/>
    <s v="Green"/>
    <s v="clarks"/>
    <x v="1"/>
    <x v="12"/>
    <n v="13"/>
    <x v="0"/>
    <n v="119"/>
    <n v="119"/>
    <n v="67"/>
    <n v="1547"/>
    <n v="871"/>
    <n v="676"/>
    <n v="0.43697478991596639"/>
    <m/>
    <x v="1"/>
  </r>
  <r>
    <x v="126"/>
    <s v="Canvas"/>
    <x v="4"/>
    <s v="Formal"/>
    <x v="0"/>
    <s v="Blue"/>
    <s v="clarks"/>
    <x v="1"/>
    <x v="7"/>
    <n v="8"/>
    <x v="0"/>
    <n v="128"/>
    <n v="128"/>
    <n v="72"/>
    <n v="1024"/>
    <n v="576"/>
    <n v="448"/>
    <n v="0.4375"/>
    <m/>
    <x v="5"/>
  </r>
  <r>
    <x v="174"/>
    <s v="boots"/>
    <x v="3"/>
    <s v="UTILITY"/>
    <x v="1"/>
    <s v="Green"/>
    <s v="ZARA"/>
    <x v="3"/>
    <x v="3"/>
    <n v="8"/>
    <x v="2"/>
    <n v="76"/>
    <n v="76"/>
    <n v="39"/>
    <n v="608"/>
    <n v="312"/>
    <n v="296"/>
    <n v="0.48684210526315791"/>
    <m/>
    <x v="7"/>
  </r>
  <r>
    <x v="26"/>
    <s v="BROGUES"/>
    <x v="6"/>
    <s v="UTILITY"/>
    <x v="1"/>
    <s v="Black"/>
    <s v="Nike"/>
    <x v="0"/>
    <x v="7"/>
    <n v="10"/>
    <x v="3"/>
    <n v="112"/>
    <n v="112"/>
    <n v="64"/>
    <n v="1120"/>
    <n v="640"/>
    <n v="480"/>
    <n v="0.42857142857142855"/>
    <m/>
    <x v="3"/>
  </r>
  <r>
    <x v="99"/>
    <s v="loafers"/>
    <x v="1"/>
    <s v="casual"/>
    <x v="2"/>
    <s v="Blue"/>
    <s v="clarks"/>
    <x v="1"/>
    <x v="0"/>
    <n v="14"/>
    <x v="2"/>
    <n v="54"/>
    <n v="54"/>
    <n v="28"/>
    <n v="756"/>
    <n v="392"/>
    <n v="364"/>
    <n v="0.48148148148148145"/>
    <m/>
    <x v="5"/>
  </r>
  <r>
    <x v="175"/>
    <s v="loafers"/>
    <x v="1"/>
    <s v="OPEN"/>
    <x v="3"/>
    <s v="Brown"/>
    <s v="ZARA"/>
    <x v="3"/>
    <x v="13"/>
    <n v="1"/>
    <x v="2"/>
    <n v="54"/>
    <n v="54"/>
    <n v="28"/>
    <n v="54"/>
    <n v="28"/>
    <n v="26"/>
    <n v="0.48148148148148145"/>
    <m/>
    <x v="1"/>
  </r>
  <r>
    <x v="131"/>
    <s v="monk straps"/>
    <x v="0"/>
    <s v="casual"/>
    <x v="2"/>
    <s v="Red"/>
    <s v="timberland"/>
    <x v="2"/>
    <x v="3"/>
    <n v="11"/>
    <x v="1"/>
    <n v="89"/>
    <n v="89"/>
    <n v="47"/>
    <n v="979"/>
    <n v="517"/>
    <n v="462"/>
    <n v="0.47191011235955055"/>
    <m/>
    <x v="7"/>
  </r>
  <r>
    <x v="176"/>
    <s v="boots"/>
    <x v="3"/>
    <s v="UTILITY"/>
    <x v="1"/>
    <s v="Blue"/>
    <s v="timberland"/>
    <x v="2"/>
    <x v="0"/>
    <n v="8"/>
    <x v="1"/>
    <n v="76"/>
    <n v="76"/>
    <n v="39"/>
    <n v="608"/>
    <n v="312"/>
    <n v="296"/>
    <n v="0.48684210526315791"/>
    <m/>
    <x v="1"/>
  </r>
  <r>
    <x v="66"/>
    <s v="monk straps"/>
    <x v="0"/>
    <s v="UTILITY"/>
    <x v="1"/>
    <s v="Brown"/>
    <s v="clarks"/>
    <x v="1"/>
    <x v="8"/>
    <n v="13"/>
    <x v="2"/>
    <n v="89"/>
    <n v="89"/>
    <n v="47"/>
    <n v="1157"/>
    <n v="611"/>
    <n v="546"/>
    <n v="0.47191011235955055"/>
    <m/>
    <x v="7"/>
  </r>
  <r>
    <x v="177"/>
    <s v="SLIPPERS"/>
    <x v="7"/>
    <s v="UTILITY"/>
    <x v="1"/>
    <s v="Red"/>
    <s v="timberland"/>
    <x v="2"/>
    <x v="3"/>
    <n v="6"/>
    <x v="0"/>
    <n v="119"/>
    <n v="119"/>
    <n v="67"/>
    <n v="714"/>
    <n v="402"/>
    <n v="312"/>
    <n v="0.43697478991596639"/>
    <m/>
    <x v="3"/>
  </r>
  <r>
    <x v="178"/>
    <s v="BROGUES"/>
    <x v="6"/>
    <s v="OPEN"/>
    <x v="3"/>
    <s v="Red"/>
    <s v="ZARA"/>
    <x v="3"/>
    <x v="0"/>
    <n v="8"/>
    <x v="0"/>
    <n v="112"/>
    <n v="112"/>
    <n v="64"/>
    <n v="896"/>
    <n v="512"/>
    <n v="384"/>
    <n v="0.42857142857142855"/>
    <m/>
    <x v="6"/>
  </r>
  <r>
    <x v="21"/>
    <s v="loafers"/>
    <x v="1"/>
    <s v="Formal"/>
    <x v="0"/>
    <s v="Blue"/>
    <s v="Nike"/>
    <x v="0"/>
    <x v="5"/>
    <n v="13"/>
    <x v="3"/>
    <n v="54"/>
    <n v="54"/>
    <n v="28"/>
    <n v="702"/>
    <n v="364"/>
    <n v="338"/>
    <n v="0.48148148148148145"/>
    <m/>
    <x v="5"/>
  </r>
  <r>
    <x v="111"/>
    <s v="monk straps"/>
    <x v="0"/>
    <s v="Formal"/>
    <x v="0"/>
    <s v="Brown"/>
    <s v="ZARA"/>
    <x v="3"/>
    <x v="6"/>
    <n v="6"/>
    <x v="0"/>
    <n v="89"/>
    <n v="89"/>
    <n v="47"/>
    <n v="534"/>
    <n v="282"/>
    <n v="252"/>
    <n v="0.47191011235955055"/>
    <m/>
    <x v="2"/>
  </r>
  <r>
    <x v="148"/>
    <s v="OXFORD"/>
    <x v="5"/>
    <s v="Formal"/>
    <x v="0"/>
    <s v="Brown"/>
    <s v="Nike"/>
    <x v="0"/>
    <x v="10"/>
    <n v="5"/>
    <x v="3"/>
    <n v="105"/>
    <n v="105"/>
    <n v="58"/>
    <n v="525"/>
    <n v="290"/>
    <n v="235"/>
    <n v="0.44761904761904764"/>
    <m/>
    <x v="3"/>
  </r>
  <r>
    <x v="76"/>
    <s v="Derby"/>
    <x v="2"/>
    <s v="OPEN"/>
    <x v="3"/>
    <s v="Black"/>
    <s v="Nike"/>
    <x v="0"/>
    <x v="11"/>
    <n v="4"/>
    <x v="3"/>
    <n v="32"/>
    <n v="32"/>
    <n v="14"/>
    <n v="128"/>
    <n v="56"/>
    <n v="72"/>
    <n v="0.5625"/>
    <m/>
    <x v="2"/>
  </r>
  <r>
    <x v="179"/>
    <s v="monk straps"/>
    <x v="0"/>
    <s v="UTILITY"/>
    <x v="1"/>
    <s v="Green"/>
    <s v="clarks"/>
    <x v="1"/>
    <x v="6"/>
    <n v="3"/>
    <x v="0"/>
    <n v="89"/>
    <n v="89"/>
    <n v="47"/>
    <n v="267"/>
    <n v="141"/>
    <n v="126"/>
    <n v="0.47191011235955055"/>
    <m/>
    <x v="0"/>
  </r>
  <r>
    <x v="4"/>
    <s v="SLIPPERS"/>
    <x v="7"/>
    <s v="Formal"/>
    <x v="0"/>
    <s v="Blue"/>
    <s v="clarks"/>
    <x v="1"/>
    <x v="5"/>
    <n v="5"/>
    <x v="1"/>
    <n v="119"/>
    <n v="119"/>
    <n v="67"/>
    <n v="595"/>
    <n v="335"/>
    <n v="260"/>
    <n v="0.43697478991596639"/>
    <m/>
    <x v="3"/>
  </r>
  <r>
    <x v="142"/>
    <s v="Derby"/>
    <x v="2"/>
    <s v="Formal"/>
    <x v="0"/>
    <s v="Green"/>
    <s v="ZARA"/>
    <x v="3"/>
    <x v="4"/>
    <n v="4"/>
    <x v="1"/>
    <n v="32"/>
    <n v="32"/>
    <n v="14"/>
    <n v="128"/>
    <n v="56"/>
    <n v="72"/>
    <n v="0.5625"/>
    <m/>
    <x v="2"/>
  </r>
  <r>
    <x v="178"/>
    <s v="Derby"/>
    <x v="2"/>
    <s v="casual"/>
    <x v="2"/>
    <s v="Brown"/>
    <s v="clarks"/>
    <x v="1"/>
    <x v="5"/>
    <n v="7"/>
    <x v="1"/>
    <n v="32"/>
    <n v="32"/>
    <n v="14"/>
    <n v="224"/>
    <n v="98"/>
    <n v="126"/>
    <n v="0.5625"/>
    <m/>
    <x v="6"/>
  </r>
  <r>
    <x v="48"/>
    <s v="loafers"/>
    <x v="1"/>
    <s v="UTILITY"/>
    <x v="1"/>
    <s v="Green"/>
    <s v="clarks"/>
    <x v="1"/>
    <x v="5"/>
    <n v="6"/>
    <x v="1"/>
    <n v="54"/>
    <n v="54"/>
    <n v="28"/>
    <n v="324"/>
    <n v="168"/>
    <n v="156"/>
    <n v="0.48148148148148145"/>
    <m/>
    <x v="3"/>
  </r>
  <r>
    <x v="180"/>
    <s v="Derby"/>
    <x v="2"/>
    <s v="Formal"/>
    <x v="0"/>
    <s v="Brown"/>
    <s v="ZARA"/>
    <x v="3"/>
    <x v="7"/>
    <n v="7"/>
    <x v="2"/>
    <n v="32"/>
    <n v="32"/>
    <n v="14"/>
    <n v="224"/>
    <n v="98"/>
    <n v="126"/>
    <n v="0.5625"/>
    <m/>
    <x v="2"/>
  </r>
  <r>
    <x v="181"/>
    <s v="loafers"/>
    <x v="1"/>
    <s v="Formal"/>
    <x v="0"/>
    <s v="Blue"/>
    <s v="Steve Madden"/>
    <x v="4"/>
    <x v="8"/>
    <n v="12"/>
    <x v="0"/>
    <n v="54"/>
    <n v="54"/>
    <n v="28"/>
    <n v="648"/>
    <n v="336"/>
    <n v="312"/>
    <n v="0.48148148148148145"/>
    <m/>
    <x v="4"/>
  </r>
  <r>
    <x v="32"/>
    <s v="SLIPPERS"/>
    <x v="7"/>
    <s v="casual"/>
    <x v="2"/>
    <s v="Green"/>
    <s v="ZARA"/>
    <x v="3"/>
    <x v="8"/>
    <n v="10"/>
    <x v="3"/>
    <n v="119"/>
    <n v="119"/>
    <n v="67"/>
    <n v="1190"/>
    <n v="670"/>
    <n v="520"/>
    <n v="0.43697478991596639"/>
    <m/>
    <x v="2"/>
  </r>
  <r>
    <x v="81"/>
    <s v="loafers"/>
    <x v="1"/>
    <s v="Formal"/>
    <x v="0"/>
    <s v="Brown"/>
    <s v="clarks"/>
    <x v="1"/>
    <x v="3"/>
    <n v="6"/>
    <x v="1"/>
    <n v="54"/>
    <n v="54"/>
    <n v="28"/>
    <n v="324"/>
    <n v="168"/>
    <n v="156"/>
    <n v="0.48148148148148145"/>
    <m/>
    <x v="2"/>
  </r>
  <r>
    <x v="110"/>
    <s v="Derby"/>
    <x v="2"/>
    <s v="Formal"/>
    <x v="0"/>
    <s v="Blue"/>
    <s v="timberland"/>
    <x v="2"/>
    <x v="3"/>
    <n v="15"/>
    <x v="2"/>
    <n v="32"/>
    <n v="32"/>
    <n v="14"/>
    <n v="480"/>
    <n v="210"/>
    <n v="270"/>
    <n v="0.5625"/>
    <m/>
    <x v="4"/>
  </r>
  <r>
    <x v="22"/>
    <s v="Canvas"/>
    <x v="4"/>
    <s v="Formal"/>
    <x v="0"/>
    <s v="Red"/>
    <s v="Steve Madden"/>
    <x v="4"/>
    <x v="11"/>
    <n v="3"/>
    <x v="3"/>
    <n v="128"/>
    <n v="128"/>
    <n v="72"/>
    <n v="384"/>
    <n v="216"/>
    <n v="168"/>
    <n v="0.4375"/>
    <m/>
    <x v="5"/>
  </r>
  <r>
    <x v="69"/>
    <s v="SLIPPERS"/>
    <x v="7"/>
    <s v="casual"/>
    <x v="2"/>
    <s v="Black"/>
    <s v="timberland"/>
    <x v="2"/>
    <x v="2"/>
    <n v="1"/>
    <x v="1"/>
    <n v="119"/>
    <n v="119"/>
    <n v="67"/>
    <n v="119"/>
    <n v="67"/>
    <n v="52"/>
    <n v="0.43697478991596639"/>
    <m/>
    <x v="3"/>
  </r>
  <r>
    <x v="77"/>
    <s v="Canvas"/>
    <x v="4"/>
    <s v="Formal"/>
    <x v="0"/>
    <s v="Black"/>
    <s v="clarks"/>
    <x v="1"/>
    <x v="8"/>
    <n v="9"/>
    <x v="0"/>
    <n v="128"/>
    <n v="128"/>
    <n v="72"/>
    <n v="1152"/>
    <n v="648"/>
    <n v="504"/>
    <n v="0.4375"/>
    <m/>
    <x v="6"/>
  </r>
  <r>
    <x v="1"/>
    <s v="OXFORD"/>
    <x v="5"/>
    <s v="Formal"/>
    <x v="0"/>
    <s v="Red"/>
    <s v="ZARA"/>
    <x v="3"/>
    <x v="10"/>
    <n v="7"/>
    <x v="1"/>
    <n v="105"/>
    <n v="105"/>
    <n v="58"/>
    <n v="735"/>
    <n v="406"/>
    <n v="329"/>
    <n v="0.44761904761904764"/>
    <m/>
    <x v="1"/>
  </r>
  <r>
    <x v="182"/>
    <s v="monk straps"/>
    <x v="0"/>
    <s v="Formal"/>
    <x v="0"/>
    <s v="Brown"/>
    <s v="clarks"/>
    <x v="1"/>
    <x v="9"/>
    <n v="4"/>
    <x v="2"/>
    <n v="89"/>
    <n v="89"/>
    <n v="47"/>
    <n v="356"/>
    <n v="188"/>
    <n v="168"/>
    <n v="0.47191011235955055"/>
    <m/>
    <x v="0"/>
  </r>
  <r>
    <x v="183"/>
    <s v="SLIPPERS"/>
    <x v="7"/>
    <s v="OPEN"/>
    <x v="3"/>
    <s v="Brown"/>
    <s v="Steve Madden"/>
    <x v="4"/>
    <x v="7"/>
    <n v="7"/>
    <x v="1"/>
    <n v="119"/>
    <n v="119"/>
    <n v="67"/>
    <n v="833"/>
    <n v="469"/>
    <n v="364"/>
    <n v="0.43697478991596639"/>
    <m/>
    <x v="7"/>
  </r>
  <r>
    <x v="41"/>
    <s v="boots"/>
    <x v="3"/>
    <s v="casual"/>
    <x v="2"/>
    <s v="Green"/>
    <s v="timberland"/>
    <x v="2"/>
    <x v="13"/>
    <n v="10"/>
    <x v="3"/>
    <n v="76"/>
    <n v="76"/>
    <n v="39"/>
    <n v="760"/>
    <n v="390"/>
    <n v="370"/>
    <n v="0.48684210526315791"/>
    <m/>
    <x v="4"/>
  </r>
  <r>
    <x v="174"/>
    <s v="loafers"/>
    <x v="1"/>
    <s v="Formal"/>
    <x v="0"/>
    <s v="Brown"/>
    <s v="clarks"/>
    <x v="1"/>
    <x v="5"/>
    <n v="2"/>
    <x v="3"/>
    <n v="54"/>
    <n v="54"/>
    <n v="28"/>
    <n v="108"/>
    <n v="56"/>
    <n v="52"/>
    <n v="0.48148148148148145"/>
    <m/>
    <x v="7"/>
  </r>
  <r>
    <x v="175"/>
    <s v="BROGUES"/>
    <x v="6"/>
    <s v="casual"/>
    <x v="2"/>
    <s v="Blue"/>
    <s v="clarks"/>
    <x v="1"/>
    <x v="3"/>
    <n v="14"/>
    <x v="1"/>
    <n v="112"/>
    <n v="112"/>
    <n v="64"/>
    <n v="1568"/>
    <n v="896"/>
    <n v="672"/>
    <n v="0.42857142857142855"/>
    <m/>
    <x v="1"/>
  </r>
  <r>
    <x v="160"/>
    <s v="Canvas"/>
    <x v="4"/>
    <s v="casual"/>
    <x v="2"/>
    <s v="Blue"/>
    <s v="clarks"/>
    <x v="1"/>
    <x v="0"/>
    <n v="6"/>
    <x v="3"/>
    <n v="128"/>
    <n v="128"/>
    <n v="72"/>
    <n v="768"/>
    <n v="432"/>
    <n v="336"/>
    <n v="0.4375"/>
    <m/>
    <x v="5"/>
  </r>
  <r>
    <x v="36"/>
    <s v="OXFORD"/>
    <x v="5"/>
    <s v="casual"/>
    <x v="2"/>
    <s v="Blue"/>
    <s v="timberland"/>
    <x v="2"/>
    <x v="0"/>
    <n v="5"/>
    <x v="2"/>
    <n v="105"/>
    <n v="105"/>
    <n v="58"/>
    <n v="525"/>
    <n v="290"/>
    <n v="235"/>
    <n v="0.44761904761904764"/>
    <m/>
    <x v="2"/>
  </r>
  <r>
    <x v="162"/>
    <s v="BROGUES"/>
    <x v="6"/>
    <s v="casual"/>
    <x v="2"/>
    <s v="Green"/>
    <s v="timberland"/>
    <x v="2"/>
    <x v="0"/>
    <n v="4"/>
    <x v="0"/>
    <n v="112"/>
    <n v="112"/>
    <n v="64"/>
    <n v="448"/>
    <n v="256"/>
    <n v="192"/>
    <n v="0.42857142857142855"/>
    <m/>
    <x v="7"/>
  </r>
  <r>
    <x v="1"/>
    <s v="boots"/>
    <x v="3"/>
    <s v="casual"/>
    <x v="2"/>
    <s v="Blue"/>
    <s v="timberland"/>
    <x v="2"/>
    <x v="1"/>
    <n v="4"/>
    <x v="0"/>
    <n v="76"/>
    <n v="76"/>
    <n v="39"/>
    <n v="304"/>
    <n v="156"/>
    <n v="148"/>
    <n v="0.48684210526315791"/>
    <m/>
    <x v="1"/>
  </r>
  <r>
    <x v="151"/>
    <s v="OXFORD"/>
    <x v="5"/>
    <s v="Formal"/>
    <x v="0"/>
    <s v="Blue"/>
    <s v="Nike"/>
    <x v="0"/>
    <x v="3"/>
    <n v="10"/>
    <x v="2"/>
    <n v="105"/>
    <n v="105"/>
    <n v="58"/>
    <n v="1050"/>
    <n v="580"/>
    <n v="470"/>
    <n v="0.44761904761904764"/>
    <m/>
    <x v="1"/>
  </r>
  <r>
    <x v="29"/>
    <s v="monk straps"/>
    <x v="0"/>
    <s v="OPEN"/>
    <x v="3"/>
    <s v="Black"/>
    <s v="Nike"/>
    <x v="0"/>
    <x v="7"/>
    <n v="14"/>
    <x v="2"/>
    <n v="89"/>
    <n v="89"/>
    <n v="47"/>
    <n v="1246"/>
    <n v="658"/>
    <n v="588"/>
    <n v="0.47191011235955055"/>
    <m/>
    <x v="1"/>
  </r>
  <r>
    <x v="176"/>
    <s v="SLIPPERS"/>
    <x v="7"/>
    <s v="casual"/>
    <x v="2"/>
    <s v="Green"/>
    <s v="timberland"/>
    <x v="2"/>
    <x v="5"/>
    <n v="8"/>
    <x v="3"/>
    <n v="119"/>
    <n v="119"/>
    <n v="67"/>
    <n v="952"/>
    <n v="536"/>
    <n v="416"/>
    <n v="0.43697478991596639"/>
    <m/>
    <x v="1"/>
  </r>
  <r>
    <x v="13"/>
    <s v="Canvas"/>
    <x v="4"/>
    <s v="Formal"/>
    <x v="0"/>
    <s v="Black"/>
    <s v="ZARA"/>
    <x v="3"/>
    <x v="9"/>
    <n v="3"/>
    <x v="2"/>
    <n v="128"/>
    <n v="128"/>
    <n v="72"/>
    <n v="384"/>
    <n v="216"/>
    <n v="168"/>
    <n v="0.4375"/>
    <m/>
    <x v="5"/>
  </r>
  <r>
    <x v="156"/>
    <s v="Canvas"/>
    <x v="4"/>
    <s v="Formal"/>
    <x v="0"/>
    <s v="Black"/>
    <s v="clarks"/>
    <x v="1"/>
    <x v="11"/>
    <n v="13"/>
    <x v="0"/>
    <n v="128"/>
    <n v="128"/>
    <n v="72"/>
    <n v="1664"/>
    <n v="936"/>
    <n v="728"/>
    <n v="0.4375"/>
    <m/>
    <x v="2"/>
  </r>
  <r>
    <x v="52"/>
    <s v="Derby"/>
    <x v="2"/>
    <s v="Formal"/>
    <x v="0"/>
    <s v="Green"/>
    <s v="Nike"/>
    <x v="0"/>
    <x v="1"/>
    <n v="8"/>
    <x v="0"/>
    <n v="32"/>
    <n v="32"/>
    <n v="14"/>
    <n v="256"/>
    <n v="112"/>
    <n v="144"/>
    <n v="0.5625"/>
    <m/>
    <x v="1"/>
  </r>
  <r>
    <x v="34"/>
    <s v="loafers"/>
    <x v="1"/>
    <s v="casual"/>
    <x v="2"/>
    <s v="Green"/>
    <s v="timberland"/>
    <x v="2"/>
    <x v="11"/>
    <n v="6"/>
    <x v="0"/>
    <n v="54"/>
    <n v="54"/>
    <n v="28"/>
    <n v="324"/>
    <n v="168"/>
    <n v="156"/>
    <n v="0.48148148148148145"/>
    <m/>
    <x v="4"/>
  </r>
  <r>
    <x v="184"/>
    <s v="OXFORD"/>
    <x v="5"/>
    <s v="Formal"/>
    <x v="0"/>
    <s v="Red"/>
    <s v="ZARA"/>
    <x v="3"/>
    <x v="6"/>
    <n v="14"/>
    <x v="2"/>
    <n v="105"/>
    <n v="105"/>
    <n v="58"/>
    <n v="1470"/>
    <n v="812"/>
    <n v="658"/>
    <n v="0.44761904761904764"/>
    <m/>
    <x v="5"/>
  </r>
  <r>
    <x v="16"/>
    <s v="SLIPPERS"/>
    <x v="7"/>
    <s v="casual"/>
    <x v="2"/>
    <s v="Blue"/>
    <s v="clarks"/>
    <x v="1"/>
    <x v="4"/>
    <n v="1"/>
    <x v="1"/>
    <n v="119"/>
    <n v="119"/>
    <n v="67"/>
    <n v="119"/>
    <n v="67"/>
    <n v="52"/>
    <n v="0.43697478991596639"/>
    <m/>
    <x v="0"/>
  </r>
  <r>
    <x v="153"/>
    <s v="Canvas"/>
    <x v="4"/>
    <s v="Formal"/>
    <x v="0"/>
    <s v="Green"/>
    <s v="Nike"/>
    <x v="0"/>
    <x v="13"/>
    <n v="11"/>
    <x v="3"/>
    <n v="128"/>
    <n v="128"/>
    <n v="72"/>
    <n v="1408"/>
    <n v="792"/>
    <n v="616"/>
    <n v="0.4375"/>
    <m/>
    <x v="0"/>
  </r>
  <r>
    <x v="157"/>
    <s v="Derby"/>
    <x v="2"/>
    <s v="casual"/>
    <x v="2"/>
    <s v="Black"/>
    <s v="clarks"/>
    <x v="1"/>
    <x v="4"/>
    <n v="9"/>
    <x v="0"/>
    <n v="32"/>
    <n v="32"/>
    <n v="14"/>
    <n v="288"/>
    <n v="126"/>
    <n v="162"/>
    <n v="0.5625"/>
    <m/>
    <x v="0"/>
  </r>
  <r>
    <x v="103"/>
    <s v="BROGUES"/>
    <x v="6"/>
    <s v="Formal"/>
    <x v="0"/>
    <s v="Green"/>
    <s v="ZARA"/>
    <x v="3"/>
    <x v="13"/>
    <n v="2"/>
    <x v="0"/>
    <n v="112"/>
    <n v="112"/>
    <n v="64"/>
    <n v="224"/>
    <n v="128"/>
    <n v="96"/>
    <n v="0.42857142857142855"/>
    <m/>
    <x v="0"/>
  </r>
  <r>
    <x v="137"/>
    <s v="monk straps"/>
    <x v="0"/>
    <s v="Formal"/>
    <x v="0"/>
    <s v="Brown"/>
    <s v="ZARA"/>
    <x v="3"/>
    <x v="11"/>
    <n v="9"/>
    <x v="1"/>
    <n v="89"/>
    <n v="89"/>
    <n v="47"/>
    <n v="801"/>
    <n v="423"/>
    <n v="378"/>
    <n v="0.47191011235955055"/>
    <m/>
    <x v="5"/>
  </r>
  <r>
    <x v="49"/>
    <s v="SLIPPERS"/>
    <x v="7"/>
    <s v="Formal"/>
    <x v="0"/>
    <s v="Brown"/>
    <s v="ZARA"/>
    <x v="3"/>
    <x v="13"/>
    <n v="8"/>
    <x v="1"/>
    <n v="119"/>
    <n v="119"/>
    <n v="67"/>
    <n v="952"/>
    <n v="536"/>
    <n v="416"/>
    <n v="0.43697478991596639"/>
    <m/>
    <x v="1"/>
  </r>
  <r>
    <x v="102"/>
    <s v="boots"/>
    <x v="3"/>
    <s v="Formal"/>
    <x v="0"/>
    <s v="Green"/>
    <s v="Nike"/>
    <x v="0"/>
    <x v="3"/>
    <n v="9"/>
    <x v="0"/>
    <n v="76"/>
    <n v="76"/>
    <n v="39"/>
    <n v="684"/>
    <n v="351"/>
    <n v="333"/>
    <n v="0.48684210526315791"/>
    <m/>
    <x v="0"/>
  </r>
  <r>
    <x v="109"/>
    <s v="boots"/>
    <x v="3"/>
    <s v="Formal"/>
    <x v="0"/>
    <s v="Black"/>
    <s v="clarks"/>
    <x v="1"/>
    <x v="2"/>
    <n v="11"/>
    <x v="1"/>
    <n v="76"/>
    <n v="76"/>
    <n v="39"/>
    <n v="836"/>
    <n v="429"/>
    <n v="407"/>
    <n v="0.48684210526315791"/>
    <m/>
    <x v="5"/>
  </r>
  <r>
    <x v="124"/>
    <s v="OXFORD"/>
    <x v="5"/>
    <s v="UTILITY"/>
    <x v="1"/>
    <s v="Black"/>
    <s v="clarks"/>
    <x v="1"/>
    <x v="13"/>
    <n v="8"/>
    <x v="0"/>
    <n v="105"/>
    <n v="105"/>
    <n v="58"/>
    <n v="840"/>
    <n v="464"/>
    <n v="376"/>
    <n v="0.44761904761904764"/>
    <m/>
    <x v="5"/>
  </r>
  <r>
    <x v="17"/>
    <s v="Derby"/>
    <x v="2"/>
    <s v="OPEN"/>
    <x v="3"/>
    <s v="Green"/>
    <s v="ZARA"/>
    <x v="3"/>
    <x v="8"/>
    <n v="7"/>
    <x v="2"/>
    <n v="32"/>
    <n v="32"/>
    <n v="14"/>
    <n v="224"/>
    <n v="98"/>
    <n v="126"/>
    <n v="0.5625"/>
    <m/>
    <x v="4"/>
  </r>
  <r>
    <x v="60"/>
    <s v="loafers"/>
    <x v="1"/>
    <s v="Formal"/>
    <x v="0"/>
    <s v="Red"/>
    <s v="Steve Madden"/>
    <x v="4"/>
    <x v="7"/>
    <n v="8"/>
    <x v="2"/>
    <n v="54"/>
    <n v="54"/>
    <n v="28"/>
    <n v="432"/>
    <n v="224"/>
    <n v="208"/>
    <n v="0.48148148148148145"/>
    <m/>
    <x v="4"/>
  </r>
  <r>
    <x v="69"/>
    <s v="monk straps"/>
    <x v="0"/>
    <s v="UTILITY"/>
    <x v="1"/>
    <s v="Red"/>
    <s v="ZARA"/>
    <x v="3"/>
    <x v="13"/>
    <n v="13"/>
    <x v="3"/>
    <n v="89"/>
    <n v="89"/>
    <n v="47"/>
    <n v="1157"/>
    <n v="611"/>
    <n v="546"/>
    <n v="0.47191011235955055"/>
    <m/>
    <x v="3"/>
  </r>
  <r>
    <x v="185"/>
    <s v="BROGUES"/>
    <x v="6"/>
    <s v="UTILITY"/>
    <x v="1"/>
    <s v="Brown"/>
    <s v="ZARA"/>
    <x v="3"/>
    <x v="0"/>
    <n v="14"/>
    <x v="1"/>
    <n v="112"/>
    <n v="112"/>
    <n v="64"/>
    <n v="1568"/>
    <n v="896"/>
    <n v="672"/>
    <n v="0.42857142857142855"/>
    <m/>
    <x v="4"/>
  </r>
  <r>
    <x v="26"/>
    <s v="monk straps"/>
    <x v="0"/>
    <s v="OPEN"/>
    <x v="3"/>
    <s v="Brown"/>
    <s v="clarks"/>
    <x v="1"/>
    <x v="7"/>
    <n v="11"/>
    <x v="3"/>
    <n v="89"/>
    <n v="89"/>
    <n v="47"/>
    <n v="979"/>
    <n v="517"/>
    <n v="462"/>
    <n v="0.47191011235955055"/>
    <m/>
    <x v="3"/>
  </r>
  <r>
    <x v="186"/>
    <s v="boots"/>
    <x v="3"/>
    <s v="OPEN"/>
    <x v="3"/>
    <s v="Green"/>
    <s v="ZARA"/>
    <x v="3"/>
    <x v="11"/>
    <n v="14"/>
    <x v="1"/>
    <n v="76"/>
    <n v="76"/>
    <n v="39"/>
    <n v="1064"/>
    <n v="546"/>
    <n v="518"/>
    <n v="0.48684210526315791"/>
    <m/>
    <x v="5"/>
  </r>
  <r>
    <x v="17"/>
    <s v="Canvas"/>
    <x v="4"/>
    <s v="Formal"/>
    <x v="0"/>
    <s v="Red"/>
    <s v="Nike"/>
    <x v="0"/>
    <x v="7"/>
    <n v="13"/>
    <x v="0"/>
    <n v="128"/>
    <n v="128"/>
    <n v="72"/>
    <n v="1664"/>
    <n v="936"/>
    <n v="728"/>
    <n v="0.4375"/>
    <m/>
    <x v="4"/>
  </r>
  <r>
    <x v="36"/>
    <s v="OXFORD"/>
    <x v="5"/>
    <s v="casual"/>
    <x v="2"/>
    <s v="Black"/>
    <s v="Nike"/>
    <x v="0"/>
    <x v="4"/>
    <n v="9"/>
    <x v="3"/>
    <n v="105"/>
    <n v="105"/>
    <n v="58"/>
    <n v="945"/>
    <n v="522"/>
    <n v="423"/>
    <n v="0.44761904761904764"/>
    <m/>
    <x v="2"/>
  </r>
  <r>
    <x v="187"/>
    <s v="OXFORD"/>
    <x v="5"/>
    <s v="UTILITY"/>
    <x v="1"/>
    <s v="Brown"/>
    <s v="timberland"/>
    <x v="2"/>
    <x v="11"/>
    <n v="6"/>
    <x v="3"/>
    <n v="105"/>
    <n v="105"/>
    <n v="58"/>
    <n v="630"/>
    <n v="348"/>
    <n v="282"/>
    <n v="0.44761904761904764"/>
    <m/>
    <x v="3"/>
  </r>
  <r>
    <x v="97"/>
    <s v="BROGUES"/>
    <x v="6"/>
    <s v="UTILITY"/>
    <x v="1"/>
    <s v="Blue"/>
    <s v="timberland"/>
    <x v="2"/>
    <x v="10"/>
    <n v="12"/>
    <x v="2"/>
    <n v="112"/>
    <n v="112"/>
    <n v="64"/>
    <n v="1344"/>
    <n v="768"/>
    <n v="576"/>
    <n v="0.42857142857142855"/>
    <m/>
    <x v="2"/>
  </r>
  <r>
    <x v="75"/>
    <s v="Canvas"/>
    <x v="4"/>
    <s v="OPEN"/>
    <x v="3"/>
    <s v="Green"/>
    <s v="Nike"/>
    <x v="0"/>
    <x v="2"/>
    <n v="7"/>
    <x v="0"/>
    <n v="128"/>
    <n v="128"/>
    <n v="72"/>
    <n v="896"/>
    <n v="504"/>
    <n v="392"/>
    <n v="0.4375"/>
    <m/>
    <x v="4"/>
  </r>
  <r>
    <x v="187"/>
    <s v="loafers"/>
    <x v="1"/>
    <s v="UTILITY"/>
    <x v="1"/>
    <s v="Blue"/>
    <s v="timberland"/>
    <x v="2"/>
    <x v="0"/>
    <n v="14"/>
    <x v="3"/>
    <n v="54"/>
    <n v="54"/>
    <n v="28"/>
    <n v="756"/>
    <n v="392"/>
    <n v="364"/>
    <n v="0.48148148148148145"/>
    <m/>
    <x v="3"/>
  </r>
  <r>
    <x v="179"/>
    <s v="boots"/>
    <x v="3"/>
    <s v="OPEN"/>
    <x v="3"/>
    <s v="Blue"/>
    <s v="clarks"/>
    <x v="1"/>
    <x v="11"/>
    <n v="8"/>
    <x v="3"/>
    <n v="76"/>
    <n v="76"/>
    <n v="39"/>
    <n v="608"/>
    <n v="312"/>
    <n v="296"/>
    <n v="0.48684210526315791"/>
    <m/>
    <x v="0"/>
  </r>
  <r>
    <x v="74"/>
    <s v="OXFORD"/>
    <x v="5"/>
    <s v="Formal"/>
    <x v="0"/>
    <s v="Red"/>
    <s v="ZARA"/>
    <x v="3"/>
    <x v="9"/>
    <n v="3"/>
    <x v="0"/>
    <n v="105"/>
    <n v="105"/>
    <n v="58"/>
    <n v="315"/>
    <n v="174"/>
    <n v="141"/>
    <n v="0.44761904761904764"/>
    <m/>
    <x v="7"/>
  </r>
  <r>
    <x v="61"/>
    <s v="boots"/>
    <x v="3"/>
    <s v="Formal"/>
    <x v="0"/>
    <s v="Red"/>
    <s v="ZARA"/>
    <x v="3"/>
    <x v="6"/>
    <n v="15"/>
    <x v="3"/>
    <n v="76"/>
    <n v="76"/>
    <n v="39"/>
    <n v="1140"/>
    <n v="585"/>
    <n v="555"/>
    <n v="0.48684210526315791"/>
    <m/>
    <x v="2"/>
  </r>
  <r>
    <x v="42"/>
    <s v="OXFORD"/>
    <x v="5"/>
    <s v="UTILITY"/>
    <x v="1"/>
    <s v="Brown"/>
    <s v="Steve Madden"/>
    <x v="4"/>
    <x v="4"/>
    <n v="5"/>
    <x v="1"/>
    <n v="105"/>
    <n v="105"/>
    <n v="58"/>
    <n v="525"/>
    <n v="290"/>
    <n v="235"/>
    <n v="0.44761904761904764"/>
    <m/>
    <x v="4"/>
  </r>
  <r>
    <x v="65"/>
    <s v="OXFORD"/>
    <x v="5"/>
    <s v="UTILITY"/>
    <x v="1"/>
    <s v="Green"/>
    <s v="clarks"/>
    <x v="1"/>
    <x v="3"/>
    <n v="2"/>
    <x v="1"/>
    <n v="105"/>
    <n v="105"/>
    <n v="58"/>
    <n v="210"/>
    <n v="116"/>
    <n v="94"/>
    <n v="0.44761904761904764"/>
    <m/>
    <x v="0"/>
  </r>
  <r>
    <x v="187"/>
    <s v="Canvas"/>
    <x v="4"/>
    <s v="casual"/>
    <x v="2"/>
    <s v="Black"/>
    <s v="ZARA"/>
    <x v="3"/>
    <x v="2"/>
    <n v="14"/>
    <x v="2"/>
    <n v="128"/>
    <n v="128"/>
    <n v="72"/>
    <n v="1792"/>
    <n v="1008"/>
    <n v="784"/>
    <n v="0.4375"/>
    <m/>
    <x v="3"/>
  </r>
  <r>
    <x v="64"/>
    <s v="Canvas"/>
    <x v="4"/>
    <s v="Formal"/>
    <x v="0"/>
    <s v="Brown"/>
    <s v="timberland"/>
    <x v="2"/>
    <x v="1"/>
    <n v="5"/>
    <x v="0"/>
    <n v="128"/>
    <n v="128"/>
    <n v="72"/>
    <n v="640"/>
    <n v="360"/>
    <n v="280"/>
    <n v="0.4375"/>
    <m/>
    <x v="7"/>
  </r>
  <r>
    <x v="188"/>
    <s v="BROGUES"/>
    <x v="6"/>
    <s v="Formal"/>
    <x v="0"/>
    <s v="Blue"/>
    <s v="clarks"/>
    <x v="1"/>
    <x v="8"/>
    <n v="13"/>
    <x v="3"/>
    <n v="112"/>
    <n v="112"/>
    <n v="64"/>
    <n v="1456"/>
    <n v="832"/>
    <n v="624"/>
    <n v="0.42857142857142855"/>
    <m/>
    <x v="0"/>
  </r>
  <r>
    <x v="2"/>
    <s v="Canvas"/>
    <x v="4"/>
    <s v="Formal"/>
    <x v="0"/>
    <s v="Green"/>
    <s v="timberland"/>
    <x v="2"/>
    <x v="3"/>
    <n v="3"/>
    <x v="0"/>
    <n v="128"/>
    <n v="128"/>
    <n v="72"/>
    <n v="384"/>
    <n v="216"/>
    <n v="168"/>
    <n v="0.4375"/>
    <m/>
    <x v="0"/>
  </r>
  <r>
    <x v="181"/>
    <s v="SLIPPERS"/>
    <x v="7"/>
    <s v="Formal"/>
    <x v="0"/>
    <s v="Green"/>
    <s v="clarks"/>
    <x v="1"/>
    <x v="12"/>
    <n v="8"/>
    <x v="1"/>
    <n v="119"/>
    <n v="119"/>
    <n v="67"/>
    <n v="952"/>
    <n v="536"/>
    <n v="416"/>
    <n v="0.43697478991596639"/>
    <m/>
    <x v="4"/>
  </r>
  <r>
    <x v="154"/>
    <s v="SLIPPERS"/>
    <x v="7"/>
    <s v="UTILITY"/>
    <x v="1"/>
    <s v="Red"/>
    <s v="clarks"/>
    <x v="1"/>
    <x v="12"/>
    <n v="1"/>
    <x v="3"/>
    <n v="119"/>
    <n v="119"/>
    <n v="67"/>
    <n v="119"/>
    <n v="67"/>
    <n v="52"/>
    <n v="0.43697478991596639"/>
    <m/>
    <x v="6"/>
  </r>
  <r>
    <x v="135"/>
    <s v="Derby"/>
    <x v="2"/>
    <s v="casual"/>
    <x v="2"/>
    <s v="Blue"/>
    <s v="Steve Madden"/>
    <x v="4"/>
    <x v="3"/>
    <n v="5"/>
    <x v="2"/>
    <n v="32"/>
    <n v="32"/>
    <n v="14"/>
    <n v="160"/>
    <n v="70"/>
    <n v="90"/>
    <n v="0.5625"/>
    <m/>
    <x v="5"/>
  </r>
  <r>
    <x v="156"/>
    <s v="SLIPPERS"/>
    <x v="7"/>
    <s v="casual"/>
    <x v="2"/>
    <s v="Green"/>
    <s v="ZARA"/>
    <x v="3"/>
    <x v="8"/>
    <n v="8"/>
    <x v="0"/>
    <n v="119"/>
    <n v="119"/>
    <n v="67"/>
    <n v="952"/>
    <n v="536"/>
    <n v="416"/>
    <n v="0.43697478991596639"/>
    <m/>
    <x v="2"/>
  </r>
  <r>
    <x v="187"/>
    <s v="Derby"/>
    <x v="2"/>
    <s v="Formal"/>
    <x v="0"/>
    <s v="Blue"/>
    <s v="Steve Madden"/>
    <x v="4"/>
    <x v="5"/>
    <n v="4"/>
    <x v="1"/>
    <n v="32"/>
    <n v="32"/>
    <n v="14"/>
    <n v="128"/>
    <n v="56"/>
    <n v="72"/>
    <n v="0.5625"/>
    <m/>
    <x v="3"/>
  </r>
  <r>
    <x v="189"/>
    <s v="monk straps"/>
    <x v="0"/>
    <s v="casual"/>
    <x v="2"/>
    <s v="Blue"/>
    <s v="clarks"/>
    <x v="1"/>
    <x v="3"/>
    <n v="4"/>
    <x v="1"/>
    <n v="89"/>
    <n v="89"/>
    <n v="47"/>
    <n v="356"/>
    <n v="188"/>
    <n v="168"/>
    <n v="0.47191011235955055"/>
    <m/>
    <x v="1"/>
  </r>
  <r>
    <x v="89"/>
    <s v="BROGUES"/>
    <x v="6"/>
    <s v="casual"/>
    <x v="2"/>
    <s v="Black"/>
    <s v="Steve Madden"/>
    <x v="4"/>
    <x v="11"/>
    <n v="10"/>
    <x v="1"/>
    <n v="112"/>
    <n v="112"/>
    <n v="64"/>
    <n v="1120"/>
    <n v="640"/>
    <n v="480"/>
    <n v="0.42857142857142855"/>
    <m/>
    <x v="0"/>
  </r>
  <r>
    <x v="183"/>
    <s v="BROGUES"/>
    <x v="6"/>
    <s v="Formal"/>
    <x v="0"/>
    <s v="Red"/>
    <s v="ZARA"/>
    <x v="3"/>
    <x v="0"/>
    <n v="8"/>
    <x v="2"/>
    <n v="112"/>
    <n v="112"/>
    <n v="64"/>
    <n v="896"/>
    <n v="512"/>
    <n v="384"/>
    <n v="0.42857142857142855"/>
    <m/>
    <x v="7"/>
  </r>
  <r>
    <x v="125"/>
    <s v="monk straps"/>
    <x v="0"/>
    <s v="casual"/>
    <x v="2"/>
    <s v="Green"/>
    <s v="Nike"/>
    <x v="0"/>
    <x v="3"/>
    <n v="5"/>
    <x v="0"/>
    <n v="89"/>
    <n v="89"/>
    <n v="47"/>
    <n v="445"/>
    <n v="235"/>
    <n v="210"/>
    <n v="0.47191011235955055"/>
    <m/>
    <x v="4"/>
  </r>
  <r>
    <x v="110"/>
    <s v="BROGUES"/>
    <x v="6"/>
    <s v="casual"/>
    <x v="2"/>
    <s v="Red"/>
    <s v="timberland"/>
    <x v="2"/>
    <x v="13"/>
    <n v="2"/>
    <x v="1"/>
    <n v="112"/>
    <n v="112"/>
    <n v="64"/>
    <n v="224"/>
    <n v="128"/>
    <n v="96"/>
    <n v="0.42857142857142855"/>
    <m/>
    <x v="4"/>
  </r>
  <r>
    <x v="190"/>
    <s v="Canvas"/>
    <x v="4"/>
    <s v="casual"/>
    <x v="2"/>
    <s v="Red"/>
    <s v="timberland"/>
    <x v="2"/>
    <x v="13"/>
    <n v="6"/>
    <x v="3"/>
    <n v="128"/>
    <n v="128"/>
    <n v="72"/>
    <n v="768"/>
    <n v="432"/>
    <n v="336"/>
    <n v="0.4375"/>
    <m/>
    <x v="2"/>
  </r>
  <r>
    <x v="191"/>
    <s v="BROGUES"/>
    <x v="6"/>
    <s v="casual"/>
    <x v="2"/>
    <s v="Blue"/>
    <s v="Steve Madden"/>
    <x v="4"/>
    <x v="9"/>
    <n v="7"/>
    <x v="2"/>
    <n v="112"/>
    <n v="112"/>
    <n v="64"/>
    <n v="784"/>
    <n v="448"/>
    <n v="336"/>
    <n v="0.42857142857142855"/>
    <m/>
    <x v="6"/>
  </r>
  <r>
    <x v="176"/>
    <s v="boots"/>
    <x v="3"/>
    <s v="Formal"/>
    <x v="0"/>
    <s v="Green"/>
    <s v="ZARA"/>
    <x v="3"/>
    <x v="6"/>
    <n v="3"/>
    <x v="1"/>
    <n v="76"/>
    <n v="76"/>
    <n v="39"/>
    <n v="228"/>
    <n v="117"/>
    <n v="111"/>
    <n v="0.48684210526315791"/>
    <m/>
    <x v="1"/>
  </r>
  <r>
    <x v="131"/>
    <s v="monk straps"/>
    <x v="0"/>
    <s v="Formal"/>
    <x v="0"/>
    <s v="Brown"/>
    <s v="clarks"/>
    <x v="1"/>
    <x v="13"/>
    <n v="5"/>
    <x v="0"/>
    <n v="89"/>
    <n v="89"/>
    <n v="47"/>
    <n v="445"/>
    <n v="235"/>
    <n v="210"/>
    <n v="0.47191011235955055"/>
    <m/>
    <x v="7"/>
  </r>
  <r>
    <x v="86"/>
    <s v="Derby"/>
    <x v="2"/>
    <s v="OPEN"/>
    <x v="3"/>
    <s v="Green"/>
    <s v="clarks"/>
    <x v="1"/>
    <x v="5"/>
    <n v="3"/>
    <x v="0"/>
    <n v="32"/>
    <n v="32"/>
    <n v="14"/>
    <n v="96"/>
    <n v="42"/>
    <n v="54"/>
    <n v="0.5625"/>
    <m/>
    <x v="7"/>
  </r>
  <r>
    <x v="41"/>
    <s v="BROGUES"/>
    <x v="6"/>
    <s v="OPEN"/>
    <x v="3"/>
    <s v="Red"/>
    <s v="timberland"/>
    <x v="2"/>
    <x v="9"/>
    <n v="7"/>
    <x v="2"/>
    <n v="112"/>
    <n v="112"/>
    <n v="64"/>
    <n v="784"/>
    <n v="448"/>
    <n v="336"/>
    <n v="0.42857142857142855"/>
    <m/>
    <x v="4"/>
  </r>
  <r>
    <x v="72"/>
    <s v="Derby"/>
    <x v="2"/>
    <s v="casual"/>
    <x v="2"/>
    <s v="Brown"/>
    <s v="clarks"/>
    <x v="1"/>
    <x v="6"/>
    <n v="3"/>
    <x v="0"/>
    <n v="32"/>
    <n v="32"/>
    <n v="14"/>
    <n v="96"/>
    <n v="42"/>
    <n v="54"/>
    <n v="0.5625"/>
    <m/>
    <x v="0"/>
  </r>
  <r>
    <x v="16"/>
    <s v="Canvas"/>
    <x v="4"/>
    <s v="Formal"/>
    <x v="0"/>
    <s v="Green"/>
    <s v="clarks"/>
    <x v="1"/>
    <x v="9"/>
    <n v="8"/>
    <x v="2"/>
    <n v="128"/>
    <n v="128"/>
    <n v="72"/>
    <n v="1024"/>
    <n v="576"/>
    <n v="448"/>
    <n v="0.4375"/>
    <m/>
    <x v="0"/>
  </r>
  <r>
    <x v="121"/>
    <s v="Derby"/>
    <x v="2"/>
    <s v="casual"/>
    <x v="2"/>
    <s v="Red"/>
    <s v="ZARA"/>
    <x v="3"/>
    <x v="10"/>
    <n v="3"/>
    <x v="1"/>
    <n v="32"/>
    <n v="32"/>
    <n v="14"/>
    <n v="96"/>
    <n v="42"/>
    <n v="54"/>
    <n v="0.5625"/>
    <m/>
    <x v="4"/>
  </r>
  <r>
    <x v="49"/>
    <s v="SLIPPERS"/>
    <x v="7"/>
    <s v="UTILITY"/>
    <x v="1"/>
    <s v="Blue"/>
    <s v="Steve Madden"/>
    <x v="4"/>
    <x v="5"/>
    <n v="5"/>
    <x v="2"/>
    <n v="119"/>
    <n v="119"/>
    <n v="67"/>
    <n v="595"/>
    <n v="335"/>
    <n v="260"/>
    <n v="0.43697478991596639"/>
    <m/>
    <x v="1"/>
  </r>
  <r>
    <x v="148"/>
    <s v="monk straps"/>
    <x v="0"/>
    <s v="casual"/>
    <x v="2"/>
    <s v="Red"/>
    <s v="clarks"/>
    <x v="1"/>
    <x v="9"/>
    <n v="3"/>
    <x v="3"/>
    <n v="89"/>
    <n v="89"/>
    <n v="47"/>
    <n v="267"/>
    <n v="141"/>
    <n v="126"/>
    <n v="0.47191011235955055"/>
    <m/>
    <x v="3"/>
  </r>
  <r>
    <x v="151"/>
    <s v="OXFORD"/>
    <x v="5"/>
    <s v="Formal"/>
    <x v="0"/>
    <s v="Black"/>
    <s v="clarks"/>
    <x v="1"/>
    <x v="13"/>
    <n v="13"/>
    <x v="1"/>
    <n v="105"/>
    <n v="105"/>
    <n v="58"/>
    <n v="1365"/>
    <n v="754"/>
    <n v="611"/>
    <n v="0.44761904761904764"/>
    <m/>
    <x v="1"/>
  </r>
  <r>
    <x v="139"/>
    <s v="boots"/>
    <x v="3"/>
    <s v="casual"/>
    <x v="2"/>
    <s v="Red"/>
    <s v="clarks"/>
    <x v="1"/>
    <x v="8"/>
    <n v="12"/>
    <x v="2"/>
    <n v="76"/>
    <n v="76"/>
    <n v="39"/>
    <n v="912"/>
    <n v="468"/>
    <n v="444"/>
    <n v="0.48684210526315791"/>
    <m/>
    <x v="5"/>
  </r>
  <r>
    <x v="192"/>
    <s v="monk straps"/>
    <x v="0"/>
    <s v="casual"/>
    <x v="2"/>
    <s v="Black"/>
    <s v="clarks"/>
    <x v="1"/>
    <x v="5"/>
    <n v="3"/>
    <x v="1"/>
    <n v="89"/>
    <n v="89"/>
    <n v="47"/>
    <n v="267"/>
    <n v="141"/>
    <n v="126"/>
    <n v="0.47191011235955055"/>
    <m/>
    <x v="2"/>
  </r>
  <r>
    <x v="170"/>
    <s v="OXFORD"/>
    <x v="5"/>
    <s v="OPEN"/>
    <x v="3"/>
    <s v="Brown"/>
    <s v="clarks"/>
    <x v="1"/>
    <x v="2"/>
    <n v="2"/>
    <x v="2"/>
    <n v="105"/>
    <n v="105"/>
    <n v="58"/>
    <n v="210"/>
    <n v="116"/>
    <n v="94"/>
    <n v="0.44761904761904764"/>
    <m/>
    <x v="1"/>
  </r>
  <r>
    <x v="155"/>
    <s v="Canvas"/>
    <x v="4"/>
    <s v="Formal"/>
    <x v="0"/>
    <s v="Black"/>
    <s v="ZARA"/>
    <x v="3"/>
    <x v="7"/>
    <n v="14"/>
    <x v="2"/>
    <n v="128"/>
    <n v="128"/>
    <n v="72"/>
    <n v="1792"/>
    <n v="1008"/>
    <n v="784"/>
    <n v="0.4375"/>
    <m/>
    <x v="1"/>
  </r>
  <r>
    <x v="87"/>
    <s v="BROGUES"/>
    <x v="6"/>
    <s v="Formal"/>
    <x v="0"/>
    <s v="Red"/>
    <s v="clarks"/>
    <x v="1"/>
    <x v="5"/>
    <n v="4"/>
    <x v="3"/>
    <n v="112"/>
    <n v="112"/>
    <n v="64"/>
    <n v="448"/>
    <n v="256"/>
    <n v="192"/>
    <n v="0.42857142857142855"/>
    <m/>
    <x v="1"/>
  </r>
  <r>
    <x v="193"/>
    <s v="loafers"/>
    <x v="1"/>
    <s v="Formal"/>
    <x v="0"/>
    <s v="Red"/>
    <s v="Nike"/>
    <x v="0"/>
    <x v="0"/>
    <n v="4"/>
    <x v="2"/>
    <n v="54"/>
    <n v="54"/>
    <n v="28"/>
    <n v="216"/>
    <n v="112"/>
    <n v="104"/>
    <n v="0.48148148148148145"/>
    <m/>
    <x v="2"/>
  </r>
  <r>
    <x v="38"/>
    <s v="boots"/>
    <x v="3"/>
    <s v="Formal"/>
    <x v="0"/>
    <s v="Brown"/>
    <s v="clarks"/>
    <x v="1"/>
    <x v="1"/>
    <n v="4"/>
    <x v="1"/>
    <n v="76"/>
    <n v="76"/>
    <n v="39"/>
    <n v="304"/>
    <n v="156"/>
    <n v="148"/>
    <n v="0.48684210526315791"/>
    <m/>
    <x v="3"/>
  </r>
  <r>
    <x v="134"/>
    <s v="SLIPPERS"/>
    <x v="7"/>
    <s v="OPEN"/>
    <x v="3"/>
    <s v="Black"/>
    <s v="Nike"/>
    <x v="0"/>
    <x v="0"/>
    <n v="1"/>
    <x v="2"/>
    <n v="119"/>
    <n v="119"/>
    <n v="67"/>
    <n v="119"/>
    <n v="67"/>
    <n v="52"/>
    <n v="0.43697478991596639"/>
    <m/>
    <x v="6"/>
  </r>
  <r>
    <x v="194"/>
    <s v="boots"/>
    <x v="3"/>
    <s v="Formal"/>
    <x v="0"/>
    <s v="Red"/>
    <s v="ZARA"/>
    <x v="3"/>
    <x v="13"/>
    <n v="5"/>
    <x v="2"/>
    <n v="76"/>
    <n v="76"/>
    <n v="39"/>
    <n v="380"/>
    <n v="195"/>
    <n v="185"/>
    <n v="0.48684210526315791"/>
    <m/>
    <x v="6"/>
  </r>
  <r>
    <x v="43"/>
    <s v="BROGUES"/>
    <x v="6"/>
    <s v="Formal"/>
    <x v="0"/>
    <s v="Brown"/>
    <s v="ZARA"/>
    <x v="3"/>
    <x v="6"/>
    <n v="5"/>
    <x v="2"/>
    <n v="112"/>
    <n v="112"/>
    <n v="64"/>
    <n v="560"/>
    <n v="320"/>
    <n v="240"/>
    <n v="0.42857142857142855"/>
    <m/>
    <x v="1"/>
  </r>
  <r>
    <x v="173"/>
    <s v="BROGUES"/>
    <x v="6"/>
    <s v="Formal"/>
    <x v="0"/>
    <s v="Blue"/>
    <s v="Steve Madden"/>
    <x v="4"/>
    <x v="4"/>
    <n v="3"/>
    <x v="2"/>
    <n v="112"/>
    <n v="112"/>
    <n v="64"/>
    <n v="336"/>
    <n v="192"/>
    <n v="144"/>
    <n v="0.42857142857142855"/>
    <m/>
    <x v="5"/>
  </r>
  <r>
    <x v="14"/>
    <s v="BROGUES"/>
    <x v="6"/>
    <s v="Formal"/>
    <x v="0"/>
    <s v="Blue"/>
    <s v="Steve Madden"/>
    <x v="4"/>
    <x v="9"/>
    <n v="11"/>
    <x v="0"/>
    <n v="112"/>
    <n v="112"/>
    <n v="64"/>
    <n v="1232"/>
    <n v="704"/>
    <n v="528"/>
    <n v="0.42857142857142855"/>
    <m/>
    <x v="2"/>
  </r>
  <r>
    <x v="154"/>
    <s v="boots"/>
    <x v="3"/>
    <s v="casual"/>
    <x v="2"/>
    <s v="Black"/>
    <s v="clarks"/>
    <x v="1"/>
    <x v="13"/>
    <n v="9"/>
    <x v="3"/>
    <n v="76"/>
    <n v="76"/>
    <n v="39"/>
    <n v="684"/>
    <n v="351"/>
    <n v="333"/>
    <n v="0.48684210526315791"/>
    <m/>
    <x v="6"/>
  </r>
  <r>
    <x v="81"/>
    <s v="OXFORD"/>
    <x v="5"/>
    <s v="Formal"/>
    <x v="0"/>
    <s v="Blue"/>
    <s v="ZARA"/>
    <x v="3"/>
    <x v="5"/>
    <n v="15"/>
    <x v="0"/>
    <n v="105"/>
    <n v="105"/>
    <n v="58"/>
    <n v="1575"/>
    <n v="870"/>
    <n v="705"/>
    <n v="0.44761904761904764"/>
    <m/>
    <x v="2"/>
  </r>
  <r>
    <x v="92"/>
    <s v="monk straps"/>
    <x v="0"/>
    <s v="casual"/>
    <x v="2"/>
    <s v="Blue"/>
    <s v="ZARA"/>
    <x v="3"/>
    <x v="3"/>
    <n v="10"/>
    <x v="2"/>
    <n v="89"/>
    <n v="89"/>
    <n v="47"/>
    <n v="890"/>
    <n v="470"/>
    <n v="420"/>
    <n v="0.47191011235955055"/>
    <m/>
    <x v="5"/>
  </r>
  <r>
    <x v="133"/>
    <s v="SLIPPERS"/>
    <x v="7"/>
    <s v="Formal"/>
    <x v="0"/>
    <s v="Brown"/>
    <s v="ZARA"/>
    <x v="3"/>
    <x v="7"/>
    <n v="5"/>
    <x v="2"/>
    <n v="119"/>
    <n v="119"/>
    <n v="67"/>
    <n v="595"/>
    <n v="335"/>
    <n v="260"/>
    <n v="0.43697478991596639"/>
    <m/>
    <x v="4"/>
  </r>
  <r>
    <x v="195"/>
    <s v="SLIPPERS"/>
    <x v="7"/>
    <s v="Formal"/>
    <x v="0"/>
    <s v="Green"/>
    <s v="clarks"/>
    <x v="1"/>
    <x v="6"/>
    <n v="9"/>
    <x v="2"/>
    <n v="119"/>
    <n v="119"/>
    <n v="67"/>
    <n v="1071"/>
    <n v="603"/>
    <n v="468"/>
    <n v="0.43697478991596639"/>
    <m/>
    <x v="0"/>
  </r>
  <r>
    <x v="36"/>
    <s v="monk straps"/>
    <x v="0"/>
    <s v="Formal"/>
    <x v="0"/>
    <s v="Black"/>
    <s v="clarks"/>
    <x v="1"/>
    <x v="12"/>
    <n v="1"/>
    <x v="2"/>
    <n v="89"/>
    <n v="89"/>
    <n v="47"/>
    <n v="89"/>
    <n v="47"/>
    <n v="42"/>
    <n v="0.47191011235955055"/>
    <m/>
    <x v="2"/>
  </r>
  <r>
    <x v="24"/>
    <s v="boots"/>
    <x v="3"/>
    <s v="casual"/>
    <x v="2"/>
    <s v="Blue"/>
    <s v="clarks"/>
    <x v="1"/>
    <x v="2"/>
    <n v="8"/>
    <x v="1"/>
    <n v="76"/>
    <n v="76"/>
    <n v="39"/>
    <n v="608"/>
    <n v="312"/>
    <n v="296"/>
    <n v="0.48684210526315791"/>
    <m/>
    <x v="4"/>
  </r>
  <r>
    <x v="164"/>
    <s v="OXFORD"/>
    <x v="5"/>
    <s v="OPEN"/>
    <x v="3"/>
    <s v="Green"/>
    <s v="clarks"/>
    <x v="1"/>
    <x v="8"/>
    <n v="8"/>
    <x v="3"/>
    <n v="105"/>
    <n v="105"/>
    <n v="58"/>
    <n v="840"/>
    <n v="464"/>
    <n v="376"/>
    <n v="0.44761904761904764"/>
    <m/>
    <x v="1"/>
  </r>
  <r>
    <x v="180"/>
    <s v="Derby"/>
    <x v="2"/>
    <s v="OPEN"/>
    <x v="3"/>
    <s v="Red"/>
    <s v="clarks"/>
    <x v="1"/>
    <x v="7"/>
    <n v="9"/>
    <x v="1"/>
    <n v="32"/>
    <n v="32"/>
    <n v="14"/>
    <n v="288"/>
    <n v="126"/>
    <n v="162"/>
    <n v="0.5625"/>
    <m/>
    <x v="2"/>
  </r>
  <r>
    <x v="79"/>
    <s v="BROGUES"/>
    <x v="6"/>
    <s v="casual"/>
    <x v="2"/>
    <s v="Black"/>
    <s v="Nike"/>
    <x v="0"/>
    <x v="10"/>
    <n v="10"/>
    <x v="0"/>
    <n v="112"/>
    <n v="112"/>
    <n v="64"/>
    <n v="1120"/>
    <n v="640"/>
    <n v="480"/>
    <n v="0.42857142857142855"/>
    <m/>
    <x v="1"/>
  </r>
  <r>
    <x v="194"/>
    <s v="Canvas"/>
    <x v="4"/>
    <s v="OPEN"/>
    <x v="3"/>
    <s v="Green"/>
    <s v="clarks"/>
    <x v="1"/>
    <x v="4"/>
    <n v="6"/>
    <x v="1"/>
    <n v="128"/>
    <n v="128"/>
    <n v="72"/>
    <n v="768"/>
    <n v="432"/>
    <n v="336"/>
    <n v="0.4375"/>
    <m/>
    <x v="6"/>
  </r>
  <r>
    <x v="164"/>
    <s v="Canvas"/>
    <x v="4"/>
    <s v="Formal"/>
    <x v="0"/>
    <s v="Green"/>
    <s v="Nike"/>
    <x v="0"/>
    <x v="4"/>
    <n v="4"/>
    <x v="2"/>
    <n v="128"/>
    <n v="128"/>
    <n v="72"/>
    <n v="512"/>
    <n v="288"/>
    <n v="224"/>
    <n v="0.4375"/>
    <m/>
    <x v="1"/>
  </r>
  <r>
    <x v="75"/>
    <s v="monk straps"/>
    <x v="0"/>
    <s v="Formal"/>
    <x v="0"/>
    <s v="Black"/>
    <s v="timberland"/>
    <x v="2"/>
    <x v="1"/>
    <n v="4"/>
    <x v="0"/>
    <n v="89"/>
    <n v="89"/>
    <n v="47"/>
    <n v="356"/>
    <n v="188"/>
    <n v="168"/>
    <n v="0.47191011235955055"/>
    <m/>
    <x v="4"/>
  </r>
  <r>
    <x v="23"/>
    <s v="boots"/>
    <x v="3"/>
    <s v="Formal"/>
    <x v="0"/>
    <s v="Red"/>
    <s v="Steve Madden"/>
    <x v="4"/>
    <x v="5"/>
    <n v="14"/>
    <x v="0"/>
    <n v="76"/>
    <n v="76"/>
    <n v="39"/>
    <n v="1064"/>
    <n v="546"/>
    <n v="518"/>
    <n v="0.48684210526315791"/>
    <m/>
    <x v="5"/>
  </r>
  <r>
    <x v="49"/>
    <s v="BROGUES"/>
    <x v="6"/>
    <s v="Formal"/>
    <x v="0"/>
    <s v="Green"/>
    <s v="Steve Madden"/>
    <x v="4"/>
    <x v="5"/>
    <n v="8"/>
    <x v="1"/>
    <n v="112"/>
    <n v="112"/>
    <n v="64"/>
    <n v="896"/>
    <n v="512"/>
    <n v="384"/>
    <n v="0.42857142857142855"/>
    <m/>
    <x v="1"/>
  </r>
  <r>
    <x v="80"/>
    <s v="boots"/>
    <x v="3"/>
    <s v="Formal"/>
    <x v="0"/>
    <s v="Black"/>
    <s v="clarks"/>
    <x v="1"/>
    <x v="5"/>
    <n v="3"/>
    <x v="1"/>
    <n v="76"/>
    <n v="76"/>
    <n v="39"/>
    <n v="228"/>
    <n v="117"/>
    <n v="111"/>
    <n v="0.48684210526315791"/>
    <m/>
    <x v="5"/>
  </r>
  <r>
    <x v="26"/>
    <s v="Canvas"/>
    <x v="4"/>
    <s v="casual"/>
    <x v="2"/>
    <s v="Red"/>
    <s v="clarks"/>
    <x v="1"/>
    <x v="7"/>
    <n v="10"/>
    <x v="0"/>
    <n v="128"/>
    <n v="128"/>
    <n v="72"/>
    <n v="1280"/>
    <n v="720"/>
    <n v="560"/>
    <n v="0.4375"/>
    <m/>
    <x v="3"/>
  </r>
  <r>
    <x v="34"/>
    <s v="loafers"/>
    <x v="1"/>
    <s v="UTILITY"/>
    <x v="1"/>
    <s v="Black"/>
    <s v="clarks"/>
    <x v="1"/>
    <x v="4"/>
    <n v="7"/>
    <x v="1"/>
    <n v="54"/>
    <n v="54"/>
    <n v="28"/>
    <n v="378"/>
    <n v="196"/>
    <n v="182"/>
    <n v="0.48148148148148145"/>
    <m/>
    <x v="4"/>
  </r>
  <r>
    <x v="118"/>
    <s v="SLIPPERS"/>
    <x v="7"/>
    <s v="Formal"/>
    <x v="0"/>
    <s v="Black"/>
    <s v="Nike"/>
    <x v="0"/>
    <x v="5"/>
    <n v="6"/>
    <x v="3"/>
    <n v="119"/>
    <n v="119"/>
    <n v="67"/>
    <n v="714"/>
    <n v="402"/>
    <n v="312"/>
    <n v="0.43697478991596639"/>
    <m/>
    <x v="2"/>
  </r>
  <r>
    <x v="106"/>
    <s v="Derby"/>
    <x v="2"/>
    <s v="Formal"/>
    <x v="0"/>
    <s v="Black"/>
    <s v="Nike"/>
    <x v="0"/>
    <x v="8"/>
    <n v="13"/>
    <x v="3"/>
    <n v="32"/>
    <n v="32"/>
    <n v="14"/>
    <n v="416"/>
    <n v="182"/>
    <n v="234"/>
    <n v="0.5625"/>
    <m/>
    <x v="7"/>
  </r>
  <r>
    <x v="196"/>
    <s v="monk straps"/>
    <x v="0"/>
    <s v="casual"/>
    <x v="2"/>
    <s v="Black"/>
    <s v="clarks"/>
    <x v="1"/>
    <x v="1"/>
    <n v="4"/>
    <x v="0"/>
    <n v="89"/>
    <n v="89"/>
    <n v="47"/>
    <n v="356"/>
    <n v="188"/>
    <n v="168"/>
    <n v="0.47191011235955055"/>
    <m/>
    <x v="5"/>
  </r>
  <r>
    <x v="197"/>
    <s v="SLIPPERS"/>
    <x v="7"/>
    <s v="Formal"/>
    <x v="0"/>
    <s v="Brown"/>
    <s v="ZARA"/>
    <x v="3"/>
    <x v="11"/>
    <n v="3"/>
    <x v="0"/>
    <n v="119"/>
    <n v="119"/>
    <n v="67"/>
    <n v="357"/>
    <n v="201"/>
    <n v="156"/>
    <n v="0.43697478991596639"/>
    <m/>
    <x v="2"/>
  </r>
  <r>
    <x v="174"/>
    <s v="Canvas"/>
    <x v="4"/>
    <s v="casual"/>
    <x v="2"/>
    <s v="Brown"/>
    <s v="ZARA"/>
    <x v="3"/>
    <x v="3"/>
    <n v="13"/>
    <x v="3"/>
    <n v="128"/>
    <n v="128"/>
    <n v="72"/>
    <n v="1664"/>
    <n v="936"/>
    <n v="728"/>
    <n v="0.4375"/>
    <m/>
    <x v="7"/>
  </r>
  <r>
    <x v="38"/>
    <s v="boots"/>
    <x v="3"/>
    <s v="casual"/>
    <x v="2"/>
    <s v="Brown"/>
    <s v="Nike"/>
    <x v="0"/>
    <x v="13"/>
    <n v="9"/>
    <x v="0"/>
    <n v="76"/>
    <n v="76"/>
    <n v="39"/>
    <n v="684"/>
    <n v="351"/>
    <n v="333"/>
    <n v="0.48684210526315791"/>
    <m/>
    <x v="3"/>
  </r>
  <r>
    <x v="145"/>
    <s v="loafers"/>
    <x v="1"/>
    <s v="casual"/>
    <x v="2"/>
    <s v="Black"/>
    <s v="Steve Madden"/>
    <x v="4"/>
    <x v="8"/>
    <n v="10"/>
    <x v="0"/>
    <n v="54"/>
    <n v="54"/>
    <n v="28"/>
    <n v="540"/>
    <n v="280"/>
    <n v="260"/>
    <n v="0.48148148148148145"/>
    <m/>
    <x v="0"/>
  </r>
  <r>
    <x v="13"/>
    <s v="SLIPPERS"/>
    <x v="7"/>
    <s v="casual"/>
    <x v="2"/>
    <s v="Green"/>
    <s v="Nike"/>
    <x v="0"/>
    <x v="5"/>
    <n v="6"/>
    <x v="2"/>
    <n v="119"/>
    <n v="119"/>
    <n v="67"/>
    <n v="714"/>
    <n v="402"/>
    <n v="312"/>
    <n v="0.43697478991596639"/>
    <m/>
    <x v="5"/>
  </r>
  <r>
    <x v="3"/>
    <s v="Derby"/>
    <x v="2"/>
    <s v="casual"/>
    <x v="2"/>
    <s v="Black"/>
    <s v="clarks"/>
    <x v="1"/>
    <x v="5"/>
    <n v="15"/>
    <x v="1"/>
    <n v="32"/>
    <n v="32"/>
    <n v="14"/>
    <n v="480"/>
    <n v="210"/>
    <n v="270"/>
    <n v="0.5625"/>
    <m/>
    <x v="2"/>
  </r>
  <r>
    <x v="28"/>
    <s v="SLIPPERS"/>
    <x v="7"/>
    <s v="Formal"/>
    <x v="0"/>
    <s v="Brown"/>
    <s v="clarks"/>
    <x v="1"/>
    <x v="2"/>
    <n v="11"/>
    <x v="1"/>
    <n v="119"/>
    <n v="119"/>
    <n v="67"/>
    <n v="1309"/>
    <n v="737"/>
    <n v="572"/>
    <n v="0.43697478991596639"/>
    <m/>
    <x v="2"/>
  </r>
  <r>
    <x v="131"/>
    <s v="monk straps"/>
    <x v="0"/>
    <s v="casual"/>
    <x v="2"/>
    <s v="Brown"/>
    <s v="ZARA"/>
    <x v="3"/>
    <x v="12"/>
    <n v="9"/>
    <x v="2"/>
    <n v="89"/>
    <n v="89"/>
    <n v="47"/>
    <n v="801"/>
    <n v="423"/>
    <n v="378"/>
    <n v="0.47191011235955055"/>
    <m/>
    <x v="7"/>
  </r>
  <r>
    <x v="102"/>
    <s v="Derby"/>
    <x v="2"/>
    <s v="Formal"/>
    <x v="0"/>
    <s v="Brown"/>
    <s v="ZARA"/>
    <x v="3"/>
    <x v="10"/>
    <n v="8"/>
    <x v="3"/>
    <n v="32"/>
    <n v="32"/>
    <n v="14"/>
    <n v="256"/>
    <n v="112"/>
    <n v="144"/>
    <n v="0.5625"/>
    <m/>
    <x v="0"/>
  </r>
  <r>
    <x v="198"/>
    <s v="boots"/>
    <x v="3"/>
    <s v="Formal"/>
    <x v="0"/>
    <s v="Red"/>
    <s v="clarks"/>
    <x v="1"/>
    <x v="1"/>
    <n v="13"/>
    <x v="3"/>
    <n v="76"/>
    <n v="76"/>
    <n v="39"/>
    <n v="988"/>
    <n v="507"/>
    <n v="481"/>
    <n v="0.48684210526315791"/>
    <m/>
    <x v="0"/>
  </r>
  <r>
    <x v="193"/>
    <s v="Canvas"/>
    <x v="4"/>
    <s v="casual"/>
    <x v="2"/>
    <s v="Red"/>
    <s v="ZARA"/>
    <x v="3"/>
    <x v="7"/>
    <n v="6"/>
    <x v="2"/>
    <n v="128"/>
    <n v="128"/>
    <n v="72"/>
    <n v="768"/>
    <n v="432"/>
    <n v="336"/>
    <n v="0.4375"/>
    <m/>
    <x v="2"/>
  </r>
  <r>
    <x v="116"/>
    <s v="OXFORD"/>
    <x v="5"/>
    <s v="casual"/>
    <x v="2"/>
    <s v="Brown"/>
    <s v="timberland"/>
    <x v="2"/>
    <x v="8"/>
    <n v="3"/>
    <x v="3"/>
    <n v="105"/>
    <n v="105"/>
    <n v="58"/>
    <n v="315"/>
    <n v="174"/>
    <n v="141"/>
    <n v="0.44761904761904764"/>
    <m/>
    <x v="5"/>
  </r>
  <r>
    <x v="174"/>
    <s v="Derby"/>
    <x v="2"/>
    <s v="Formal"/>
    <x v="0"/>
    <s v="Brown"/>
    <s v="clarks"/>
    <x v="1"/>
    <x v="9"/>
    <n v="8"/>
    <x v="0"/>
    <n v="32"/>
    <n v="32"/>
    <n v="14"/>
    <n v="256"/>
    <n v="112"/>
    <n v="144"/>
    <n v="0.5625"/>
    <m/>
    <x v="7"/>
  </r>
  <r>
    <x v="98"/>
    <s v="monk straps"/>
    <x v="0"/>
    <s v="Formal"/>
    <x v="0"/>
    <s v="Black"/>
    <s v="ZARA"/>
    <x v="3"/>
    <x v="12"/>
    <n v="15"/>
    <x v="3"/>
    <n v="89"/>
    <n v="89"/>
    <n v="47"/>
    <n v="1335"/>
    <n v="705"/>
    <n v="630"/>
    <n v="0.47191011235955055"/>
    <m/>
    <x v="7"/>
  </r>
  <r>
    <x v="111"/>
    <s v="monk straps"/>
    <x v="0"/>
    <s v="Formal"/>
    <x v="0"/>
    <s v="Red"/>
    <s v="clarks"/>
    <x v="1"/>
    <x v="3"/>
    <n v="2"/>
    <x v="0"/>
    <n v="89"/>
    <n v="89"/>
    <n v="47"/>
    <n v="178"/>
    <n v="94"/>
    <n v="84"/>
    <n v="0.47191011235955055"/>
    <m/>
    <x v="2"/>
  </r>
  <r>
    <x v="88"/>
    <s v="BROGUES"/>
    <x v="6"/>
    <s v="Formal"/>
    <x v="0"/>
    <s v="Red"/>
    <s v="clarks"/>
    <x v="1"/>
    <x v="9"/>
    <n v="10"/>
    <x v="3"/>
    <n v="112"/>
    <n v="112"/>
    <n v="64"/>
    <n v="1120"/>
    <n v="640"/>
    <n v="480"/>
    <n v="0.42857142857142855"/>
    <m/>
    <x v="3"/>
  </r>
  <r>
    <x v="50"/>
    <s v="loafers"/>
    <x v="1"/>
    <s v="Formal"/>
    <x v="0"/>
    <s v="Red"/>
    <s v="Nike"/>
    <x v="0"/>
    <x v="8"/>
    <n v="5"/>
    <x v="0"/>
    <n v="54"/>
    <n v="54"/>
    <n v="28"/>
    <n v="270"/>
    <n v="140"/>
    <n v="130"/>
    <n v="0.48148148148148145"/>
    <m/>
    <x v="5"/>
  </r>
  <r>
    <x v="199"/>
    <s v="Derby"/>
    <x v="2"/>
    <s v="Formal"/>
    <x v="0"/>
    <s v="Brown"/>
    <s v="ZARA"/>
    <x v="3"/>
    <x v="2"/>
    <n v="15"/>
    <x v="2"/>
    <n v="32"/>
    <n v="32"/>
    <n v="14"/>
    <n v="480"/>
    <n v="210"/>
    <n v="270"/>
    <n v="0.5625"/>
    <m/>
    <x v="4"/>
  </r>
  <r>
    <x v="200"/>
    <s v="Canvas"/>
    <x v="4"/>
    <s v="Formal"/>
    <x v="0"/>
    <s v="Black"/>
    <s v="Steve Madden"/>
    <x v="4"/>
    <x v="11"/>
    <n v="15"/>
    <x v="2"/>
    <n v="128"/>
    <n v="128"/>
    <n v="72"/>
    <n v="1920"/>
    <n v="1080"/>
    <n v="840"/>
    <n v="0.4375"/>
    <m/>
    <x v="7"/>
  </r>
  <r>
    <x v="89"/>
    <s v="boots"/>
    <x v="3"/>
    <s v="OPEN"/>
    <x v="3"/>
    <s v="Red"/>
    <s v="clarks"/>
    <x v="1"/>
    <x v="1"/>
    <n v="10"/>
    <x v="1"/>
    <n v="76"/>
    <n v="76"/>
    <n v="39"/>
    <n v="760"/>
    <n v="390"/>
    <n v="370"/>
    <n v="0.48684210526315791"/>
    <m/>
    <x v="0"/>
  </r>
  <r>
    <x v="201"/>
    <s v="Canvas"/>
    <x v="4"/>
    <s v="OPEN"/>
    <x v="3"/>
    <s v="Red"/>
    <s v="clarks"/>
    <x v="1"/>
    <x v="2"/>
    <n v="5"/>
    <x v="0"/>
    <n v="128"/>
    <n v="128"/>
    <n v="72"/>
    <n v="640"/>
    <n v="360"/>
    <n v="280"/>
    <n v="0.4375"/>
    <m/>
    <x v="7"/>
  </r>
  <r>
    <x v="68"/>
    <s v="Derby"/>
    <x v="2"/>
    <s v="OPEN"/>
    <x v="3"/>
    <s v="Brown"/>
    <s v="timberland"/>
    <x v="2"/>
    <x v="8"/>
    <n v="5"/>
    <x v="2"/>
    <n v="32"/>
    <n v="32"/>
    <n v="14"/>
    <n v="160"/>
    <n v="70"/>
    <n v="90"/>
    <n v="0.5625"/>
    <m/>
    <x v="3"/>
  </r>
  <r>
    <x v="113"/>
    <s v="loafers"/>
    <x v="1"/>
    <s v="OPEN"/>
    <x v="3"/>
    <s v="Black"/>
    <s v="ZARA"/>
    <x v="3"/>
    <x v="0"/>
    <n v="8"/>
    <x v="0"/>
    <n v="54"/>
    <n v="54"/>
    <n v="28"/>
    <n v="432"/>
    <n v="224"/>
    <n v="208"/>
    <n v="0.48148148148148145"/>
    <m/>
    <x v="1"/>
  </r>
  <r>
    <x v="49"/>
    <s v="OXFORD"/>
    <x v="5"/>
    <s v="Formal"/>
    <x v="0"/>
    <s v="Green"/>
    <s v="Steve Madden"/>
    <x v="4"/>
    <x v="13"/>
    <n v="3"/>
    <x v="0"/>
    <n v="105"/>
    <n v="105"/>
    <n v="58"/>
    <n v="315"/>
    <n v="174"/>
    <n v="141"/>
    <n v="0.44761904761904764"/>
    <m/>
    <x v="1"/>
  </r>
  <r>
    <x v="202"/>
    <s v="Canvas"/>
    <x v="4"/>
    <s v="casual"/>
    <x v="2"/>
    <s v="Green"/>
    <s v="clarks"/>
    <x v="1"/>
    <x v="1"/>
    <n v="5"/>
    <x v="3"/>
    <n v="128"/>
    <n v="128"/>
    <n v="72"/>
    <n v="640"/>
    <n v="360"/>
    <n v="280"/>
    <n v="0.4375"/>
    <m/>
    <x v="1"/>
  </r>
  <r>
    <x v="111"/>
    <s v="Derby"/>
    <x v="2"/>
    <s v="casual"/>
    <x v="2"/>
    <s v="Red"/>
    <s v="clarks"/>
    <x v="1"/>
    <x v="9"/>
    <n v="4"/>
    <x v="0"/>
    <n v="32"/>
    <n v="32"/>
    <n v="14"/>
    <n v="128"/>
    <n v="56"/>
    <n v="72"/>
    <n v="0.5625"/>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07DA1-F6A8-45E1-BD1E-37C2D6F105AE}" name="Grand Total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G4" firstHeaderRow="0" firstDataRow="1" firstDataCol="0"/>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dataField="1" numFmtId="1" showAll="0"/>
    <pivotField showAll="0"/>
    <pivotField numFmtId="1" showAll="0"/>
    <pivotField numFmtId="1" showAll="0"/>
    <pivotField numFmtId="1" showAll="0"/>
    <pivotField dataField="1" numFmtId="1" showAll="0"/>
    <pivotField dataField="1" numFmtId="1" showAll="0"/>
    <pivotField dataField="1" numFmtId="1" showAll="0"/>
    <pivotField dataField="1" numFmtId="166"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Total Revenue" fld="14" baseField="0" baseItem="1" numFmtId="168"/>
    <dataField name="Total Cost" fld="15" baseField="0" baseItem="1" numFmtId="168"/>
    <dataField name="Total Profit" fld="16" baseField="0" baseItem="2" numFmtId="168"/>
    <dataField name="Avg Profit Margin" fld="17" subtotal="average" baseField="0" baseItem="3" numFmtId="166"/>
    <dataField name="Quantity Sold" fld="9" baseField="0" baseItem="0" numFmtId="169"/>
    <dataField name="No of Brands" fld="18" subtotal="count" baseField="0" baseItem="0"/>
  </dataFields>
  <formats count="10">
    <format dxfId="534">
      <pivotArea outline="0" collapsedLevelsAreSubtotals="1" fieldPosition="0">
        <references count="1">
          <reference field="4294967294" count="1" selected="0">
            <x v="3"/>
          </reference>
        </references>
      </pivotArea>
    </format>
    <format dxfId="533">
      <pivotArea outline="0" collapsedLevelsAreSubtotals="1" fieldPosition="0">
        <references count="1">
          <reference field="4294967294" count="1" selected="0">
            <x v="0"/>
          </reference>
        </references>
      </pivotArea>
    </format>
    <format dxfId="532">
      <pivotArea outline="0" collapsedLevelsAreSubtotals="1" fieldPosition="0">
        <references count="1">
          <reference field="4294967294" count="1" selected="0">
            <x v="1"/>
          </reference>
        </references>
      </pivotArea>
    </format>
    <format dxfId="531">
      <pivotArea outline="0" collapsedLevelsAreSubtotals="1" fieldPosition="0">
        <references count="1">
          <reference field="4294967294" count="1" selected="0">
            <x v="2"/>
          </reference>
        </references>
      </pivotArea>
    </format>
    <format dxfId="530">
      <pivotArea outline="0" collapsedLevelsAreSubtotals="1" fieldPosition="0">
        <references count="1">
          <reference field="4294967294" count="1" selected="0">
            <x v="4"/>
          </reference>
        </references>
      </pivotArea>
    </format>
    <format dxfId="529">
      <pivotArea dataOnly="0" outline="0" fieldPosition="0">
        <references count="1">
          <reference field="4294967294" count="5">
            <x v="0"/>
            <x v="1"/>
            <x v="2"/>
            <x v="3"/>
            <x v="4"/>
          </reference>
        </references>
      </pivotArea>
    </format>
    <format dxfId="528">
      <pivotArea dataOnly="0" labelOnly="1" outline="0" fieldPosition="0">
        <references count="1">
          <reference field="4294967294" count="5">
            <x v="0"/>
            <x v="1"/>
            <x v="2"/>
            <x v="3"/>
            <x v="4"/>
          </reference>
        </references>
      </pivotArea>
    </format>
    <format dxfId="527">
      <pivotArea dataOnly="0" labelOnly="1" outline="0" fieldPosition="0">
        <references count="1">
          <reference field="4294967294" count="1">
            <x v="0"/>
          </reference>
        </references>
      </pivotArea>
    </format>
    <format dxfId="526">
      <pivotArea outline="0" collapsedLevelsAreSubtotals="1" fieldPosition="0">
        <references count="1">
          <reference field="4294967294" count="1" selected="0">
            <x v="5"/>
          </reference>
        </references>
      </pivotArea>
    </format>
    <format dxfId="525">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1E5CC5-6534-4D16-88D4-CD42B379DD4C}" name="Payment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ayment Type">
  <location ref="B94:C99"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numFmtId="1" showAll="0"/>
    <pivotField axis="axisRow" dataField="1" showAll="0">
      <items count="5">
        <item x="0"/>
        <item x="1"/>
        <item x="2"/>
        <item x="3"/>
        <item t="default"/>
      </items>
    </pivotField>
    <pivotField numFmtId="1" showAll="0"/>
    <pivotField numFmtId="1" showAll="0"/>
    <pivotField numFmtId="1" showAll="0"/>
    <pivotField numFmtId="1" showAll="0"/>
    <pivotField numFmtId="1" showAll="0"/>
    <pivotField numFmtId="1" showAll="0"/>
    <pivotField numFmtId="166"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t="grand">
      <x/>
    </i>
  </rowItems>
  <colItems count="1">
    <i/>
  </colItems>
  <dataFields count="1">
    <dataField name="No. of Transactions" fld="10" subtotal="count" baseField="0" baseItem="0"/>
  </dataFields>
  <formats count="4">
    <format dxfId="538">
      <pivotArea outline="0" collapsedLevelsAreSubtotals="1" fieldPosition="0"/>
    </format>
    <format dxfId="537">
      <pivotArea grandRow="1" outline="0" collapsedLevelsAreSubtotals="1" fieldPosition="0"/>
    </format>
    <format dxfId="536">
      <pivotArea dataOnly="0" outline="0" axis="axisValues" fieldPosition="0"/>
    </format>
    <format dxfId="535">
      <pivotArea dataOnly="0" labelOnly="1" outline="0" axis="axisValues" fieldPosition="0"/>
    </format>
  </formats>
  <chartFormats count="10">
    <chartFormat chart="22"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0" count="1" selected="0">
            <x v="0"/>
          </reference>
        </references>
      </pivotArea>
    </chartFormat>
    <chartFormat chart="26" format="8">
      <pivotArea type="data" outline="0" fieldPosition="0">
        <references count="2">
          <reference field="4294967294" count="1" selected="0">
            <x v="0"/>
          </reference>
          <reference field="10" count="1" selected="0">
            <x v="1"/>
          </reference>
        </references>
      </pivotArea>
    </chartFormat>
    <chartFormat chart="26" format="9">
      <pivotArea type="data" outline="0" fieldPosition="0">
        <references count="2">
          <reference field="4294967294" count="1" selected="0">
            <x v="0"/>
          </reference>
          <reference field="10" count="1" selected="0">
            <x v="2"/>
          </reference>
        </references>
      </pivotArea>
    </chartFormat>
    <chartFormat chart="26" format="10">
      <pivotArea type="data" outline="0" fieldPosition="0">
        <references count="2">
          <reference field="4294967294" count="1" selected="0">
            <x v="0"/>
          </reference>
          <reference field="10" count="1" selected="0">
            <x v="3"/>
          </reference>
        </references>
      </pivotArea>
    </chartFormat>
    <chartFormat chart="22" format="1">
      <pivotArea type="data" outline="0" fieldPosition="0">
        <references count="2">
          <reference field="4294967294" count="1" selected="0">
            <x v="0"/>
          </reference>
          <reference field="10" count="1" selected="0">
            <x v="1"/>
          </reference>
        </references>
      </pivotArea>
    </chartFormat>
    <chartFormat chart="22" format="2">
      <pivotArea type="data" outline="0" fieldPosition="0">
        <references count="2">
          <reference field="4294967294" count="1" selected="0">
            <x v="0"/>
          </reference>
          <reference field="10" count="1" selected="0">
            <x v="2"/>
          </reference>
        </references>
      </pivotArea>
    </chartFormat>
    <chartFormat chart="22" format="3">
      <pivotArea type="data" outline="0" fieldPosition="0">
        <references count="2">
          <reference field="4294967294" count="1" selected="0">
            <x v="0"/>
          </reference>
          <reference field="10" count="1" selected="0">
            <x v="0"/>
          </reference>
        </references>
      </pivotArea>
    </chartFormat>
    <chartFormat chart="22"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CBBC9-4FA7-4B37-9B18-350A93E46153}" name="Revenue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Brand">
  <location ref="B58:C64"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axis="axisRow" showAll="0">
      <items count="6">
        <item x="1"/>
        <item x="0"/>
        <item x="4"/>
        <item x="2"/>
        <item x="3"/>
        <item t="default"/>
      </items>
    </pivotField>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items count="9">
        <item x="5"/>
        <item h="1" x="7"/>
        <item h="1" x="4"/>
        <item h="1" x="3"/>
        <item h="1" x="0"/>
        <item h="1" x="1"/>
        <item h="1" x="2"/>
        <item h="1"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6">
    <i>
      <x/>
    </i>
    <i>
      <x v="1"/>
    </i>
    <i>
      <x v="2"/>
    </i>
    <i>
      <x v="3"/>
    </i>
    <i>
      <x v="4"/>
    </i>
    <i t="grand">
      <x/>
    </i>
  </rowItems>
  <colItems count="1">
    <i/>
  </colItems>
  <dataFields count="1">
    <dataField name=" Revenue" fld="14" baseField="0" baseItem="0" numFmtId="1"/>
  </dataFields>
  <formats count="4">
    <format dxfId="542">
      <pivotArea outline="0" collapsedLevelsAreSubtotals="1" fieldPosition="0"/>
    </format>
    <format dxfId="541">
      <pivotArea collapsedLevelsAreSubtotals="1" fieldPosition="0">
        <references count="1">
          <reference field="7" count="0"/>
        </references>
      </pivotArea>
    </format>
    <format dxfId="540">
      <pivotArea grandRow="1" outline="0" collapsedLevelsAreSubtotals="1" fieldPosition="0"/>
    </format>
    <format dxfId="539">
      <pivotArea dataOnly="0" outline="0" axis="axisValues" fieldPosition="0"/>
    </format>
  </formats>
  <chartFormats count="4">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3BD3E-5B69-4F56-9A58-95E9E6C13CB9}"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B41:C46"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axis="axisRow" showAll="0">
      <items count="5">
        <item x="2"/>
        <item x="0"/>
        <item n="OPEN" x="3"/>
        <item x="1"/>
        <item t="default"/>
      </items>
    </pivotField>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 Revenue" fld="14" baseField="0" baseItem="1" numFmtId="168"/>
  </dataFields>
  <formats count="4">
    <format dxfId="546">
      <pivotArea outline="0" collapsedLevelsAreSubtotals="1" fieldPosition="0">
        <references count="1">
          <reference field="4294967294" count="1" selected="0">
            <x v="0"/>
          </reference>
        </references>
      </pivotArea>
    </format>
    <format dxfId="545">
      <pivotArea dataOnly="0" outline="0" fieldPosition="0">
        <references count="1">
          <reference field="4294967294" count="1">
            <x v="0"/>
          </reference>
        </references>
      </pivotArea>
    </format>
    <format dxfId="544">
      <pivotArea outline="0" collapsedLevelsAreSubtotals="1" fieldPosition="0"/>
    </format>
    <format dxfId="54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3"/>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4" count="1" selected="0">
            <x v="0"/>
          </reference>
        </references>
      </pivotArea>
    </chartFormat>
    <chartFormat chart="11" format="12">
      <pivotArea type="data" outline="0" fieldPosition="0">
        <references count="2">
          <reference field="4294967294" count="1" selected="0">
            <x v="0"/>
          </reference>
          <reference field="4" count="1" selected="0">
            <x v="1"/>
          </reference>
        </references>
      </pivotArea>
    </chartFormat>
    <chartFormat chart="11" format="13">
      <pivotArea type="data" outline="0" fieldPosition="0">
        <references count="2">
          <reference field="4294967294" count="1" selected="0">
            <x v="0"/>
          </reference>
          <reference field="4" count="1" selected="0">
            <x v="2"/>
          </reference>
        </references>
      </pivotArea>
    </chartFormat>
    <chartFormat chart="1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E230F5-7CE0-46C9-9E65-F022404C94F6}" name="Profit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untry">
  <location ref="B75:D90" firstHeaderRow="0"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axis="axisRow" showAll="0" sortType="descending">
      <items count="15">
        <item x="12"/>
        <item x="6"/>
        <item x="2"/>
        <item x="7"/>
        <item x="9"/>
        <item x="4"/>
        <item x="8"/>
        <item x="13"/>
        <item x="1"/>
        <item x="10"/>
        <item x="0"/>
        <item x="3"/>
        <item x="5"/>
        <item x="11"/>
        <item t="default"/>
      </items>
      <autoSortScope>
        <pivotArea dataOnly="0" outline="0" fieldPosition="0">
          <references count="1">
            <reference field="4294967294" count="1" selected="0">
              <x v="1"/>
            </reference>
          </references>
        </pivotArea>
      </autoSortScope>
    </pivotField>
    <pivotField numFmtId="1" showAll="0"/>
    <pivotField showAll="0"/>
    <pivotField numFmtId="1" showAll="0"/>
    <pivotField numFmtId="1" showAll="0"/>
    <pivotField numFmtId="1" showAll="0"/>
    <pivotField dataField="1" numFmtId="1" showAll="0"/>
    <pivotField numFmtId="1" showAll="0"/>
    <pivotField dataField="1" numFmtId="1" showAll="0"/>
    <pivotField numFmtId="166" showAll="0"/>
    <pivotField showAll="0"/>
    <pivotField showAll="0">
      <items count="9">
        <item x="5"/>
        <item x="7"/>
        <item x="4"/>
        <item x="3"/>
        <item x="0"/>
        <item x="1"/>
        <item x="2"/>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5">
    <i>
      <x v="12"/>
    </i>
    <i>
      <x v="11"/>
    </i>
    <i>
      <x v="5"/>
    </i>
    <i>
      <x v="13"/>
    </i>
    <i>
      <x v="6"/>
    </i>
    <i>
      <x v="7"/>
    </i>
    <i>
      <x v="3"/>
    </i>
    <i>
      <x v="10"/>
    </i>
    <i>
      <x v="9"/>
    </i>
    <i>
      <x v="8"/>
    </i>
    <i>
      <x v="4"/>
    </i>
    <i>
      <x v="1"/>
    </i>
    <i>
      <x v="2"/>
    </i>
    <i>
      <x/>
    </i>
    <i t="grand">
      <x/>
    </i>
  </rowItems>
  <colFields count="1">
    <field x="-2"/>
  </colFields>
  <colItems count="2">
    <i>
      <x/>
    </i>
    <i i="1">
      <x v="1"/>
    </i>
  </colItems>
  <dataFields count="2">
    <dataField name=" Profit" fld="16" baseField="0" baseItem="0" numFmtId="1"/>
    <dataField name=" Revenue" fld="14" baseField="0" baseItem="0" numFmtId="1"/>
  </dataFields>
  <formats count="6">
    <format dxfId="552">
      <pivotArea outline="0" collapsedLevelsAreSubtotals="1" fieldPosition="0"/>
    </format>
    <format dxfId="551">
      <pivotArea grandRow="1" outline="0" collapsedLevelsAreSubtotals="1" fieldPosition="0"/>
    </format>
    <format dxfId="550">
      <pivotArea dataOnly="0" outline="0" axis="axisValues" fieldPosition="0"/>
    </format>
    <format dxfId="549">
      <pivotArea collapsedLevelsAreSubtotals="1" fieldPosition="0">
        <references count="1">
          <reference field="8" count="0"/>
        </references>
      </pivotArea>
    </format>
    <format dxfId="548">
      <pivotArea dataOnly="0" labelOnly="1" outline="0" fieldPosition="0">
        <references count="1">
          <reference field="4294967294" count="1">
            <x v="1"/>
          </reference>
        </references>
      </pivotArea>
    </format>
    <format dxfId="547">
      <pivotArea dataOnly="0" labelOnly="1" outline="0" fieldPosition="0">
        <references count="1">
          <reference field="4294967294" count="1">
            <x v="0"/>
          </reference>
        </references>
      </pivotArea>
    </format>
  </formats>
  <chartFormats count="10">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1"/>
          </reference>
          <reference field="8" count="1" selected="0">
            <x v="12"/>
          </reference>
        </references>
      </pivotArea>
    </chartFormat>
    <chartFormat chart="16" format="3">
      <pivotArea type="data" outline="0" fieldPosition="0">
        <references count="2">
          <reference field="4294967294" count="1" selected="0">
            <x v="0"/>
          </reference>
          <reference field="8" count="1" selected="0">
            <x v="1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8" count="1" selected="0">
            <x v="12"/>
          </reference>
        </references>
      </pivotArea>
    </chartFormat>
    <chartFormat chart="24" format="10" series="1">
      <pivotArea type="data" outline="0" fieldPosition="0">
        <references count="1">
          <reference field="4294967294" count="1" selected="0">
            <x v="1"/>
          </reference>
        </references>
      </pivotArea>
    </chartFormat>
    <chartFormat chart="24" format="11">
      <pivotArea type="data" outline="0" fieldPosition="0">
        <references count="2">
          <reference field="4294967294" count="1" selected="0">
            <x v="1"/>
          </reference>
          <reference field="8" count="1" selected="0">
            <x v="12"/>
          </reference>
        </references>
      </pivotArea>
    </chartFormat>
    <chartFormat chart="16" format="4">
      <pivotArea type="data" outline="0" fieldPosition="0">
        <references count="2">
          <reference field="4294967294" count="1" selected="0">
            <x v="0"/>
          </reference>
          <reference field="8" count="1" selected="0">
            <x v="10"/>
          </reference>
        </references>
      </pivotArea>
    </chartFormat>
    <chartFormat chart="16" format="5">
      <pivotArea type="data" outline="0" fieldPosition="0">
        <references count="2">
          <reference field="4294967294" count="1" selected="0">
            <x v="1"/>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3C1E43-749A-4944-A3EF-8660464FC473}" name="Revenue generated by Month"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Months">
  <location ref="B7:C16"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items count="9">
        <item x="5"/>
        <item x="7"/>
        <item x="4"/>
        <item x="3"/>
        <item x="0"/>
        <item x="1"/>
        <item x="2"/>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9">
    <i>
      <x v="1"/>
    </i>
    <i>
      <x v="2"/>
    </i>
    <i>
      <x v="3"/>
    </i>
    <i>
      <x v="4"/>
    </i>
    <i>
      <x v="5"/>
    </i>
    <i>
      <x v="6"/>
    </i>
    <i>
      <x v="7"/>
    </i>
    <i>
      <x v="8"/>
    </i>
    <i t="grand">
      <x/>
    </i>
  </rowItems>
  <colItems count="1">
    <i/>
  </colItems>
  <dataFields count="1">
    <dataField name=" Revenue" fld="14" baseField="0" baseItem="1" numFmtId="168"/>
  </dataFields>
  <formats count="4">
    <format dxfId="556">
      <pivotArea outline="0" collapsedLevelsAreSubtotals="1" fieldPosition="0">
        <references count="1">
          <reference field="4294967294" count="1" selected="0">
            <x v="0"/>
          </reference>
        </references>
      </pivotArea>
    </format>
    <format dxfId="555">
      <pivotArea dataOnly="0" outline="0" fieldPosition="0">
        <references count="1">
          <reference field="4294967294" count="1">
            <x v="0"/>
          </reference>
        </references>
      </pivotArea>
    </format>
    <format dxfId="554">
      <pivotArea outline="0" collapsedLevelsAreSubtotals="1" fieldPosition="0"/>
    </format>
    <format dxfId="55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8E2AC1-8F68-4F37-B552-6A698F1111AE}" name="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s">
  <location ref="B24:C33"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axis="axisRow" showAll="0">
      <items count="9">
        <item x="3"/>
        <item x="6"/>
        <item x="4"/>
        <item x="2"/>
        <item x="1"/>
        <item x="0"/>
        <item x="5"/>
        <item x="7"/>
        <item t="default"/>
      </items>
    </pivotField>
    <pivotField showAll="0"/>
    <pivotField showAll="0"/>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items count="9">
        <item x="5"/>
        <item x="7"/>
        <item x="4"/>
        <item x="3"/>
        <item x="0"/>
        <item x="1"/>
        <item x="2"/>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 Revenue" fld="14" baseField="0" baseItem="1" numFmtId="168"/>
  </dataFields>
  <formats count="4">
    <format dxfId="560">
      <pivotArea outline="0" collapsedLevelsAreSubtotals="1" fieldPosition="0">
        <references count="1">
          <reference field="4294967294" count="1" selected="0">
            <x v="0"/>
          </reference>
        </references>
      </pivotArea>
    </format>
    <format dxfId="559">
      <pivotArea dataOnly="0" outline="0" fieldPosition="0">
        <references count="1">
          <reference field="4294967294" count="1">
            <x v="0"/>
          </reference>
        </references>
      </pivotArea>
    </format>
    <format dxfId="558">
      <pivotArea outline="0" collapsedLevelsAreSubtotals="1" fieldPosition="0"/>
    </format>
    <format dxfId="55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247B93-DF67-409F-B299-62DC67F137D9}" name="Mon S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6"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axis="axisRow" showAll="0">
      <items count="9">
        <item n="January" x="5"/>
        <item n="February" x="7"/>
        <item n="March" x="4"/>
        <item n="April" x="3"/>
        <item x="0"/>
        <item n="June" x="1"/>
        <item n="July" x="2"/>
        <item n="August" x="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9">
    <i>
      <x/>
    </i>
    <i>
      <x v="1"/>
    </i>
    <i>
      <x v="2"/>
    </i>
    <i>
      <x v="3"/>
    </i>
    <i>
      <x v="4"/>
    </i>
    <i>
      <x v="5"/>
    </i>
    <i>
      <x v="6"/>
    </i>
    <i>
      <x v="7"/>
    </i>
    <i t="grand">
      <x/>
    </i>
  </rowItems>
  <colItems count="1">
    <i/>
  </colItems>
  <dataFields count="1">
    <dataField name="Sum of Revenue" fld="14" baseField="0" baseItem="0" numFmtId="1"/>
  </dataFields>
  <formats count="1">
    <format dxfId="561">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2AAC90-0BB3-4921-83EA-FB68CB890BEE}" autoFormatId="16" applyNumberFormats="0" applyBorderFormats="0" applyFontFormats="0" applyPatternFormats="0" applyAlignmentFormats="0" applyWidthHeightFormats="0">
  <queryTableRefresh nextId="9">
    <queryTableFields count="8">
      <queryTableField id="1" name="Date" tableColumnId="1"/>
      <queryTableField id="2" name="Product" tableColumnId="2"/>
      <queryTableField id="3" name="Category" tableColumnId="3"/>
      <queryTableField id="4" name="Color" tableColumnId="4"/>
      <queryTableField id="5" name="Brand" tableColumnId="5"/>
      <queryTableField id="6" name="Country" tableColumnId="6"/>
      <queryTableField id="7" name="Quantity" tableColumnId="7"/>
      <queryTableField id="8" name="Payment Typ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C4D47D97-C002-4CC4-93BF-7CE965641A54}" sourceName="Months">
  <pivotTables>
    <pivotTable tabId="9" name="Mon Sort"/>
    <pivotTable tabId="9" name="Revenue generated by Month"/>
    <pivotTable tabId="9" name="Profit by Country"/>
  </pivotTables>
  <data>
    <tabular pivotCacheId="1416977436">
      <items count="8">
        <i x="5" s="1"/>
        <i x="7" s="1"/>
        <i x="4" s="1"/>
        <i x="3" s="1"/>
        <i x="0"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Cleaned" xr10:uid="{77CB1234-4D12-41E2-B103-711022F4AC25}" sourceName="Brand Cleaned">
  <pivotTables>
    <pivotTable tabId="9" name="Revenue by Brand"/>
  </pivotTables>
  <data>
    <tabular pivotCacheId="1416977436" showMissing="0">
      <items count="5">
        <i x="1" s="1"/>
        <i x="0" s="1"/>
        <i x="4" s="1"/>
        <i x="2"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leaned" xr10:uid="{AA91C856-8CD7-49BB-BD98-F13EF8F0DAAE}" sourceName="Product Cleaned">
  <pivotTables>
    <pivotTable tabId="9" name="Revenue by Product"/>
  </pivotTables>
  <data>
    <tabular pivotCacheId="1416977436">
      <items count="8">
        <i x="3" s="1"/>
        <i x="6" s="1"/>
        <i x="4" s="1"/>
        <i x="2" s="1"/>
        <i x="1" s="1"/>
        <i x="0" s="1"/>
        <i x="5"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0750E88-72D9-4481-B54F-D3DFEA9E423B}" sourceName="Country">
  <pivotTables>
    <pivotTable tabId="9" name="Profit by Country"/>
  </pivotTables>
  <data>
    <tabular pivotCacheId="1416977436" showMissing="0">
      <items count="14">
        <i x="12" s="1"/>
        <i x="6" s="1"/>
        <i x="2" s="1"/>
        <i x="7" s="1"/>
        <i x="9" s="1"/>
        <i x="4" s="1"/>
        <i x="8" s="1"/>
        <i x="13" s="1"/>
        <i x="1" s="1"/>
        <i x="10" s="1"/>
        <i x="0" s="1"/>
        <i x="3" s="1"/>
        <i x="5" s="1"/>
        <i x="1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F4441DD2-19D2-4CEF-AE41-D7489940FC80}" cache="Slicer_Months" caption="Months" columnCount="4" rowHeight="180000"/>
  <slicer name="Brand Cleaned" xr10:uid="{8162B767-5EE0-4ECF-8E22-59053C2EF741}" cache="Slicer_Brand_Cleaned" caption="Brands" columnCount="5" rowHeight="360000"/>
  <slicer name="Product Cleaned" xr10:uid="{2ADE0CA5-2267-4AD6-A435-14A408DCEC7D}" cache="Slicer_Product_Cleaned" caption="Products" columnCount="4" rowHeight="180000"/>
  <slicer name="Country" xr10:uid="{52FAD0DD-46CC-4DD7-909D-7E1DCE464C33}" cache="Slicer_Country" caption="Country" columnCount="2" rowHeight="2095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E68875-E9C8-42DA-9DF4-65CF46D2F873}" name="ShoeSales" displayName="ShoeSales" ref="A1:T501" totalsRowShown="0" headerRowDxfId="584" dataDxfId="583" tableBorderDxfId="582">
  <autoFilter ref="A1:T501" xr:uid="{02E68875-E9C8-42DA-9DF4-65CF46D2F873}"/>
  <tableColumns count="20">
    <tableColumn id="1" xr3:uid="{0DA375CF-BAA2-4273-BC3B-D9A288DD5039}" name="Date" dataDxfId="581"/>
    <tableColumn id="2" xr3:uid="{2A20F99C-04D1-4044-94B0-C3F1AD7E0295}" name="Product" dataDxfId="580"/>
    <tableColumn id="9" xr3:uid="{5280BCD3-7F23-4DFF-AF18-0150147DC952}" name="Product Cleaned" dataDxfId="579">
      <calculatedColumnFormula>TRIM(PROPER(ShoeSales[[#This Row],[Product]]))</calculatedColumnFormula>
    </tableColumn>
    <tableColumn id="3" xr3:uid="{B992AB19-C289-4553-BAF4-F790393FB441}" name="Category" dataDxfId="578"/>
    <tableColumn id="10" xr3:uid="{190D3FD7-88A5-4D98-AA21-03DDEA779531}" name="Category Cleaned" dataDxfId="577">
      <calculatedColumnFormula>UPPER(ShoeSales[[#This Row],[Category]])</calculatedColumnFormula>
    </tableColumn>
    <tableColumn id="4" xr3:uid="{116721EC-E4EB-40AA-A2E9-71551BAD0D3A}" name="Color" dataDxfId="576"/>
    <tableColumn id="5" xr3:uid="{644593D8-D714-4B68-96F5-2DD08CDBCEDA}" name="Brand" dataDxfId="575"/>
    <tableColumn id="12" xr3:uid="{811C36CC-AD3F-433D-9C90-CF2E636182D0}" name="Brand Cleaned" dataDxfId="574">
      <calculatedColumnFormula>PROPER(ShoeSales[[#This Row],[Brand]])</calculatedColumnFormula>
    </tableColumn>
    <tableColumn id="6" xr3:uid="{AC6A9EFC-3E1A-4D84-811A-97F1985839D1}" name="Country" dataDxfId="573"/>
    <tableColumn id="7" xr3:uid="{247B9358-426E-419B-ABED-86919B1214EC}" name="Quantity" dataDxfId="572"/>
    <tableColumn id="8" xr3:uid="{B5C6E602-100D-47D1-B743-451CA2840885}" name="Payment Type" dataDxfId="571"/>
    <tableColumn id="13" xr3:uid="{5233EE2E-C192-4E48-801B-0B537215B8C4}" name="Sell Price" dataDxfId="570" dataCellStyle="Comma">
      <calculatedColumnFormula>VLOOKUP(ShoeSales[[#This Row],[Product Cleaned]],Price!$A$2:$C$9,2,FALSE)</calculatedColumnFormula>
    </tableColumn>
    <tableColumn id="14" xr3:uid="{976B86F4-5F6D-49FE-B0ED-F4568ED3896B}" name="xlookup price" dataDxfId="569">
      <calculatedColumnFormula>_xlfn.XLOOKUP(ShoeSales[[#This Row],[Product Cleaned]],Price!$A$2:$A$9,Price!$B$2:$B$9)</calculatedColumnFormula>
    </tableColumn>
    <tableColumn id="15" xr3:uid="{C2B440EF-BFB2-417E-8322-816834A4E58F}" name="Cost Price" dataDxfId="568">
      <calculatedColumnFormula>_xlfn.XLOOKUP(ShoeSales[[#This Row],[Product Cleaned]],Price!$A$2:$A$9,Price!$C$2:$C$9)</calculatedColumnFormula>
    </tableColumn>
    <tableColumn id="11" xr3:uid="{59DBF8B0-77F5-44B1-90CB-35079C4D28BB}" name="Revenue" dataDxfId="567" dataCellStyle="Comma">
      <calculatedColumnFormula>ShoeSales[[#This Row],[Sell Price]]*ShoeSales[[#This Row],[Quantity]]</calculatedColumnFormula>
    </tableColumn>
    <tableColumn id="16" xr3:uid="{95DD5CB3-71FA-4D5E-8CF1-4B329AF38BE7}" name="Cost" dataDxfId="566">
      <calculatedColumnFormula>ShoeSales[[#This Row],[Quantity]]*ShoeSales[[#This Row],[Cost Price]]</calculatedColumnFormula>
    </tableColumn>
    <tableColumn id="17" xr3:uid="{B6787A7B-D03A-456C-9EE5-592257374C70}" name="Profit" dataDxfId="565">
      <calculatedColumnFormula>ShoeSales[[#This Row],[Revenue]]-ShoeSales[[#This Row],[Cost]]</calculatedColumnFormula>
    </tableColumn>
    <tableColumn id="18" xr3:uid="{A2FD75CA-166A-4419-8841-2F5A90F84593}" name="Profit Margin" dataDxfId="564" dataCellStyle="Percent">
      <calculatedColumnFormula>ShoeSales[[#This Row],[Profit]]/ShoeSales[[#This Row],[Revenue]]</calculatedColumnFormula>
    </tableColumn>
    <tableColumn id="20" xr3:uid="{937D6FA7-1C5A-41B3-B115-969591B65C06}" name="Brand count" dataDxfId="563"/>
    <tableColumn id="19" xr3:uid="{DB04B69A-8DF0-4BD6-9B88-5D913FF53B15}" name="Months" dataDxfId="562">
      <calculatedColumnFormula>UPPER(TEXT(ShoeSales[[#This Row],[Date]], "mmm"))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1CFC9C-68BC-48C8-B054-A0A317BBCEBD}" name="Shoe_Sale_1" displayName="Shoe_Sale_1" ref="A1:H501" tableType="queryTable" totalsRowShown="0">
  <autoFilter ref="A1:H501" xr:uid="{291CFC9C-68BC-48C8-B054-A0A317BBCEBD}"/>
  <tableColumns count="8">
    <tableColumn id="1" xr3:uid="{84F40702-160D-4AED-860F-14594FB8FA63}" uniqueName="1" name="Date" queryTableFieldId="1" dataDxfId="524"/>
    <tableColumn id="2" xr3:uid="{A5939E04-2F6F-463D-B7E8-595B72C3D02D}" uniqueName="2" name="Product" queryTableFieldId="2" dataDxfId="523"/>
    <tableColumn id="3" xr3:uid="{BE6925DC-775E-4213-928C-E475A49BC53C}" uniqueName="3" name="Category" queryTableFieldId="3" dataDxfId="522"/>
    <tableColumn id="4" xr3:uid="{9B23DC87-CC28-4AB7-9251-60C635B7B75B}" uniqueName="4" name="Color" queryTableFieldId="4" dataDxfId="521"/>
    <tableColumn id="5" xr3:uid="{80512749-9A53-45F6-818C-169907628A4D}" uniqueName="5" name="Brand" queryTableFieldId="5" dataDxfId="520"/>
    <tableColumn id="6" xr3:uid="{E4326D37-0AA7-4C93-A61A-2888F96FE48C}" uniqueName="6" name="Country" queryTableFieldId="6" dataDxfId="519"/>
    <tableColumn id="7" xr3:uid="{B54FA730-B2AD-4ED7-A6AC-4D6D55A8F4B7}" uniqueName="7" name="Quantity" queryTableFieldId="7"/>
    <tableColumn id="8" xr3:uid="{9DA81A6A-D2A1-4E92-B8F3-15ADAC44C510}" uniqueName="8" name="Payment Type" queryTableFieldId="8" dataDxfId="5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6CC2EF-66BC-4EEF-8923-84B3DBFB94CB}" name="Shoe_Sale" displayName="Shoe_Sale" ref="A1:H501" totalsRowShown="0" headerRowDxfId="517" dataDxfId="516" tableBorderDxfId="515">
  <autoFilter ref="A1:H501" xr:uid="{BD6CC2EF-66BC-4EEF-8923-84B3DBFB94CB}"/>
  <tableColumns count="8">
    <tableColumn id="1" xr3:uid="{0A4C806E-7F6D-47C1-BC84-A4361D21C6B4}" name="Date" dataDxfId="514"/>
    <tableColumn id="2" xr3:uid="{EF5D2CEF-189A-4D66-9DBF-862E07825474}" name="Product" dataDxfId="513"/>
    <tableColumn id="3" xr3:uid="{3BE1BF80-7C6E-49CA-A6C7-1B1740135BA0}" name="Category" dataDxfId="512"/>
    <tableColumn id="4" xr3:uid="{0DA569D3-C70B-40B6-AA99-6455D1911910}" name="Color" dataDxfId="511"/>
    <tableColumn id="5" xr3:uid="{2C93D2A7-184E-4129-BB08-DA51D4A630BF}" name="Brand" dataDxfId="510"/>
    <tableColumn id="6" xr3:uid="{90B960D8-BC37-4F4B-BF41-64F070CF2D27}" name="Country" dataDxfId="509"/>
    <tableColumn id="7" xr3:uid="{8F141136-3BA6-4F67-B3AA-5182A0D94264}" name="Quantity" dataDxfId="508"/>
    <tableColumn id="8" xr3:uid="{02D9068F-6817-4E0F-90F1-076BB688CC41}" name="Payment Type" dataDxfId="50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65BE5-F7EF-457C-A97E-7DEE328DD1FF}">
  <sheetPr>
    <pageSetUpPr fitToPage="1"/>
  </sheetPr>
  <dimension ref="A1:Y31"/>
  <sheetViews>
    <sheetView showGridLines="0" tabSelected="1" zoomScaleNormal="100" workbookViewId="0">
      <selection activeCell="D26" sqref="D26"/>
    </sheetView>
  </sheetViews>
  <sheetFormatPr defaultRowHeight="15" x14ac:dyDescent="0.25"/>
  <cols>
    <col min="6" max="6" width="9.140625" customWidth="1"/>
  </cols>
  <sheetData>
    <row r="1" spans="1:25" x14ac:dyDescent="0.25">
      <c r="A1" s="41"/>
      <c r="B1" s="41"/>
      <c r="C1" s="41"/>
      <c r="D1" s="41"/>
      <c r="E1" s="41"/>
      <c r="F1" s="38"/>
      <c r="G1" s="38"/>
      <c r="H1" s="38"/>
      <c r="I1" s="38"/>
      <c r="J1" s="38"/>
      <c r="K1" s="38"/>
      <c r="L1" s="38"/>
      <c r="M1" s="38"/>
      <c r="N1" s="38"/>
      <c r="O1" s="38"/>
      <c r="P1" s="38"/>
      <c r="Q1" s="38"/>
      <c r="R1" s="38"/>
      <c r="S1" s="38"/>
      <c r="T1" s="38"/>
      <c r="U1" s="38"/>
      <c r="V1" s="38"/>
      <c r="W1" s="38"/>
      <c r="X1" s="38"/>
      <c r="Y1" s="38"/>
    </row>
    <row r="2" spans="1:25" x14ac:dyDescent="0.25">
      <c r="A2" s="41"/>
      <c r="B2" s="41"/>
      <c r="C2" s="41"/>
      <c r="D2" s="41"/>
      <c r="E2" s="41"/>
      <c r="F2" s="38"/>
      <c r="G2" s="38"/>
      <c r="H2" s="38"/>
      <c r="I2" s="38"/>
      <c r="J2" s="38"/>
      <c r="K2" s="38"/>
      <c r="L2" s="38"/>
      <c r="M2" s="38"/>
      <c r="N2" s="38"/>
      <c r="O2" s="38"/>
      <c r="P2" s="38"/>
      <c r="Q2" s="38"/>
      <c r="R2" s="38"/>
      <c r="S2" s="38"/>
      <c r="T2" s="38"/>
      <c r="U2" s="38"/>
      <c r="V2" s="38"/>
      <c r="W2" s="38"/>
      <c r="X2" s="38"/>
      <c r="Y2" s="38"/>
    </row>
    <row r="3" spans="1:25" x14ac:dyDescent="0.25">
      <c r="A3" s="41"/>
      <c r="B3" s="41"/>
      <c r="C3" s="41"/>
      <c r="D3" s="41"/>
      <c r="E3" s="41"/>
      <c r="F3" s="38"/>
      <c r="G3" s="38"/>
      <c r="H3" s="38"/>
      <c r="I3" s="38"/>
      <c r="J3" s="38"/>
      <c r="K3" s="38"/>
      <c r="L3" s="38"/>
      <c r="M3" s="38"/>
      <c r="N3" s="38"/>
      <c r="O3" s="38"/>
      <c r="P3" s="38"/>
      <c r="Q3" s="38"/>
      <c r="R3" s="38"/>
      <c r="S3" s="38"/>
      <c r="T3" s="38"/>
      <c r="U3" s="38"/>
      <c r="V3" s="38"/>
      <c r="W3" s="38"/>
      <c r="X3" s="38"/>
      <c r="Y3" s="38"/>
    </row>
    <row r="4" spans="1:25" x14ac:dyDescent="0.25">
      <c r="A4" s="41"/>
      <c r="B4" s="41"/>
      <c r="C4" s="41"/>
      <c r="D4" s="41"/>
      <c r="E4" s="41"/>
      <c r="F4" s="38"/>
      <c r="G4" s="38"/>
      <c r="H4" s="38"/>
      <c r="I4" s="38"/>
      <c r="J4" s="38"/>
      <c r="K4" s="38"/>
      <c r="L4" s="38"/>
      <c r="M4" s="38"/>
      <c r="N4" s="38"/>
      <c r="O4" s="38"/>
      <c r="P4" s="38"/>
      <c r="Q4" s="38"/>
      <c r="R4" s="38"/>
      <c r="S4" s="38"/>
      <c r="T4" s="38"/>
      <c r="U4" s="38"/>
      <c r="V4" s="38"/>
      <c r="W4" s="38"/>
      <c r="X4" s="38"/>
      <c r="Y4" s="38"/>
    </row>
    <row r="5" spans="1:25" x14ac:dyDescent="0.25">
      <c r="A5" s="41"/>
      <c r="B5" s="41"/>
      <c r="C5" s="41"/>
      <c r="D5" s="41"/>
      <c r="E5" s="41"/>
      <c r="F5" s="38"/>
      <c r="G5" s="38"/>
      <c r="H5" s="38"/>
      <c r="I5" s="38"/>
      <c r="J5" s="38"/>
      <c r="K5" s="38"/>
      <c r="L5" s="38"/>
      <c r="M5" s="38"/>
      <c r="N5" s="38"/>
      <c r="O5" s="38"/>
      <c r="P5" s="38"/>
      <c r="Q5" s="38"/>
      <c r="R5" s="38"/>
      <c r="S5" s="38"/>
      <c r="T5" s="38"/>
      <c r="U5" s="38"/>
      <c r="V5" s="38"/>
      <c r="W5" s="38"/>
      <c r="X5" s="38"/>
      <c r="Y5" s="38"/>
    </row>
    <row r="6" spans="1:25" x14ac:dyDescent="0.25">
      <c r="A6" s="41"/>
      <c r="B6" s="41"/>
      <c r="C6" s="41"/>
      <c r="D6" s="41"/>
      <c r="E6" s="41"/>
      <c r="F6" s="38"/>
      <c r="G6" s="38"/>
      <c r="H6" s="38"/>
      <c r="I6" s="38"/>
      <c r="J6" s="38"/>
      <c r="K6" s="38"/>
      <c r="L6" s="38"/>
      <c r="M6" s="38"/>
      <c r="N6" s="38"/>
      <c r="O6" s="38"/>
      <c r="P6" s="38"/>
      <c r="Q6" s="38"/>
      <c r="R6" s="38"/>
      <c r="S6" s="38"/>
      <c r="T6" s="38"/>
      <c r="U6" s="38"/>
      <c r="V6" s="38"/>
      <c r="W6" s="38"/>
      <c r="X6" s="38"/>
      <c r="Y6" s="38"/>
    </row>
    <row r="7" spans="1:25" x14ac:dyDescent="0.25">
      <c r="A7" s="41"/>
      <c r="B7" s="41"/>
      <c r="C7" s="41"/>
      <c r="D7" s="41"/>
      <c r="E7" s="41"/>
      <c r="F7" s="38"/>
      <c r="G7" s="38"/>
      <c r="H7" s="38"/>
      <c r="I7" s="38"/>
      <c r="J7" s="38"/>
      <c r="K7" s="38"/>
      <c r="L7" s="38"/>
      <c r="M7" s="38"/>
      <c r="N7" s="38"/>
      <c r="O7" s="38"/>
      <c r="P7" s="38"/>
      <c r="Q7" s="38"/>
      <c r="R7" s="38"/>
      <c r="S7" s="38"/>
      <c r="T7" s="38"/>
      <c r="U7" s="38"/>
      <c r="V7" s="38"/>
      <c r="W7" s="38"/>
      <c r="X7" s="38"/>
      <c r="Y7" s="38"/>
    </row>
    <row r="8" spans="1:25" x14ac:dyDescent="0.25">
      <c r="A8" s="41"/>
      <c r="B8" s="41"/>
      <c r="C8" s="41"/>
      <c r="D8" s="41"/>
      <c r="E8" s="41"/>
      <c r="F8" s="38"/>
      <c r="G8" s="38"/>
      <c r="H8" s="38"/>
      <c r="I8" s="38"/>
      <c r="J8" s="38"/>
      <c r="K8" s="38"/>
      <c r="L8" s="38"/>
      <c r="M8" s="38"/>
      <c r="N8" s="38"/>
      <c r="O8" s="38"/>
      <c r="P8" s="38"/>
      <c r="Q8" s="38"/>
      <c r="R8" s="38"/>
      <c r="S8" s="38"/>
      <c r="T8" s="38"/>
      <c r="U8" s="38"/>
      <c r="V8" s="38"/>
      <c r="W8" s="38"/>
      <c r="X8" s="38"/>
      <c r="Y8" s="38"/>
    </row>
    <row r="9" spans="1:25" x14ac:dyDescent="0.25">
      <c r="A9" s="41"/>
      <c r="B9" s="41"/>
      <c r="C9" s="41"/>
      <c r="D9" s="41"/>
      <c r="E9" s="41"/>
      <c r="F9" s="38"/>
      <c r="G9" s="38"/>
      <c r="H9" s="38"/>
      <c r="I9" s="38"/>
      <c r="J9" s="38"/>
      <c r="K9" s="38"/>
      <c r="L9" s="38"/>
      <c r="M9" s="38"/>
      <c r="N9" s="38"/>
      <c r="O9" s="38"/>
      <c r="P9" s="38"/>
      <c r="Q9" s="38"/>
      <c r="R9" s="38"/>
      <c r="S9" s="38"/>
      <c r="T9" s="38"/>
      <c r="U9" s="38"/>
      <c r="V9" s="38"/>
      <c r="W9" s="38"/>
      <c r="X9" s="38"/>
      <c r="Y9" s="38"/>
    </row>
    <row r="10" spans="1:25" x14ac:dyDescent="0.25">
      <c r="A10" s="41"/>
      <c r="B10" s="41"/>
      <c r="C10" s="41"/>
      <c r="D10" s="41"/>
      <c r="E10" s="41"/>
      <c r="F10" s="38"/>
      <c r="G10" s="38"/>
      <c r="H10" s="38"/>
      <c r="I10" s="38"/>
      <c r="J10" s="38"/>
      <c r="K10" s="38"/>
      <c r="L10" s="38"/>
      <c r="M10" s="38"/>
      <c r="N10" s="38"/>
      <c r="O10" s="38"/>
      <c r="P10" s="38"/>
      <c r="Q10" s="38"/>
      <c r="R10" s="38"/>
      <c r="S10" s="38"/>
      <c r="T10" s="38"/>
      <c r="U10" s="38"/>
      <c r="V10" s="38"/>
      <c r="W10" s="38"/>
      <c r="X10" s="38"/>
      <c r="Y10" s="38"/>
    </row>
    <row r="11" spans="1:25" x14ac:dyDescent="0.25">
      <c r="A11" s="41"/>
      <c r="B11" s="41"/>
      <c r="C11" s="41"/>
      <c r="D11" s="41"/>
      <c r="E11" s="41"/>
      <c r="F11" s="38"/>
      <c r="G11" s="38"/>
      <c r="H11" s="38"/>
      <c r="I11" s="38"/>
      <c r="J11" s="38"/>
      <c r="K11" s="38"/>
      <c r="L11" s="38"/>
      <c r="M11" s="38"/>
      <c r="N11" s="38"/>
      <c r="O11" s="38"/>
      <c r="P11" s="38"/>
      <c r="Q11" s="38"/>
      <c r="R11" s="38"/>
      <c r="S11" s="38"/>
      <c r="T11" s="38"/>
      <c r="U11" s="38"/>
      <c r="V11" s="38"/>
      <c r="W11" s="38"/>
      <c r="X11" s="38"/>
      <c r="Y11" s="38"/>
    </row>
    <row r="12" spans="1:25" x14ac:dyDescent="0.25">
      <c r="A12" s="41"/>
      <c r="B12" s="41"/>
      <c r="C12" s="41"/>
      <c r="D12" s="41"/>
      <c r="E12" s="41"/>
      <c r="F12" s="38"/>
      <c r="G12" s="38"/>
      <c r="H12" s="38"/>
      <c r="I12" s="38"/>
      <c r="J12" s="38"/>
      <c r="K12" s="38"/>
      <c r="L12" s="38"/>
      <c r="M12" s="38"/>
      <c r="N12" s="38"/>
      <c r="O12" s="38"/>
      <c r="P12" s="38"/>
      <c r="Q12" s="38"/>
      <c r="R12" s="38"/>
      <c r="S12" s="38"/>
      <c r="T12" s="38"/>
      <c r="U12" s="38"/>
      <c r="V12" s="38"/>
      <c r="W12" s="38"/>
      <c r="X12" s="38"/>
      <c r="Y12" s="38"/>
    </row>
    <row r="13" spans="1:25" x14ac:dyDescent="0.25">
      <c r="A13" s="41"/>
      <c r="B13" s="41"/>
      <c r="C13" s="41"/>
      <c r="D13" s="41"/>
      <c r="E13" s="41"/>
      <c r="F13" s="38"/>
      <c r="G13" s="38"/>
      <c r="H13" s="38"/>
      <c r="I13" s="38"/>
      <c r="J13" s="38"/>
      <c r="K13" s="38"/>
      <c r="L13" s="38"/>
      <c r="M13" s="38"/>
      <c r="N13" s="38"/>
      <c r="O13" s="38"/>
      <c r="P13" s="38"/>
      <c r="Q13" s="38"/>
      <c r="R13" s="38"/>
      <c r="S13" s="38"/>
      <c r="T13" s="38"/>
      <c r="U13" s="38"/>
      <c r="V13" s="38"/>
      <c r="W13" s="38"/>
      <c r="X13" s="38"/>
      <c r="Y13" s="38"/>
    </row>
    <row r="14" spans="1:25" x14ac:dyDescent="0.25">
      <c r="A14" s="41"/>
      <c r="B14" s="41"/>
      <c r="C14" s="41"/>
      <c r="D14" s="41"/>
      <c r="E14" s="41"/>
      <c r="F14" s="38"/>
      <c r="G14" s="38"/>
      <c r="H14" s="38"/>
      <c r="I14" s="38"/>
      <c r="J14" s="38"/>
      <c r="K14" s="38"/>
      <c r="L14" s="38"/>
      <c r="M14" s="38"/>
      <c r="N14" s="38"/>
      <c r="O14" s="38"/>
      <c r="P14" s="38"/>
      <c r="Q14" s="38"/>
      <c r="R14" s="38"/>
      <c r="S14" s="38"/>
      <c r="T14" s="38"/>
      <c r="U14" s="38"/>
      <c r="V14" s="38"/>
      <c r="W14" s="38"/>
      <c r="X14" s="38"/>
      <c r="Y14" s="38"/>
    </row>
    <row r="15" spans="1:25" x14ac:dyDescent="0.25">
      <c r="A15" s="41"/>
      <c r="B15" s="41"/>
      <c r="C15" s="41"/>
      <c r="D15" s="41"/>
      <c r="E15" s="41"/>
      <c r="F15" s="38"/>
      <c r="G15" s="38"/>
      <c r="H15" s="38"/>
      <c r="I15" s="38"/>
      <c r="J15" s="38"/>
      <c r="K15" s="38"/>
      <c r="L15" s="38"/>
      <c r="M15" s="38"/>
      <c r="N15" s="38"/>
      <c r="O15" s="38"/>
      <c r="P15" s="38"/>
      <c r="Q15" s="38"/>
      <c r="R15" s="38"/>
      <c r="S15" s="38"/>
      <c r="T15" s="38"/>
      <c r="U15" s="38"/>
      <c r="V15" s="38"/>
      <c r="W15" s="38"/>
      <c r="X15" s="38"/>
      <c r="Y15" s="38"/>
    </row>
    <row r="16" spans="1:25" x14ac:dyDescent="0.25">
      <c r="A16" s="41"/>
      <c r="B16" s="41"/>
      <c r="C16" s="41"/>
      <c r="D16" s="41"/>
      <c r="E16" s="41"/>
      <c r="F16" s="38"/>
      <c r="G16" s="38"/>
      <c r="H16" s="38"/>
      <c r="I16" s="38"/>
      <c r="J16" s="38"/>
      <c r="K16" s="38"/>
      <c r="L16" s="38"/>
      <c r="M16" s="38"/>
      <c r="N16" s="38"/>
      <c r="O16" s="38"/>
      <c r="P16" s="38"/>
      <c r="Q16" s="38"/>
      <c r="R16" s="38"/>
      <c r="S16" s="38"/>
      <c r="T16" s="38"/>
      <c r="U16" s="38"/>
      <c r="V16" s="38"/>
      <c r="W16" s="38"/>
      <c r="X16" s="38"/>
      <c r="Y16" s="38"/>
    </row>
    <row r="17" spans="1:25" x14ac:dyDescent="0.25">
      <c r="A17" s="41"/>
      <c r="B17" s="41"/>
      <c r="C17" s="41"/>
      <c r="D17" s="41"/>
      <c r="E17" s="41"/>
      <c r="F17" s="38"/>
      <c r="G17" s="38"/>
      <c r="H17" s="38"/>
      <c r="I17" s="38"/>
      <c r="J17" s="38"/>
      <c r="K17" s="38"/>
      <c r="L17" s="38"/>
      <c r="M17" s="38"/>
      <c r="N17" s="38"/>
      <c r="O17" s="38"/>
      <c r="P17" s="38"/>
      <c r="Q17" s="38"/>
      <c r="R17" s="38"/>
      <c r="S17" s="38"/>
      <c r="T17" s="38"/>
      <c r="U17" s="38"/>
      <c r="V17" s="38"/>
      <c r="W17" s="38"/>
      <c r="X17" s="38"/>
      <c r="Y17" s="38"/>
    </row>
    <row r="18" spans="1:25" x14ac:dyDescent="0.25">
      <c r="A18" s="41"/>
      <c r="B18" s="41"/>
      <c r="C18" s="41"/>
      <c r="D18" s="41"/>
      <c r="E18" s="41"/>
      <c r="F18" s="38"/>
      <c r="G18" s="38"/>
      <c r="H18" s="38"/>
      <c r="I18" s="38"/>
      <c r="J18" s="38"/>
      <c r="K18" s="38"/>
      <c r="L18" s="38"/>
      <c r="M18" s="38"/>
      <c r="N18" s="38"/>
      <c r="O18" s="38"/>
      <c r="P18" s="38"/>
      <c r="Q18" s="38"/>
      <c r="R18" s="38"/>
      <c r="S18" s="38"/>
      <c r="T18" s="38"/>
      <c r="U18" s="38"/>
      <c r="V18" s="38"/>
      <c r="W18" s="38"/>
      <c r="X18" s="38"/>
      <c r="Y18" s="38"/>
    </row>
    <row r="19" spans="1:25" x14ac:dyDescent="0.25">
      <c r="A19" s="41"/>
      <c r="B19" s="41"/>
      <c r="C19" s="41"/>
      <c r="D19" s="41"/>
      <c r="E19" s="41"/>
      <c r="F19" s="38"/>
      <c r="G19" s="38"/>
      <c r="H19" s="38"/>
      <c r="I19" s="38"/>
      <c r="J19" s="38"/>
      <c r="K19" s="38"/>
      <c r="L19" s="38"/>
      <c r="M19" s="38"/>
      <c r="N19" s="38"/>
      <c r="O19" s="38"/>
      <c r="P19" s="38"/>
      <c r="Q19" s="38"/>
      <c r="R19" s="38"/>
      <c r="S19" s="38"/>
      <c r="T19" s="38"/>
      <c r="U19" s="38"/>
      <c r="V19" s="38"/>
      <c r="W19" s="38"/>
      <c r="X19" s="38"/>
      <c r="Y19" s="38"/>
    </row>
    <row r="20" spans="1:25" x14ac:dyDescent="0.25">
      <c r="A20" s="41"/>
      <c r="B20" s="41"/>
      <c r="C20" s="41"/>
      <c r="D20" s="41"/>
      <c r="E20" s="41"/>
      <c r="F20" s="38"/>
      <c r="G20" s="38"/>
      <c r="H20" s="38"/>
      <c r="I20" s="38"/>
      <c r="J20" s="38"/>
      <c r="K20" s="38"/>
      <c r="L20" s="38"/>
      <c r="M20" s="38"/>
      <c r="N20" s="38"/>
      <c r="O20" s="38"/>
      <c r="P20" s="38"/>
      <c r="Q20" s="38"/>
      <c r="R20" s="38"/>
      <c r="S20" s="38"/>
      <c r="T20" s="38"/>
      <c r="U20" s="38"/>
      <c r="V20" s="38"/>
      <c r="W20" s="38"/>
      <c r="X20" s="38"/>
      <c r="Y20" s="38"/>
    </row>
    <row r="21" spans="1:25" x14ac:dyDescent="0.25">
      <c r="A21" s="41"/>
      <c r="B21" s="41"/>
      <c r="C21" s="41"/>
      <c r="D21" s="41"/>
      <c r="E21" s="41"/>
      <c r="F21" s="38"/>
      <c r="G21" s="38"/>
      <c r="H21" s="38"/>
      <c r="I21" s="38"/>
      <c r="J21" s="38"/>
      <c r="K21" s="38"/>
      <c r="L21" s="38"/>
      <c r="M21" s="38"/>
      <c r="N21" s="38"/>
      <c r="O21" s="38"/>
      <c r="P21" s="38"/>
      <c r="Q21" s="38"/>
      <c r="R21" s="38"/>
      <c r="S21" s="38"/>
      <c r="T21" s="38"/>
      <c r="U21" s="38"/>
      <c r="V21" s="38"/>
      <c r="W21" s="38"/>
      <c r="X21" s="38"/>
      <c r="Y21" s="38"/>
    </row>
    <row r="22" spans="1:25" x14ac:dyDescent="0.25">
      <c r="A22" s="41"/>
      <c r="B22" s="41"/>
      <c r="C22" s="41"/>
      <c r="D22" s="41"/>
      <c r="E22" s="41"/>
      <c r="F22" s="38"/>
      <c r="G22" s="38"/>
      <c r="H22" s="38"/>
      <c r="I22" s="38"/>
      <c r="J22" s="38"/>
      <c r="K22" s="38"/>
      <c r="L22" s="38"/>
      <c r="M22" s="38"/>
      <c r="N22" s="38"/>
      <c r="O22" s="38"/>
      <c r="P22" s="38"/>
      <c r="Q22" s="38"/>
      <c r="R22" s="38"/>
      <c r="S22" s="38"/>
      <c r="T22" s="38"/>
      <c r="U22" s="38"/>
      <c r="V22" s="38"/>
      <c r="W22" s="38"/>
      <c r="X22" s="38"/>
      <c r="Y22" s="38"/>
    </row>
    <row r="23" spans="1:25" x14ac:dyDescent="0.25">
      <c r="A23" s="41"/>
      <c r="B23" s="41"/>
      <c r="C23" s="41"/>
      <c r="D23" s="41"/>
      <c r="E23" s="41"/>
      <c r="F23" s="38"/>
      <c r="G23" s="38"/>
      <c r="H23" s="38"/>
      <c r="I23" s="38"/>
      <c r="J23" s="38"/>
      <c r="K23" s="38"/>
      <c r="L23" s="38"/>
      <c r="M23" s="38"/>
      <c r="N23" s="38"/>
      <c r="O23" s="38"/>
      <c r="P23" s="38"/>
      <c r="Q23" s="38"/>
      <c r="R23" s="38"/>
      <c r="S23" s="38"/>
      <c r="T23" s="38"/>
      <c r="U23" s="38"/>
      <c r="V23" s="38"/>
      <c r="W23" s="38"/>
      <c r="X23" s="38"/>
      <c r="Y23" s="38"/>
    </row>
    <row r="24" spans="1:25" x14ac:dyDescent="0.25">
      <c r="A24" s="41"/>
      <c r="B24" s="41"/>
      <c r="C24" s="41"/>
      <c r="D24" s="41"/>
      <c r="E24" s="41"/>
      <c r="F24" s="38"/>
      <c r="G24" s="38"/>
      <c r="H24" s="38"/>
      <c r="I24" s="38"/>
      <c r="J24" s="38"/>
      <c r="K24" s="38"/>
      <c r="L24" s="38"/>
      <c r="M24" s="38"/>
      <c r="N24" s="38"/>
      <c r="O24" s="38"/>
      <c r="P24" s="38"/>
      <c r="Q24" s="38"/>
      <c r="R24" s="38"/>
      <c r="S24" s="38"/>
      <c r="T24" s="38"/>
      <c r="U24" s="38"/>
      <c r="V24" s="38"/>
      <c r="W24" s="38"/>
      <c r="X24" s="38"/>
      <c r="Y24" s="38"/>
    </row>
    <row r="25" spans="1:25" x14ac:dyDescent="0.25">
      <c r="A25" s="41"/>
      <c r="B25" s="41"/>
      <c r="C25" s="41"/>
      <c r="D25" s="41"/>
      <c r="E25" s="41"/>
      <c r="F25" s="38"/>
      <c r="G25" s="38"/>
      <c r="H25" s="38"/>
      <c r="I25" s="38"/>
      <c r="J25" s="38"/>
      <c r="K25" s="38"/>
      <c r="L25" s="38"/>
      <c r="M25" s="38"/>
      <c r="N25" s="38"/>
      <c r="O25" s="38"/>
      <c r="P25" s="38"/>
      <c r="Q25" s="38"/>
      <c r="R25" s="38"/>
      <c r="S25" s="38"/>
      <c r="T25" s="38"/>
      <c r="U25" s="38"/>
      <c r="V25" s="38"/>
      <c r="W25" s="38"/>
      <c r="X25" s="38"/>
      <c r="Y25" s="38"/>
    </row>
    <row r="26" spans="1:25" x14ac:dyDescent="0.25">
      <c r="A26" s="41"/>
      <c r="B26" s="41"/>
      <c r="C26" s="41"/>
      <c r="D26" s="41"/>
      <c r="E26" s="41"/>
      <c r="F26" s="38"/>
      <c r="G26" s="38"/>
      <c r="H26" s="38"/>
      <c r="I26" s="38"/>
      <c r="J26" s="38"/>
      <c r="K26" s="38"/>
      <c r="L26" s="38"/>
      <c r="M26" s="38"/>
      <c r="N26" s="38"/>
      <c r="O26" s="38"/>
      <c r="P26" s="38"/>
      <c r="Q26" s="38"/>
      <c r="R26" s="38"/>
      <c r="S26" s="38"/>
      <c r="T26" s="38"/>
      <c r="U26" s="38"/>
      <c r="V26" s="38"/>
      <c r="W26" s="38"/>
      <c r="X26" s="38"/>
      <c r="Y26" s="38"/>
    </row>
    <row r="27" spans="1:25" x14ac:dyDescent="0.25">
      <c r="A27" s="41"/>
      <c r="B27" s="41"/>
      <c r="C27" s="41"/>
      <c r="D27" s="41"/>
      <c r="E27" s="41"/>
      <c r="F27" s="38"/>
      <c r="G27" s="38"/>
      <c r="H27" s="38"/>
      <c r="I27" s="38"/>
      <c r="J27" s="38"/>
      <c r="K27" s="38"/>
      <c r="L27" s="38"/>
      <c r="M27" s="38"/>
      <c r="N27" s="38"/>
      <c r="O27" s="38"/>
      <c r="P27" s="38"/>
      <c r="Q27" s="38"/>
      <c r="R27" s="38"/>
      <c r="S27" s="38"/>
      <c r="T27" s="38"/>
      <c r="U27" s="38"/>
      <c r="V27" s="38"/>
      <c r="W27" s="38"/>
      <c r="X27" s="38"/>
      <c r="Y27" s="38"/>
    </row>
    <row r="28" spans="1:25" x14ac:dyDescent="0.25">
      <c r="A28" s="41"/>
      <c r="B28" s="41"/>
      <c r="C28" s="41"/>
      <c r="D28" s="41"/>
      <c r="E28" s="41"/>
      <c r="F28" s="38"/>
      <c r="G28" s="38"/>
      <c r="H28" s="38"/>
      <c r="I28" s="38"/>
      <c r="J28" s="38"/>
      <c r="K28" s="38"/>
      <c r="L28" s="38"/>
      <c r="M28" s="38"/>
      <c r="N28" s="38"/>
      <c r="O28" s="38"/>
      <c r="P28" s="38"/>
      <c r="Q28" s="38"/>
      <c r="R28" s="38"/>
      <c r="S28" s="38"/>
      <c r="T28" s="38"/>
      <c r="U28" s="38"/>
      <c r="V28" s="38"/>
      <c r="W28" s="38"/>
      <c r="X28" s="38"/>
      <c r="Y28" s="38"/>
    </row>
    <row r="29" spans="1:25" x14ac:dyDescent="0.25">
      <c r="A29" s="46"/>
      <c r="B29" s="46"/>
      <c r="C29" s="46"/>
      <c r="D29" s="46"/>
      <c r="E29" s="46"/>
      <c r="F29" s="38"/>
      <c r="G29" s="38"/>
      <c r="H29" s="38"/>
      <c r="I29" s="38"/>
      <c r="J29" s="38"/>
      <c r="K29" s="38"/>
      <c r="L29" s="38"/>
      <c r="M29" s="38"/>
      <c r="N29" s="38"/>
      <c r="O29" s="38"/>
      <c r="P29" s="38"/>
      <c r="Q29" s="38"/>
      <c r="R29" s="38"/>
      <c r="S29" s="38"/>
      <c r="T29" s="38"/>
      <c r="U29" s="38"/>
      <c r="V29" s="38"/>
      <c r="W29" s="38"/>
      <c r="X29" s="38"/>
      <c r="Y29" s="38"/>
    </row>
    <row r="30" spans="1:25" x14ac:dyDescent="0.25">
      <c r="A30" s="46"/>
      <c r="B30" s="46"/>
      <c r="C30" s="46"/>
      <c r="D30" s="46"/>
      <c r="E30" s="46"/>
      <c r="F30" s="38"/>
      <c r="G30" s="38"/>
      <c r="H30" s="38"/>
      <c r="I30" s="38"/>
      <c r="J30" s="38"/>
      <c r="K30" s="38"/>
      <c r="L30" s="38"/>
      <c r="M30" s="38"/>
      <c r="N30" s="38"/>
      <c r="O30" s="38"/>
      <c r="P30" s="38"/>
      <c r="Q30" s="38"/>
      <c r="R30" s="38"/>
      <c r="S30" s="38"/>
      <c r="T30" s="38"/>
      <c r="U30" s="38"/>
      <c r="V30" s="38"/>
      <c r="W30" s="38"/>
      <c r="X30" s="38"/>
      <c r="Y30" s="38"/>
    </row>
    <row r="31" spans="1:25" x14ac:dyDescent="0.25">
      <c r="A31" s="46"/>
      <c r="B31" s="46"/>
      <c r="C31" s="46"/>
      <c r="D31" s="46"/>
      <c r="E31" s="46"/>
      <c r="F31" s="38"/>
      <c r="G31" s="38"/>
      <c r="H31" s="38"/>
      <c r="I31" s="38"/>
      <c r="J31" s="38"/>
      <c r="K31" s="38"/>
      <c r="L31" s="38"/>
      <c r="M31" s="38"/>
      <c r="N31" s="38"/>
      <c r="O31" s="38"/>
      <c r="P31" s="38"/>
      <c r="Q31" s="38"/>
      <c r="R31" s="38"/>
      <c r="S31" s="38"/>
      <c r="T31" s="38"/>
      <c r="U31" s="38"/>
      <c r="V31" s="38"/>
      <c r="W31" s="38"/>
      <c r="X31" s="38"/>
      <c r="Y31" s="38"/>
    </row>
  </sheetData>
  <pageMargins left="0.70866141732283472" right="0.70866141732283472" top="0.74803149606299213" bottom="0.74803149606299213" header="0.31496062992125984" footer="0.31496062992125984"/>
  <pageSetup paperSize="9" scale="35"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1000"/>
  <sheetViews>
    <sheetView workbookViewId="0">
      <selection activeCell="D26" sqref="D26"/>
    </sheetView>
  </sheetViews>
  <sheetFormatPr defaultColWidth="14.42578125" defaultRowHeight="15" customHeight="1" x14ac:dyDescent="0.25"/>
  <cols>
    <col min="1" max="1" width="12" customWidth="1"/>
    <col min="2" max="2" width="16" customWidth="1"/>
    <col min="3" max="3" width="14" customWidth="1"/>
    <col min="4" max="4" width="12" customWidth="1"/>
    <col min="5" max="5" width="18" customWidth="1"/>
    <col min="6" max="6" width="14" customWidth="1"/>
    <col min="7" max="7" width="13" customWidth="1"/>
    <col min="8" max="8" width="14" customWidth="1"/>
    <col min="9" max="25" width="8.7109375" customWidth="1"/>
  </cols>
  <sheetData>
    <row r="1" spans="1:8" ht="17.25" customHeight="1" x14ac:dyDescent="0.25">
      <c r="A1" s="2" t="s">
        <v>1</v>
      </c>
      <c r="B1" s="4" t="s">
        <v>0</v>
      </c>
      <c r="C1" s="4" t="s">
        <v>20</v>
      </c>
      <c r="D1" s="4" t="s">
        <v>22</v>
      </c>
      <c r="E1" s="4" t="s">
        <v>23</v>
      </c>
      <c r="F1" s="4" t="s">
        <v>24</v>
      </c>
      <c r="G1" s="4" t="s">
        <v>25</v>
      </c>
      <c r="H1" s="4" t="s">
        <v>26</v>
      </c>
    </row>
    <row r="2" spans="1:8" ht="14.25" customHeight="1" x14ac:dyDescent="0.25">
      <c r="A2" s="5">
        <v>46161</v>
      </c>
      <c r="B2" s="6" t="s">
        <v>27</v>
      </c>
      <c r="C2" s="6" t="s">
        <v>28</v>
      </c>
      <c r="D2" s="6" t="s">
        <v>29</v>
      </c>
      <c r="E2" s="6" t="s">
        <v>30</v>
      </c>
      <c r="F2" s="6" t="s">
        <v>31</v>
      </c>
      <c r="G2" s="7">
        <v>7</v>
      </c>
      <c r="H2" s="6" t="s">
        <v>32</v>
      </c>
    </row>
    <row r="3" spans="1:8" ht="14.25" customHeight="1" x14ac:dyDescent="0.25">
      <c r="A3" s="8">
        <v>46199</v>
      </c>
      <c r="B3" s="9" t="s">
        <v>33</v>
      </c>
      <c r="C3" s="9" t="s">
        <v>28</v>
      </c>
      <c r="D3" s="9" t="s">
        <v>34</v>
      </c>
      <c r="E3" s="9" t="s">
        <v>35</v>
      </c>
      <c r="F3" s="9" t="s">
        <v>31</v>
      </c>
      <c r="G3" s="10">
        <v>1</v>
      </c>
      <c r="H3" s="9" t="s">
        <v>36</v>
      </c>
    </row>
    <row r="4" spans="1:8" ht="14.25" customHeight="1" x14ac:dyDescent="0.25">
      <c r="A4" s="5">
        <v>46172</v>
      </c>
      <c r="B4" s="6" t="s">
        <v>7</v>
      </c>
      <c r="C4" s="6" t="s">
        <v>37</v>
      </c>
      <c r="D4" s="6" t="s">
        <v>38</v>
      </c>
      <c r="E4" s="6" t="s">
        <v>39</v>
      </c>
      <c r="F4" s="6" t="s">
        <v>40</v>
      </c>
      <c r="G4" s="7">
        <v>7</v>
      </c>
      <c r="H4" s="6" t="s">
        <v>32</v>
      </c>
    </row>
    <row r="5" spans="1:8" ht="14.25" customHeight="1" x14ac:dyDescent="0.25">
      <c r="A5" s="8">
        <v>46214</v>
      </c>
      <c r="B5" s="9" t="s">
        <v>41</v>
      </c>
      <c r="C5" s="9" t="s">
        <v>42</v>
      </c>
      <c r="D5" s="9" t="s">
        <v>34</v>
      </c>
      <c r="E5" s="9" t="s">
        <v>35</v>
      </c>
      <c r="F5" s="9" t="s">
        <v>43</v>
      </c>
      <c r="G5" s="10">
        <v>6</v>
      </c>
      <c r="H5" s="9" t="s">
        <v>32</v>
      </c>
    </row>
    <row r="6" spans="1:8" ht="14.25" customHeight="1" x14ac:dyDescent="0.25">
      <c r="A6" s="5">
        <v>46130</v>
      </c>
      <c r="B6" s="6" t="s">
        <v>44</v>
      </c>
      <c r="C6" s="6" t="s">
        <v>45</v>
      </c>
      <c r="D6" s="6" t="s">
        <v>29</v>
      </c>
      <c r="E6" s="6" t="s">
        <v>46</v>
      </c>
      <c r="F6" s="6" t="s">
        <v>47</v>
      </c>
      <c r="G6" s="7">
        <v>6</v>
      </c>
      <c r="H6" s="6" t="s">
        <v>32</v>
      </c>
    </row>
    <row r="7" spans="1:8" ht="14.25" customHeight="1" x14ac:dyDescent="0.25">
      <c r="A7" s="8">
        <v>46093</v>
      </c>
      <c r="B7" s="9" t="s">
        <v>9</v>
      </c>
      <c r="C7" s="9" t="s">
        <v>48</v>
      </c>
      <c r="D7" s="9" t="s">
        <v>49</v>
      </c>
      <c r="E7" s="9" t="s">
        <v>50</v>
      </c>
      <c r="F7" s="9" t="s">
        <v>51</v>
      </c>
      <c r="G7" s="10">
        <v>6</v>
      </c>
      <c r="H7" s="9" t="s">
        <v>36</v>
      </c>
    </row>
    <row r="8" spans="1:8" ht="14.25" customHeight="1" x14ac:dyDescent="0.25">
      <c r="A8" s="5">
        <v>46191</v>
      </c>
      <c r="B8" s="6" t="s">
        <v>52</v>
      </c>
      <c r="C8" s="6" t="s">
        <v>28</v>
      </c>
      <c r="D8" s="6" t="s">
        <v>38</v>
      </c>
      <c r="E8" s="6" t="s">
        <v>39</v>
      </c>
      <c r="F8" s="6" t="s">
        <v>53</v>
      </c>
      <c r="G8" s="7">
        <v>13</v>
      </c>
      <c r="H8" s="6" t="s">
        <v>54</v>
      </c>
    </row>
    <row r="9" spans="1:8" ht="14.25" customHeight="1" x14ac:dyDescent="0.25">
      <c r="A9" s="8">
        <v>46212</v>
      </c>
      <c r="B9" s="9" t="s">
        <v>55</v>
      </c>
      <c r="C9" s="9" t="s">
        <v>28</v>
      </c>
      <c r="D9" s="9" t="s">
        <v>56</v>
      </c>
      <c r="E9" s="9" t="s">
        <v>57</v>
      </c>
      <c r="F9" s="9" t="s">
        <v>53</v>
      </c>
      <c r="G9" s="10">
        <v>12</v>
      </c>
      <c r="H9" s="9" t="s">
        <v>54</v>
      </c>
    </row>
    <row r="10" spans="1:8" ht="14.25" customHeight="1" x14ac:dyDescent="0.25">
      <c r="A10" s="5">
        <v>46038</v>
      </c>
      <c r="B10" s="6" t="s">
        <v>7</v>
      </c>
      <c r="C10" s="6" t="s">
        <v>58</v>
      </c>
      <c r="D10" s="6" t="s">
        <v>38</v>
      </c>
      <c r="E10" s="6" t="s">
        <v>39</v>
      </c>
      <c r="F10" s="6" t="s">
        <v>59</v>
      </c>
      <c r="G10" s="7">
        <v>10</v>
      </c>
      <c r="H10" s="6" t="s">
        <v>54</v>
      </c>
    </row>
    <row r="11" spans="1:8" ht="14.25" customHeight="1" x14ac:dyDescent="0.25">
      <c r="A11" s="8">
        <v>46182</v>
      </c>
      <c r="B11" s="9" t="s">
        <v>60</v>
      </c>
      <c r="C11" s="9" t="s">
        <v>28</v>
      </c>
      <c r="D11" s="9" t="s">
        <v>34</v>
      </c>
      <c r="E11" s="9" t="s">
        <v>39</v>
      </c>
      <c r="F11" s="9" t="s">
        <v>61</v>
      </c>
      <c r="G11" s="10">
        <v>15</v>
      </c>
      <c r="H11" s="9" t="s">
        <v>62</v>
      </c>
    </row>
    <row r="12" spans="1:8" ht="14.25" customHeight="1" x14ac:dyDescent="0.25">
      <c r="A12" s="5">
        <v>46132</v>
      </c>
      <c r="B12" s="6" t="s">
        <v>44</v>
      </c>
      <c r="C12" s="6" t="s">
        <v>28</v>
      </c>
      <c r="D12" s="6" t="s">
        <v>56</v>
      </c>
      <c r="E12" s="6" t="s">
        <v>63</v>
      </c>
      <c r="F12" s="6" t="s">
        <v>64</v>
      </c>
      <c r="G12" s="7">
        <v>8</v>
      </c>
      <c r="H12" s="6" t="s">
        <v>32</v>
      </c>
    </row>
    <row r="13" spans="1:8" ht="14.25" customHeight="1" x14ac:dyDescent="0.25">
      <c r="A13" s="8">
        <v>46097</v>
      </c>
      <c r="B13" s="9" t="s">
        <v>33</v>
      </c>
      <c r="C13" s="9" t="s">
        <v>45</v>
      </c>
      <c r="D13" s="9" t="s">
        <v>38</v>
      </c>
      <c r="E13" s="9" t="s">
        <v>63</v>
      </c>
      <c r="F13" s="9" t="s">
        <v>59</v>
      </c>
      <c r="G13" s="10">
        <v>9</v>
      </c>
      <c r="H13" s="9" t="s">
        <v>54</v>
      </c>
    </row>
    <row r="14" spans="1:8" ht="14.25" customHeight="1" x14ac:dyDescent="0.25">
      <c r="A14" s="5">
        <v>46146</v>
      </c>
      <c r="B14" s="6" t="s">
        <v>65</v>
      </c>
      <c r="C14" s="6" t="s">
        <v>42</v>
      </c>
      <c r="D14" s="6" t="s">
        <v>38</v>
      </c>
      <c r="E14" s="6" t="s">
        <v>30</v>
      </c>
      <c r="F14" s="6" t="s">
        <v>66</v>
      </c>
      <c r="G14" s="7">
        <v>14</v>
      </c>
      <c r="H14" s="6" t="s">
        <v>32</v>
      </c>
    </row>
    <row r="15" spans="1:8" ht="14.25" customHeight="1" x14ac:dyDescent="0.25">
      <c r="A15" s="8">
        <v>46031</v>
      </c>
      <c r="B15" s="9" t="s">
        <v>67</v>
      </c>
      <c r="C15" s="9" t="s">
        <v>58</v>
      </c>
      <c r="D15" s="9" t="s">
        <v>38</v>
      </c>
      <c r="E15" s="9" t="s">
        <v>57</v>
      </c>
      <c r="F15" s="9" t="s">
        <v>40</v>
      </c>
      <c r="G15" s="10">
        <v>4</v>
      </c>
      <c r="H15" s="9" t="s">
        <v>36</v>
      </c>
    </row>
    <row r="16" spans="1:8" ht="14.25" customHeight="1" x14ac:dyDescent="0.25">
      <c r="A16" s="5">
        <v>46199</v>
      </c>
      <c r="B16" s="6" t="s">
        <v>68</v>
      </c>
      <c r="C16" s="6" t="s">
        <v>37</v>
      </c>
      <c r="D16" s="6" t="s">
        <v>29</v>
      </c>
      <c r="E16" s="6" t="s">
        <v>69</v>
      </c>
      <c r="F16" s="6" t="s">
        <v>31</v>
      </c>
      <c r="G16" s="7">
        <v>6</v>
      </c>
      <c r="H16" s="6" t="s">
        <v>36</v>
      </c>
    </row>
    <row r="17" spans="1:8" ht="14.25" customHeight="1" x14ac:dyDescent="0.25">
      <c r="A17" s="8">
        <v>46226</v>
      </c>
      <c r="B17" s="9" t="s">
        <v>70</v>
      </c>
      <c r="C17" s="9" t="s">
        <v>71</v>
      </c>
      <c r="D17" s="9" t="s">
        <v>38</v>
      </c>
      <c r="E17" s="9" t="s">
        <v>72</v>
      </c>
      <c r="F17" s="9" t="s">
        <v>73</v>
      </c>
      <c r="G17" s="10">
        <v>10</v>
      </c>
      <c r="H17" s="9" t="s">
        <v>54</v>
      </c>
    </row>
    <row r="18" spans="1:8" ht="14.25" customHeight="1" x14ac:dyDescent="0.25">
      <c r="A18" s="5">
        <v>46125</v>
      </c>
      <c r="B18" s="6" t="s">
        <v>41</v>
      </c>
      <c r="C18" s="6" t="s">
        <v>74</v>
      </c>
      <c r="D18" s="6" t="s">
        <v>29</v>
      </c>
      <c r="E18" s="6" t="s">
        <v>75</v>
      </c>
      <c r="F18" s="6" t="s">
        <v>40</v>
      </c>
      <c r="G18" s="7">
        <v>7</v>
      </c>
      <c r="H18" s="6" t="s">
        <v>32</v>
      </c>
    </row>
    <row r="19" spans="1:8" ht="14.25" customHeight="1" x14ac:dyDescent="0.25">
      <c r="A19" s="8">
        <v>46162</v>
      </c>
      <c r="B19" s="9" t="s">
        <v>76</v>
      </c>
      <c r="C19" s="9" t="s">
        <v>77</v>
      </c>
      <c r="D19" s="9" t="s">
        <v>49</v>
      </c>
      <c r="E19" s="9" t="s">
        <v>46</v>
      </c>
      <c r="F19" s="9" t="s">
        <v>47</v>
      </c>
      <c r="G19" s="10">
        <v>7</v>
      </c>
      <c r="H19" s="9" t="s">
        <v>62</v>
      </c>
    </row>
    <row r="20" spans="1:8" ht="14.25" customHeight="1" x14ac:dyDescent="0.25">
      <c r="A20" s="5">
        <v>46112</v>
      </c>
      <c r="B20" s="6" t="s">
        <v>10</v>
      </c>
      <c r="C20" s="6" t="s">
        <v>74</v>
      </c>
      <c r="D20" s="6" t="s">
        <v>34</v>
      </c>
      <c r="E20" s="6" t="s">
        <v>39</v>
      </c>
      <c r="F20" s="6" t="s">
        <v>47</v>
      </c>
      <c r="G20" s="7">
        <v>11</v>
      </c>
      <c r="H20" s="6" t="s">
        <v>54</v>
      </c>
    </row>
    <row r="21" spans="1:8" ht="14.25" customHeight="1" x14ac:dyDescent="0.25">
      <c r="A21" s="8">
        <v>46147</v>
      </c>
      <c r="B21" s="9" t="s">
        <v>41</v>
      </c>
      <c r="C21" s="9" t="s">
        <v>42</v>
      </c>
      <c r="D21" s="9" t="s">
        <v>29</v>
      </c>
      <c r="E21" s="9" t="s">
        <v>50</v>
      </c>
      <c r="F21" s="9" t="s">
        <v>78</v>
      </c>
      <c r="G21" s="10">
        <v>6</v>
      </c>
      <c r="H21" s="9" t="s">
        <v>54</v>
      </c>
    </row>
    <row r="22" spans="1:8" ht="14.25" customHeight="1" x14ac:dyDescent="0.25">
      <c r="A22" s="5">
        <v>46241</v>
      </c>
      <c r="B22" s="6" t="s">
        <v>5</v>
      </c>
      <c r="C22" s="6" t="s">
        <v>28</v>
      </c>
      <c r="D22" s="6" t="s">
        <v>29</v>
      </c>
      <c r="E22" s="6" t="s">
        <v>46</v>
      </c>
      <c r="F22" s="6" t="s">
        <v>66</v>
      </c>
      <c r="G22" s="7">
        <v>8</v>
      </c>
      <c r="H22" s="6" t="s">
        <v>36</v>
      </c>
    </row>
    <row r="23" spans="1:8" ht="14.25" customHeight="1" x14ac:dyDescent="0.25">
      <c r="A23" s="8">
        <v>46217</v>
      </c>
      <c r="B23" s="9" t="s">
        <v>79</v>
      </c>
      <c r="C23" s="9" t="s">
        <v>71</v>
      </c>
      <c r="D23" s="9" t="s">
        <v>38</v>
      </c>
      <c r="E23" s="9" t="s">
        <v>75</v>
      </c>
      <c r="F23" s="9" t="s">
        <v>59</v>
      </c>
      <c r="G23" s="10">
        <v>5</v>
      </c>
      <c r="H23" s="9" t="s">
        <v>62</v>
      </c>
    </row>
    <row r="24" spans="1:8" ht="14.25" customHeight="1" x14ac:dyDescent="0.25">
      <c r="A24" s="5">
        <v>46034</v>
      </c>
      <c r="B24" s="6" t="s">
        <v>60</v>
      </c>
      <c r="C24" s="6" t="s">
        <v>58</v>
      </c>
      <c r="D24" s="6" t="s">
        <v>38</v>
      </c>
      <c r="E24" s="6" t="s">
        <v>80</v>
      </c>
      <c r="F24" s="6" t="s">
        <v>78</v>
      </c>
      <c r="G24" s="7">
        <v>15</v>
      </c>
      <c r="H24" s="6" t="s">
        <v>36</v>
      </c>
    </row>
    <row r="25" spans="1:8" ht="14.25" customHeight="1" x14ac:dyDescent="0.25">
      <c r="A25" s="8">
        <v>46050</v>
      </c>
      <c r="B25" s="9" t="s">
        <v>9</v>
      </c>
      <c r="C25" s="9" t="s">
        <v>37</v>
      </c>
      <c r="D25" s="9" t="s">
        <v>38</v>
      </c>
      <c r="E25" s="9" t="s">
        <v>81</v>
      </c>
      <c r="F25" s="9" t="s">
        <v>61</v>
      </c>
      <c r="G25" s="10">
        <v>1</v>
      </c>
      <c r="H25" s="9" t="s">
        <v>36</v>
      </c>
    </row>
    <row r="26" spans="1:8" ht="14.25" customHeight="1" x14ac:dyDescent="0.25">
      <c r="A26" s="5">
        <v>46035</v>
      </c>
      <c r="B26" s="6" t="s">
        <v>8</v>
      </c>
      <c r="C26" s="6" t="s">
        <v>77</v>
      </c>
      <c r="D26" s="6" t="s">
        <v>49</v>
      </c>
      <c r="E26" s="6" t="s">
        <v>63</v>
      </c>
      <c r="F26" s="6" t="s">
        <v>51</v>
      </c>
      <c r="G26" s="7">
        <v>12</v>
      </c>
      <c r="H26" s="6" t="s">
        <v>54</v>
      </c>
    </row>
    <row r="27" spans="1:8" ht="14.25" customHeight="1" x14ac:dyDescent="0.25">
      <c r="A27" s="8">
        <v>46094</v>
      </c>
      <c r="B27" s="9" t="s">
        <v>33</v>
      </c>
      <c r="C27" s="9" t="s">
        <v>42</v>
      </c>
      <c r="D27" s="9" t="s">
        <v>38</v>
      </c>
      <c r="E27" s="9" t="s">
        <v>75</v>
      </c>
      <c r="F27" s="9" t="s">
        <v>64</v>
      </c>
      <c r="G27" s="10">
        <v>9</v>
      </c>
      <c r="H27" s="9" t="s">
        <v>62</v>
      </c>
    </row>
    <row r="28" spans="1:8" ht="14.25" customHeight="1" x14ac:dyDescent="0.25">
      <c r="A28" s="5">
        <v>46214</v>
      </c>
      <c r="B28" s="6" t="s">
        <v>67</v>
      </c>
      <c r="C28" s="6" t="s">
        <v>28</v>
      </c>
      <c r="D28" s="6" t="s">
        <v>38</v>
      </c>
      <c r="E28" s="6" t="s">
        <v>39</v>
      </c>
      <c r="F28" s="6" t="s">
        <v>51</v>
      </c>
      <c r="G28" s="7">
        <v>5</v>
      </c>
      <c r="H28" s="6" t="s">
        <v>62</v>
      </c>
    </row>
    <row r="29" spans="1:8" ht="14.25" customHeight="1" x14ac:dyDescent="0.25">
      <c r="A29" s="8">
        <v>46091</v>
      </c>
      <c r="B29" s="9" t="s">
        <v>33</v>
      </c>
      <c r="C29" s="9" t="s">
        <v>77</v>
      </c>
      <c r="D29" s="9" t="s">
        <v>38</v>
      </c>
      <c r="E29" s="9" t="s">
        <v>63</v>
      </c>
      <c r="F29" s="9" t="s">
        <v>78</v>
      </c>
      <c r="G29" s="10">
        <v>8</v>
      </c>
      <c r="H29" s="9" t="s">
        <v>32</v>
      </c>
    </row>
    <row r="30" spans="1:8" ht="14.25" customHeight="1" x14ac:dyDescent="0.25">
      <c r="A30" s="5">
        <v>46142</v>
      </c>
      <c r="B30" s="6" t="s">
        <v>60</v>
      </c>
      <c r="C30" s="6" t="s">
        <v>58</v>
      </c>
      <c r="D30" s="6" t="s">
        <v>29</v>
      </c>
      <c r="E30" s="6" t="s">
        <v>82</v>
      </c>
      <c r="F30" s="6" t="s">
        <v>40</v>
      </c>
      <c r="G30" s="7">
        <v>2</v>
      </c>
      <c r="H30" s="6" t="s">
        <v>32</v>
      </c>
    </row>
    <row r="31" spans="1:8" ht="14.25" customHeight="1" x14ac:dyDescent="0.25">
      <c r="A31" s="8">
        <v>46068</v>
      </c>
      <c r="B31" s="9" t="s">
        <v>83</v>
      </c>
      <c r="C31" s="9" t="s">
        <v>28</v>
      </c>
      <c r="D31" s="9" t="s">
        <v>49</v>
      </c>
      <c r="E31" s="9" t="s">
        <v>69</v>
      </c>
      <c r="F31" s="9" t="s">
        <v>84</v>
      </c>
      <c r="G31" s="10">
        <v>7</v>
      </c>
      <c r="H31" s="9" t="s">
        <v>54</v>
      </c>
    </row>
    <row r="32" spans="1:8" ht="14.25" customHeight="1" x14ac:dyDescent="0.25">
      <c r="A32" s="5">
        <v>46219</v>
      </c>
      <c r="B32" s="6" t="s">
        <v>85</v>
      </c>
      <c r="C32" s="6" t="s">
        <v>58</v>
      </c>
      <c r="D32" s="6" t="s">
        <v>29</v>
      </c>
      <c r="E32" s="6" t="s">
        <v>80</v>
      </c>
      <c r="F32" s="6" t="s">
        <v>66</v>
      </c>
      <c r="G32" s="7">
        <v>12</v>
      </c>
      <c r="H32" s="6" t="s">
        <v>62</v>
      </c>
    </row>
    <row r="33" spans="1:8" ht="14.25" customHeight="1" x14ac:dyDescent="0.25">
      <c r="A33" s="8">
        <v>46185</v>
      </c>
      <c r="B33" s="9" t="s">
        <v>86</v>
      </c>
      <c r="C33" s="9" t="s">
        <v>58</v>
      </c>
      <c r="D33" s="9" t="s">
        <v>49</v>
      </c>
      <c r="E33" s="9" t="s">
        <v>46</v>
      </c>
      <c r="F33" s="9" t="s">
        <v>78</v>
      </c>
      <c r="G33" s="10">
        <v>15</v>
      </c>
      <c r="H33" s="9" t="s">
        <v>36</v>
      </c>
    </row>
    <row r="34" spans="1:8" ht="14.25" customHeight="1" x14ac:dyDescent="0.25">
      <c r="A34" s="5">
        <v>46236</v>
      </c>
      <c r="B34" s="6" t="s">
        <v>41</v>
      </c>
      <c r="C34" s="6" t="s">
        <v>37</v>
      </c>
      <c r="D34" s="6" t="s">
        <v>29</v>
      </c>
      <c r="E34" s="6" t="s">
        <v>72</v>
      </c>
      <c r="F34" s="6" t="s">
        <v>31</v>
      </c>
      <c r="G34" s="7">
        <v>7</v>
      </c>
      <c r="H34" s="6" t="s">
        <v>62</v>
      </c>
    </row>
    <row r="35" spans="1:8" ht="14.25" customHeight="1" x14ac:dyDescent="0.25">
      <c r="A35" s="8">
        <v>46111</v>
      </c>
      <c r="B35" s="9" t="s">
        <v>79</v>
      </c>
      <c r="C35" s="9" t="s">
        <v>58</v>
      </c>
      <c r="D35" s="9" t="s">
        <v>34</v>
      </c>
      <c r="E35" s="9" t="s">
        <v>35</v>
      </c>
      <c r="F35" s="9" t="s">
        <v>61</v>
      </c>
      <c r="G35" s="10">
        <v>10</v>
      </c>
      <c r="H35" s="9" t="s">
        <v>32</v>
      </c>
    </row>
    <row r="36" spans="1:8" ht="14.25" customHeight="1" x14ac:dyDescent="0.25">
      <c r="A36" s="5">
        <v>46132</v>
      </c>
      <c r="B36" s="6" t="s">
        <v>27</v>
      </c>
      <c r="C36" s="6" t="s">
        <v>87</v>
      </c>
      <c r="D36" s="6" t="s">
        <v>38</v>
      </c>
      <c r="E36" s="6" t="s">
        <v>35</v>
      </c>
      <c r="F36" s="6" t="s">
        <v>73</v>
      </c>
      <c r="G36" s="7">
        <v>7</v>
      </c>
      <c r="H36" s="6" t="s">
        <v>32</v>
      </c>
    </row>
    <row r="37" spans="1:8" ht="14.25" customHeight="1" x14ac:dyDescent="0.25">
      <c r="A37" s="8">
        <v>46228</v>
      </c>
      <c r="B37" s="9" t="s">
        <v>41</v>
      </c>
      <c r="C37" s="9" t="s">
        <v>58</v>
      </c>
      <c r="D37" s="9" t="s">
        <v>29</v>
      </c>
      <c r="E37" s="9" t="s">
        <v>57</v>
      </c>
      <c r="F37" s="9" t="s">
        <v>43</v>
      </c>
      <c r="G37" s="10">
        <v>5</v>
      </c>
      <c r="H37" s="9" t="s">
        <v>36</v>
      </c>
    </row>
    <row r="38" spans="1:8" ht="14.25" customHeight="1" x14ac:dyDescent="0.25">
      <c r="A38" s="5">
        <v>46176</v>
      </c>
      <c r="B38" s="6" t="s">
        <v>8</v>
      </c>
      <c r="C38" s="6" t="s">
        <v>37</v>
      </c>
      <c r="D38" s="6" t="s">
        <v>29</v>
      </c>
      <c r="E38" s="6" t="s">
        <v>63</v>
      </c>
      <c r="F38" s="6" t="s">
        <v>64</v>
      </c>
      <c r="G38" s="7">
        <v>11</v>
      </c>
      <c r="H38" s="6" t="s">
        <v>32</v>
      </c>
    </row>
    <row r="39" spans="1:8" ht="14.25" customHeight="1" x14ac:dyDescent="0.25">
      <c r="A39" s="8">
        <v>46226</v>
      </c>
      <c r="B39" s="9" t="s">
        <v>88</v>
      </c>
      <c r="C39" s="9" t="s">
        <v>77</v>
      </c>
      <c r="D39" s="9" t="s">
        <v>29</v>
      </c>
      <c r="E39" s="9" t="s">
        <v>82</v>
      </c>
      <c r="F39" s="9" t="s">
        <v>78</v>
      </c>
      <c r="G39" s="10">
        <v>10</v>
      </c>
      <c r="H39" s="9" t="s">
        <v>32</v>
      </c>
    </row>
    <row r="40" spans="1:8" ht="14.25" customHeight="1" x14ac:dyDescent="0.25">
      <c r="A40" s="5">
        <v>46228</v>
      </c>
      <c r="B40" s="6" t="s">
        <v>33</v>
      </c>
      <c r="C40" s="6" t="s">
        <v>87</v>
      </c>
      <c r="D40" s="6" t="s">
        <v>38</v>
      </c>
      <c r="E40" s="6" t="s">
        <v>46</v>
      </c>
      <c r="F40" s="6" t="s">
        <v>53</v>
      </c>
      <c r="G40" s="7">
        <v>10</v>
      </c>
      <c r="H40" s="6" t="s">
        <v>62</v>
      </c>
    </row>
    <row r="41" spans="1:8" ht="14.25" customHeight="1" x14ac:dyDescent="0.25">
      <c r="A41" s="8">
        <v>46176</v>
      </c>
      <c r="B41" s="9" t="s">
        <v>60</v>
      </c>
      <c r="C41" s="9" t="s">
        <v>28</v>
      </c>
      <c r="D41" s="9" t="s">
        <v>29</v>
      </c>
      <c r="E41" s="9" t="s">
        <v>80</v>
      </c>
      <c r="F41" s="9" t="s">
        <v>66</v>
      </c>
      <c r="G41" s="10">
        <v>13</v>
      </c>
      <c r="H41" s="9" t="s">
        <v>32</v>
      </c>
    </row>
    <row r="42" spans="1:8" ht="14.25" customHeight="1" x14ac:dyDescent="0.25">
      <c r="A42" s="5">
        <v>46090</v>
      </c>
      <c r="B42" s="6" t="s">
        <v>85</v>
      </c>
      <c r="C42" s="6" t="s">
        <v>58</v>
      </c>
      <c r="D42" s="6" t="s">
        <v>49</v>
      </c>
      <c r="E42" s="6" t="s">
        <v>39</v>
      </c>
      <c r="F42" s="6" t="s">
        <v>53</v>
      </c>
      <c r="G42" s="7">
        <v>7</v>
      </c>
      <c r="H42" s="6" t="s">
        <v>54</v>
      </c>
    </row>
    <row r="43" spans="1:8" ht="14.25" customHeight="1" x14ac:dyDescent="0.25">
      <c r="A43" s="8">
        <v>46072</v>
      </c>
      <c r="B43" s="9" t="s">
        <v>8</v>
      </c>
      <c r="C43" s="9" t="s">
        <v>89</v>
      </c>
      <c r="D43" s="9" t="s">
        <v>38</v>
      </c>
      <c r="E43" s="9" t="s">
        <v>30</v>
      </c>
      <c r="F43" s="9" t="s">
        <v>40</v>
      </c>
      <c r="G43" s="10">
        <v>14</v>
      </c>
      <c r="H43" s="9" t="s">
        <v>54</v>
      </c>
    </row>
    <row r="44" spans="1:8" ht="14.25" customHeight="1" x14ac:dyDescent="0.25">
      <c r="A44" s="5">
        <v>46220</v>
      </c>
      <c r="B44" s="6" t="s">
        <v>60</v>
      </c>
      <c r="C44" s="6" t="s">
        <v>74</v>
      </c>
      <c r="D44" s="6" t="s">
        <v>38</v>
      </c>
      <c r="E44" s="6" t="s">
        <v>46</v>
      </c>
      <c r="F44" s="6" t="s">
        <v>51</v>
      </c>
      <c r="G44" s="7">
        <v>13</v>
      </c>
      <c r="H44" s="6" t="s">
        <v>62</v>
      </c>
    </row>
    <row r="45" spans="1:8" ht="14.25" customHeight="1" x14ac:dyDescent="0.25">
      <c r="A45" s="8">
        <v>46127</v>
      </c>
      <c r="B45" s="9" t="s">
        <v>6</v>
      </c>
      <c r="C45" s="9" t="s">
        <v>87</v>
      </c>
      <c r="D45" s="9" t="s">
        <v>29</v>
      </c>
      <c r="E45" s="9" t="s">
        <v>30</v>
      </c>
      <c r="F45" s="9" t="s">
        <v>73</v>
      </c>
      <c r="G45" s="10">
        <v>3</v>
      </c>
      <c r="H45" s="9" t="s">
        <v>36</v>
      </c>
    </row>
    <row r="46" spans="1:8" ht="14.25" customHeight="1" x14ac:dyDescent="0.25">
      <c r="A46" s="5">
        <v>46131</v>
      </c>
      <c r="B46" s="6" t="s">
        <v>8</v>
      </c>
      <c r="C46" s="6" t="s">
        <v>58</v>
      </c>
      <c r="D46" s="6" t="s">
        <v>38</v>
      </c>
      <c r="E46" s="6" t="s">
        <v>81</v>
      </c>
      <c r="F46" s="6" t="s">
        <v>47</v>
      </c>
      <c r="G46" s="7">
        <v>1</v>
      </c>
      <c r="H46" s="6" t="s">
        <v>32</v>
      </c>
    </row>
    <row r="47" spans="1:8" ht="14.25" customHeight="1" x14ac:dyDescent="0.25">
      <c r="A47" s="8">
        <v>46165</v>
      </c>
      <c r="B47" s="9" t="s">
        <v>79</v>
      </c>
      <c r="C47" s="9" t="s">
        <v>28</v>
      </c>
      <c r="D47" s="9" t="s">
        <v>29</v>
      </c>
      <c r="E47" s="9" t="s">
        <v>46</v>
      </c>
      <c r="F47" s="9" t="s">
        <v>66</v>
      </c>
      <c r="G47" s="10">
        <v>9</v>
      </c>
      <c r="H47" s="9" t="s">
        <v>62</v>
      </c>
    </row>
    <row r="48" spans="1:8" ht="14.25" customHeight="1" x14ac:dyDescent="0.25">
      <c r="A48" s="5">
        <v>46237</v>
      </c>
      <c r="B48" s="6" t="s">
        <v>8</v>
      </c>
      <c r="C48" s="6" t="s">
        <v>37</v>
      </c>
      <c r="D48" s="6" t="s">
        <v>38</v>
      </c>
      <c r="E48" s="6" t="s">
        <v>82</v>
      </c>
      <c r="F48" s="6" t="s">
        <v>84</v>
      </c>
      <c r="G48" s="7">
        <v>5</v>
      </c>
      <c r="H48" s="6" t="s">
        <v>62</v>
      </c>
    </row>
    <row r="49" spans="1:8" ht="14.25" customHeight="1" x14ac:dyDescent="0.25">
      <c r="A49" s="8">
        <v>46086</v>
      </c>
      <c r="B49" s="9" t="s">
        <v>60</v>
      </c>
      <c r="C49" s="9" t="s">
        <v>77</v>
      </c>
      <c r="D49" s="9" t="s">
        <v>34</v>
      </c>
      <c r="E49" s="9" t="s">
        <v>50</v>
      </c>
      <c r="F49" s="9" t="s">
        <v>53</v>
      </c>
      <c r="G49" s="10">
        <v>11</v>
      </c>
      <c r="H49" s="9" t="s">
        <v>62</v>
      </c>
    </row>
    <row r="50" spans="1:8" ht="14.25" customHeight="1" x14ac:dyDescent="0.25">
      <c r="A50" s="5">
        <v>46110</v>
      </c>
      <c r="B50" s="6" t="s">
        <v>90</v>
      </c>
      <c r="C50" s="6" t="s">
        <v>58</v>
      </c>
      <c r="D50" s="6" t="s">
        <v>34</v>
      </c>
      <c r="E50" s="6" t="s">
        <v>82</v>
      </c>
      <c r="F50" s="6" t="s">
        <v>53</v>
      </c>
      <c r="G50" s="7">
        <v>6</v>
      </c>
      <c r="H50" s="6" t="s">
        <v>36</v>
      </c>
    </row>
    <row r="51" spans="1:8" ht="14.25" customHeight="1" x14ac:dyDescent="0.25">
      <c r="A51" s="8">
        <v>46200</v>
      </c>
      <c r="B51" s="9" t="s">
        <v>44</v>
      </c>
      <c r="C51" s="9" t="s">
        <v>42</v>
      </c>
      <c r="D51" s="9" t="s">
        <v>49</v>
      </c>
      <c r="E51" s="9" t="s">
        <v>82</v>
      </c>
      <c r="F51" s="9" t="s">
        <v>91</v>
      </c>
      <c r="G51" s="10">
        <v>1</v>
      </c>
      <c r="H51" s="9" t="s">
        <v>62</v>
      </c>
    </row>
    <row r="52" spans="1:8" ht="14.25" customHeight="1" x14ac:dyDescent="0.25">
      <c r="A52" s="5">
        <v>46240</v>
      </c>
      <c r="B52" s="6" t="s">
        <v>86</v>
      </c>
      <c r="C52" s="6" t="s">
        <v>71</v>
      </c>
      <c r="D52" s="6" t="s">
        <v>29</v>
      </c>
      <c r="E52" s="6" t="s">
        <v>39</v>
      </c>
      <c r="F52" s="6" t="s">
        <v>84</v>
      </c>
      <c r="G52" s="7">
        <v>4</v>
      </c>
      <c r="H52" s="6" t="s">
        <v>32</v>
      </c>
    </row>
    <row r="53" spans="1:8" ht="14.25" customHeight="1" x14ac:dyDescent="0.25">
      <c r="A53" s="8">
        <v>46051</v>
      </c>
      <c r="B53" s="9" t="s">
        <v>67</v>
      </c>
      <c r="C53" s="9" t="s">
        <v>42</v>
      </c>
      <c r="D53" s="9" t="s">
        <v>34</v>
      </c>
      <c r="E53" s="9" t="s">
        <v>39</v>
      </c>
      <c r="F53" s="9" t="s">
        <v>64</v>
      </c>
      <c r="G53" s="10">
        <v>5</v>
      </c>
      <c r="H53" s="9" t="s">
        <v>54</v>
      </c>
    </row>
    <row r="54" spans="1:8" ht="14.25" customHeight="1" x14ac:dyDescent="0.25">
      <c r="A54" s="5">
        <v>46086</v>
      </c>
      <c r="B54" s="6" t="s">
        <v>27</v>
      </c>
      <c r="C54" s="6" t="s">
        <v>28</v>
      </c>
      <c r="D54" s="6" t="s">
        <v>34</v>
      </c>
      <c r="E54" s="6" t="s">
        <v>82</v>
      </c>
      <c r="F54" s="6" t="s">
        <v>31</v>
      </c>
      <c r="G54" s="7">
        <v>4</v>
      </c>
      <c r="H54" s="6" t="s">
        <v>36</v>
      </c>
    </row>
    <row r="55" spans="1:8" ht="14.25" customHeight="1" x14ac:dyDescent="0.25">
      <c r="A55" s="8">
        <v>46069</v>
      </c>
      <c r="B55" s="9" t="s">
        <v>85</v>
      </c>
      <c r="C55" s="9" t="s">
        <v>58</v>
      </c>
      <c r="D55" s="9" t="s">
        <v>34</v>
      </c>
      <c r="E55" s="9" t="s">
        <v>72</v>
      </c>
      <c r="F55" s="9" t="s">
        <v>40</v>
      </c>
      <c r="G55" s="10">
        <v>1</v>
      </c>
      <c r="H55" s="9" t="s">
        <v>62</v>
      </c>
    </row>
    <row r="56" spans="1:8" ht="14.25" customHeight="1" x14ac:dyDescent="0.25">
      <c r="A56" s="5">
        <v>46109</v>
      </c>
      <c r="B56" s="6" t="s">
        <v>9</v>
      </c>
      <c r="C56" s="6" t="s">
        <v>58</v>
      </c>
      <c r="D56" s="6" t="s">
        <v>29</v>
      </c>
      <c r="E56" s="6" t="s">
        <v>35</v>
      </c>
      <c r="F56" s="6" t="s">
        <v>78</v>
      </c>
      <c r="G56" s="7">
        <v>4</v>
      </c>
      <c r="H56" s="6" t="s">
        <v>32</v>
      </c>
    </row>
    <row r="57" spans="1:8" ht="14.25" customHeight="1" x14ac:dyDescent="0.25">
      <c r="A57" s="8">
        <v>46114</v>
      </c>
      <c r="B57" s="9" t="s">
        <v>5</v>
      </c>
      <c r="C57" s="9" t="s">
        <v>77</v>
      </c>
      <c r="D57" s="9" t="s">
        <v>34</v>
      </c>
      <c r="E57" s="9" t="s">
        <v>46</v>
      </c>
      <c r="F57" s="9" t="s">
        <v>43</v>
      </c>
      <c r="G57" s="10">
        <v>5</v>
      </c>
      <c r="H57" s="9" t="s">
        <v>36</v>
      </c>
    </row>
    <row r="58" spans="1:8" ht="14.25" customHeight="1" x14ac:dyDescent="0.25">
      <c r="A58" s="5">
        <v>46175</v>
      </c>
      <c r="B58" s="6" t="s">
        <v>92</v>
      </c>
      <c r="C58" s="6" t="s">
        <v>74</v>
      </c>
      <c r="D58" s="6" t="s">
        <v>34</v>
      </c>
      <c r="E58" s="6" t="s">
        <v>80</v>
      </c>
      <c r="F58" s="6" t="s">
        <v>61</v>
      </c>
      <c r="G58" s="7">
        <v>2</v>
      </c>
      <c r="H58" s="6" t="s">
        <v>54</v>
      </c>
    </row>
    <row r="59" spans="1:8" ht="14.25" customHeight="1" x14ac:dyDescent="0.25">
      <c r="A59" s="8">
        <v>46045</v>
      </c>
      <c r="B59" s="9" t="s">
        <v>68</v>
      </c>
      <c r="C59" s="9" t="s">
        <v>58</v>
      </c>
      <c r="D59" s="9" t="s">
        <v>29</v>
      </c>
      <c r="E59" s="9" t="s">
        <v>50</v>
      </c>
      <c r="F59" s="9" t="s">
        <v>40</v>
      </c>
      <c r="G59" s="10">
        <v>1</v>
      </c>
      <c r="H59" s="9" t="s">
        <v>32</v>
      </c>
    </row>
    <row r="60" spans="1:8" ht="14.25" customHeight="1" x14ac:dyDescent="0.25">
      <c r="A60" s="5">
        <v>46230</v>
      </c>
      <c r="B60" s="6" t="s">
        <v>79</v>
      </c>
      <c r="C60" s="6" t="s">
        <v>71</v>
      </c>
      <c r="D60" s="6" t="s">
        <v>38</v>
      </c>
      <c r="E60" s="6" t="s">
        <v>30</v>
      </c>
      <c r="F60" s="6" t="s">
        <v>31</v>
      </c>
      <c r="G60" s="7">
        <v>15</v>
      </c>
      <c r="H60" s="6" t="s">
        <v>32</v>
      </c>
    </row>
    <row r="61" spans="1:8" ht="14.25" customHeight="1" x14ac:dyDescent="0.25">
      <c r="A61" s="8">
        <v>46196</v>
      </c>
      <c r="B61" s="9" t="s">
        <v>41</v>
      </c>
      <c r="C61" s="9" t="s">
        <v>58</v>
      </c>
      <c r="D61" s="9" t="s">
        <v>38</v>
      </c>
      <c r="E61" s="9" t="s">
        <v>80</v>
      </c>
      <c r="F61" s="9" t="s">
        <v>47</v>
      </c>
      <c r="G61" s="10">
        <v>11</v>
      </c>
      <c r="H61" s="9" t="s">
        <v>62</v>
      </c>
    </row>
    <row r="62" spans="1:8" ht="14.25" customHeight="1" x14ac:dyDescent="0.25">
      <c r="A62" s="5">
        <v>46121</v>
      </c>
      <c r="B62" s="6" t="s">
        <v>10</v>
      </c>
      <c r="C62" s="6" t="s">
        <v>93</v>
      </c>
      <c r="D62" s="6" t="s">
        <v>29</v>
      </c>
      <c r="E62" s="6" t="s">
        <v>63</v>
      </c>
      <c r="F62" s="6" t="s">
        <v>51</v>
      </c>
      <c r="G62" s="7">
        <v>10</v>
      </c>
      <c r="H62" s="6" t="s">
        <v>36</v>
      </c>
    </row>
    <row r="63" spans="1:8" ht="14.25" customHeight="1" x14ac:dyDescent="0.25">
      <c r="A63" s="8">
        <v>46194</v>
      </c>
      <c r="B63" s="9" t="s">
        <v>52</v>
      </c>
      <c r="C63" s="9" t="s">
        <v>37</v>
      </c>
      <c r="D63" s="9" t="s">
        <v>56</v>
      </c>
      <c r="E63" s="9" t="s">
        <v>80</v>
      </c>
      <c r="F63" s="9" t="s">
        <v>43</v>
      </c>
      <c r="G63" s="10">
        <v>9</v>
      </c>
      <c r="H63" s="9" t="s">
        <v>36</v>
      </c>
    </row>
    <row r="64" spans="1:8" ht="14.25" customHeight="1" x14ac:dyDescent="0.25">
      <c r="A64" s="5">
        <v>46081</v>
      </c>
      <c r="B64" s="6" t="s">
        <v>6</v>
      </c>
      <c r="C64" s="6" t="s">
        <v>58</v>
      </c>
      <c r="D64" s="6" t="s">
        <v>49</v>
      </c>
      <c r="E64" s="6" t="s">
        <v>35</v>
      </c>
      <c r="F64" s="6" t="s">
        <v>31</v>
      </c>
      <c r="G64" s="7">
        <v>1</v>
      </c>
      <c r="H64" s="6" t="s">
        <v>32</v>
      </c>
    </row>
    <row r="65" spans="1:8" ht="14.25" customHeight="1" x14ac:dyDescent="0.25">
      <c r="A65" s="8">
        <v>46197</v>
      </c>
      <c r="B65" s="9" t="s">
        <v>60</v>
      </c>
      <c r="C65" s="9" t="s">
        <v>28</v>
      </c>
      <c r="D65" s="9" t="s">
        <v>38</v>
      </c>
      <c r="E65" s="9" t="s">
        <v>69</v>
      </c>
      <c r="F65" s="9" t="s">
        <v>61</v>
      </c>
      <c r="G65" s="10">
        <v>8</v>
      </c>
      <c r="H65" s="9" t="s">
        <v>32</v>
      </c>
    </row>
    <row r="66" spans="1:8" ht="14.25" customHeight="1" x14ac:dyDescent="0.25">
      <c r="A66" s="5">
        <v>46112</v>
      </c>
      <c r="B66" s="6" t="s">
        <v>67</v>
      </c>
      <c r="C66" s="6" t="s">
        <v>77</v>
      </c>
      <c r="D66" s="6" t="s">
        <v>38</v>
      </c>
      <c r="E66" s="6" t="s">
        <v>80</v>
      </c>
      <c r="F66" s="6" t="s">
        <v>66</v>
      </c>
      <c r="G66" s="7">
        <v>5</v>
      </c>
      <c r="H66" s="6" t="s">
        <v>32</v>
      </c>
    </row>
    <row r="67" spans="1:8" ht="14.25" customHeight="1" x14ac:dyDescent="0.25">
      <c r="A67" s="8">
        <v>46124</v>
      </c>
      <c r="B67" s="9" t="s">
        <v>70</v>
      </c>
      <c r="C67" s="9" t="s">
        <v>71</v>
      </c>
      <c r="D67" s="9" t="s">
        <v>34</v>
      </c>
      <c r="E67" s="9" t="s">
        <v>94</v>
      </c>
      <c r="F67" s="9" t="s">
        <v>40</v>
      </c>
      <c r="G67" s="10">
        <v>14</v>
      </c>
      <c r="H67" s="9" t="s">
        <v>36</v>
      </c>
    </row>
    <row r="68" spans="1:8" ht="14.25" customHeight="1" x14ac:dyDescent="0.25">
      <c r="A68" s="5">
        <v>46161</v>
      </c>
      <c r="B68" s="6" t="s">
        <v>83</v>
      </c>
      <c r="C68" s="6" t="s">
        <v>74</v>
      </c>
      <c r="D68" s="6" t="s">
        <v>56</v>
      </c>
      <c r="E68" s="6" t="s">
        <v>39</v>
      </c>
      <c r="F68" s="6" t="s">
        <v>47</v>
      </c>
      <c r="G68" s="7">
        <v>14</v>
      </c>
      <c r="H68" s="6" t="s">
        <v>62</v>
      </c>
    </row>
    <row r="69" spans="1:8" ht="14.25" customHeight="1" x14ac:dyDescent="0.25">
      <c r="A69" s="8">
        <v>46028</v>
      </c>
      <c r="B69" s="9" t="s">
        <v>79</v>
      </c>
      <c r="C69" s="9" t="s">
        <v>37</v>
      </c>
      <c r="D69" s="9" t="s">
        <v>34</v>
      </c>
      <c r="E69" s="9" t="s">
        <v>39</v>
      </c>
      <c r="F69" s="9" t="s">
        <v>78</v>
      </c>
      <c r="G69" s="10">
        <v>8</v>
      </c>
      <c r="H69" s="9" t="s">
        <v>62</v>
      </c>
    </row>
    <row r="70" spans="1:8" ht="14.25" customHeight="1" x14ac:dyDescent="0.25">
      <c r="A70" s="5">
        <v>46179</v>
      </c>
      <c r="B70" s="6" t="s">
        <v>6</v>
      </c>
      <c r="C70" s="6" t="s">
        <v>37</v>
      </c>
      <c r="D70" s="6" t="s">
        <v>34</v>
      </c>
      <c r="E70" s="6" t="s">
        <v>46</v>
      </c>
      <c r="F70" s="6" t="s">
        <v>73</v>
      </c>
      <c r="G70" s="7">
        <v>7</v>
      </c>
      <c r="H70" s="6" t="s">
        <v>32</v>
      </c>
    </row>
    <row r="71" spans="1:8" ht="14.25" customHeight="1" x14ac:dyDescent="0.25">
      <c r="A71" s="8">
        <v>46182</v>
      </c>
      <c r="B71" s="9" t="s">
        <v>85</v>
      </c>
      <c r="C71" s="9" t="s">
        <v>89</v>
      </c>
      <c r="D71" s="9" t="s">
        <v>38</v>
      </c>
      <c r="E71" s="9" t="s">
        <v>39</v>
      </c>
      <c r="F71" s="9" t="s">
        <v>73</v>
      </c>
      <c r="G71" s="10">
        <v>7</v>
      </c>
      <c r="H71" s="9" t="s">
        <v>62</v>
      </c>
    </row>
    <row r="72" spans="1:8" ht="14.25" customHeight="1" x14ac:dyDescent="0.25">
      <c r="A72" s="5">
        <v>46085</v>
      </c>
      <c r="B72" s="6" t="s">
        <v>27</v>
      </c>
      <c r="C72" s="6" t="s">
        <v>28</v>
      </c>
      <c r="D72" s="6" t="s">
        <v>38</v>
      </c>
      <c r="E72" s="6" t="s">
        <v>57</v>
      </c>
      <c r="F72" s="6" t="s">
        <v>51</v>
      </c>
      <c r="G72" s="7">
        <v>8</v>
      </c>
      <c r="H72" s="6" t="s">
        <v>54</v>
      </c>
    </row>
    <row r="73" spans="1:8" ht="14.25" customHeight="1" x14ac:dyDescent="0.25">
      <c r="A73" s="8">
        <v>46213</v>
      </c>
      <c r="B73" s="9" t="s">
        <v>70</v>
      </c>
      <c r="C73" s="9" t="s">
        <v>71</v>
      </c>
      <c r="D73" s="9" t="s">
        <v>38</v>
      </c>
      <c r="E73" s="9" t="s">
        <v>63</v>
      </c>
      <c r="F73" s="9" t="s">
        <v>47</v>
      </c>
      <c r="G73" s="10">
        <v>9</v>
      </c>
      <c r="H73" s="9" t="s">
        <v>62</v>
      </c>
    </row>
    <row r="74" spans="1:8" ht="14.25" customHeight="1" x14ac:dyDescent="0.25">
      <c r="A74" s="5">
        <v>46089</v>
      </c>
      <c r="B74" s="6" t="s">
        <v>41</v>
      </c>
      <c r="C74" s="6" t="s">
        <v>37</v>
      </c>
      <c r="D74" s="6" t="s">
        <v>56</v>
      </c>
      <c r="E74" s="6" t="s">
        <v>72</v>
      </c>
      <c r="F74" s="6" t="s">
        <v>47</v>
      </c>
      <c r="G74" s="7">
        <v>5</v>
      </c>
      <c r="H74" s="6" t="s">
        <v>36</v>
      </c>
    </row>
    <row r="75" spans="1:8" ht="14.25" customHeight="1" x14ac:dyDescent="0.25">
      <c r="A75" s="8">
        <v>46174</v>
      </c>
      <c r="B75" s="9" t="s">
        <v>41</v>
      </c>
      <c r="C75" s="9" t="s">
        <v>58</v>
      </c>
      <c r="D75" s="9" t="s">
        <v>49</v>
      </c>
      <c r="E75" s="9" t="s">
        <v>80</v>
      </c>
      <c r="F75" s="9" t="s">
        <v>73</v>
      </c>
      <c r="G75" s="10">
        <v>9</v>
      </c>
      <c r="H75" s="9" t="s">
        <v>54</v>
      </c>
    </row>
    <row r="76" spans="1:8" ht="14.25" customHeight="1" x14ac:dyDescent="0.25">
      <c r="A76" s="5">
        <v>46077</v>
      </c>
      <c r="B76" s="6" t="s">
        <v>10</v>
      </c>
      <c r="C76" s="6" t="s">
        <v>45</v>
      </c>
      <c r="D76" s="6" t="s">
        <v>56</v>
      </c>
      <c r="E76" s="6" t="s">
        <v>46</v>
      </c>
      <c r="F76" s="6" t="s">
        <v>66</v>
      </c>
      <c r="G76" s="7">
        <v>7</v>
      </c>
      <c r="H76" s="6" t="s">
        <v>36</v>
      </c>
    </row>
    <row r="77" spans="1:8" ht="14.25" customHeight="1" x14ac:dyDescent="0.25">
      <c r="A77" s="8">
        <v>46148</v>
      </c>
      <c r="B77" s="9" t="s">
        <v>10</v>
      </c>
      <c r="C77" s="9" t="s">
        <v>58</v>
      </c>
      <c r="D77" s="9" t="s">
        <v>38</v>
      </c>
      <c r="E77" s="9" t="s">
        <v>39</v>
      </c>
      <c r="F77" s="9" t="s">
        <v>31</v>
      </c>
      <c r="G77" s="10">
        <v>13</v>
      </c>
      <c r="H77" s="9" t="s">
        <v>54</v>
      </c>
    </row>
    <row r="78" spans="1:8" ht="14.25" customHeight="1" x14ac:dyDescent="0.25">
      <c r="A78" s="5">
        <v>46058</v>
      </c>
      <c r="B78" s="6" t="s">
        <v>90</v>
      </c>
      <c r="C78" s="6" t="s">
        <v>58</v>
      </c>
      <c r="D78" s="6" t="s">
        <v>49</v>
      </c>
      <c r="E78" s="6" t="s">
        <v>69</v>
      </c>
      <c r="F78" s="6" t="s">
        <v>51</v>
      </c>
      <c r="G78" s="7">
        <v>8</v>
      </c>
      <c r="H78" s="6" t="s">
        <v>36</v>
      </c>
    </row>
    <row r="79" spans="1:8" ht="14.25" customHeight="1" x14ac:dyDescent="0.25">
      <c r="A79" s="8">
        <v>46084</v>
      </c>
      <c r="B79" s="9" t="s">
        <v>76</v>
      </c>
      <c r="C79" s="9" t="s">
        <v>45</v>
      </c>
      <c r="D79" s="9" t="s">
        <v>56</v>
      </c>
      <c r="E79" s="9" t="s">
        <v>57</v>
      </c>
      <c r="F79" s="9" t="s">
        <v>73</v>
      </c>
      <c r="G79" s="10">
        <v>11</v>
      </c>
      <c r="H79" s="9" t="s">
        <v>62</v>
      </c>
    </row>
    <row r="80" spans="1:8" ht="14.25" customHeight="1" x14ac:dyDescent="0.25">
      <c r="A80" s="5">
        <v>46133</v>
      </c>
      <c r="B80" s="6" t="s">
        <v>79</v>
      </c>
      <c r="C80" s="6" t="s">
        <v>28</v>
      </c>
      <c r="D80" s="6" t="s">
        <v>38</v>
      </c>
      <c r="E80" s="6" t="s">
        <v>46</v>
      </c>
      <c r="F80" s="6" t="s">
        <v>59</v>
      </c>
      <c r="G80" s="7">
        <v>11</v>
      </c>
      <c r="H80" s="6" t="s">
        <v>36</v>
      </c>
    </row>
    <row r="81" spans="1:8" ht="14.25" customHeight="1" x14ac:dyDescent="0.25">
      <c r="A81" s="8">
        <v>46219</v>
      </c>
      <c r="B81" s="9" t="s">
        <v>15</v>
      </c>
      <c r="C81" s="9" t="s">
        <v>58</v>
      </c>
      <c r="D81" s="9" t="s">
        <v>34</v>
      </c>
      <c r="E81" s="9" t="s">
        <v>94</v>
      </c>
      <c r="F81" s="9" t="s">
        <v>91</v>
      </c>
      <c r="G81" s="10">
        <v>15</v>
      </c>
      <c r="H81" s="9" t="s">
        <v>36</v>
      </c>
    </row>
    <row r="82" spans="1:8" ht="14.25" customHeight="1" x14ac:dyDescent="0.25">
      <c r="A82" s="5">
        <v>46090</v>
      </c>
      <c r="B82" s="6" t="s">
        <v>9</v>
      </c>
      <c r="C82" s="6" t="s">
        <v>45</v>
      </c>
      <c r="D82" s="6" t="s">
        <v>56</v>
      </c>
      <c r="E82" s="6" t="s">
        <v>72</v>
      </c>
      <c r="F82" s="6" t="s">
        <v>78</v>
      </c>
      <c r="G82" s="7">
        <v>10</v>
      </c>
      <c r="H82" s="6" t="s">
        <v>32</v>
      </c>
    </row>
    <row r="83" spans="1:8" ht="14.25" customHeight="1" x14ac:dyDescent="0.25">
      <c r="A83" s="8">
        <v>46117</v>
      </c>
      <c r="B83" s="9" t="s">
        <v>41</v>
      </c>
      <c r="C83" s="9" t="s">
        <v>48</v>
      </c>
      <c r="D83" s="9" t="s">
        <v>56</v>
      </c>
      <c r="E83" s="9" t="s">
        <v>69</v>
      </c>
      <c r="F83" s="9" t="s">
        <v>61</v>
      </c>
      <c r="G83" s="10">
        <v>4</v>
      </c>
      <c r="H83" s="9" t="s">
        <v>32</v>
      </c>
    </row>
    <row r="84" spans="1:8" ht="14.25" customHeight="1" x14ac:dyDescent="0.25">
      <c r="A84" s="5">
        <v>46097</v>
      </c>
      <c r="B84" s="6" t="s">
        <v>44</v>
      </c>
      <c r="C84" s="6" t="s">
        <v>71</v>
      </c>
      <c r="D84" s="6" t="s">
        <v>38</v>
      </c>
      <c r="E84" s="6" t="s">
        <v>80</v>
      </c>
      <c r="F84" s="6" t="s">
        <v>64</v>
      </c>
      <c r="G84" s="7">
        <v>7</v>
      </c>
      <c r="H84" s="6" t="s">
        <v>62</v>
      </c>
    </row>
    <row r="85" spans="1:8" ht="14.25" customHeight="1" x14ac:dyDescent="0.25">
      <c r="A85" s="8">
        <v>46041</v>
      </c>
      <c r="B85" s="9" t="s">
        <v>7</v>
      </c>
      <c r="C85" s="9" t="s">
        <v>42</v>
      </c>
      <c r="D85" s="9" t="s">
        <v>49</v>
      </c>
      <c r="E85" s="9" t="s">
        <v>81</v>
      </c>
      <c r="F85" s="9" t="s">
        <v>84</v>
      </c>
      <c r="G85" s="10">
        <v>7</v>
      </c>
      <c r="H85" s="9" t="s">
        <v>54</v>
      </c>
    </row>
    <row r="86" spans="1:8" ht="14.25" customHeight="1" x14ac:dyDescent="0.25">
      <c r="A86" s="5">
        <v>46187</v>
      </c>
      <c r="B86" s="6" t="s">
        <v>8</v>
      </c>
      <c r="C86" s="6" t="s">
        <v>28</v>
      </c>
      <c r="D86" s="6" t="s">
        <v>38</v>
      </c>
      <c r="E86" s="6" t="s">
        <v>69</v>
      </c>
      <c r="F86" s="6" t="s">
        <v>40</v>
      </c>
      <c r="G86" s="7">
        <v>13</v>
      </c>
      <c r="H86" s="6" t="s">
        <v>62</v>
      </c>
    </row>
    <row r="87" spans="1:8" ht="14.25" customHeight="1" x14ac:dyDescent="0.25">
      <c r="A87" s="8">
        <v>46144</v>
      </c>
      <c r="B87" s="9" t="s">
        <v>6</v>
      </c>
      <c r="C87" s="9" t="s">
        <v>42</v>
      </c>
      <c r="D87" s="9" t="s">
        <v>38</v>
      </c>
      <c r="E87" s="9" t="s">
        <v>57</v>
      </c>
      <c r="F87" s="9" t="s">
        <v>84</v>
      </c>
      <c r="G87" s="10">
        <v>12</v>
      </c>
      <c r="H87" s="9" t="s">
        <v>32</v>
      </c>
    </row>
    <row r="88" spans="1:8" ht="14.25" customHeight="1" x14ac:dyDescent="0.25">
      <c r="A88" s="5">
        <v>46057</v>
      </c>
      <c r="B88" s="6" t="s">
        <v>44</v>
      </c>
      <c r="C88" s="6" t="s">
        <v>45</v>
      </c>
      <c r="D88" s="6" t="s">
        <v>29</v>
      </c>
      <c r="E88" s="6" t="s">
        <v>94</v>
      </c>
      <c r="F88" s="6" t="s">
        <v>31</v>
      </c>
      <c r="G88" s="7">
        <v>14</v>
      </c>
      <c r="H88" s="6" t="s">
        <v>54</v>
      </c>
    </row>
    <row r="89" spans="1:8" ht="14.25" customHeight="1" x14ac:dyDescent="0.25">
      <c r="A89" s="8">
        <v>46067</v>
      </c>
      <c r="B89" s="9" t="s">
        <v>67</v>
      </c>
      <c r="C89" s="9" t="s">
        <v>28</v>
      </c>
      <c r="D89" s="9" t="s">
        <v>56</v>
      </c>
      <c r="E89" s="9" t="s">
        <v>39</v>
      </c>
      <c r="F89" s="9" t="s">
        <v>84</v>
      </c>
      <c r="G89" s="10">
        <v>8</v>
      </c>
      <c r="H89" s="9" t="s">
        <v>54</v>
      </c>
    </row>
    <row r="90" spans="1:8" ht="14.25" customHeight="1" x14ac:dyDescent="0.25">
      <c r="A90" s="5">
        <v>46099</v>
      </c>
      <c r="B90" s="6" t="s">
        <v>41</v>
      </c>
      <c r="C90" s="6" t="s">
        <v>58</v>
      </c>
      <c r="D90" s="6" t="s">
        <v>38</v>
      </c>
      <c r="E90" s="6" t="s">
        <v>46</v>
      </c>
      <c r="F90" s="6" t="s">
        <v>61</v>
      </c>
      <c r="G90" s="7">
        <v>3</v>
      </c>
      <c r="H90" s="6" t="s">
        <v>32</v>
      </c>
    </row>
    <row r="91" spans="1:8" ht="14.25" customHeight="1" x14ac:dyDescent="0.25">
      <c r="A91" s="8">
        <v>46090</v>
      </c>
      <c r="B91" s="9" t="s">
        <v>7</v>
      </c>
      <c r="C91" s="9" t="s">
        <v>42</v>
      </c>
      <c r="D91" s="9" t="s">
        <v>34</v>
      </c>
      <c r="E91" s="9" t="s">
        <v>75</v>
      </c>
      <c r="F91" s="9" t="s">
        <v>51</v>
      </c>
      <c r="G91" s="10">
        <v>8</v>
      </c>
      <c r="H91" s="9" t="s">
        <v>36</v>
      </c>
    </row>
    <row r="92" spans="1:8" ht="14.25" customHeight="1" x14ac:dyDescent="0.25">
      <c r="A92" s="5">
        <v>46111</v>
      </c>
      <c r="B92" s="6" t="s">
        <v>15</v>
      </c>
      <c r="C92" s="6" t="s">
        <v>48</v>
      </c>
      <c r="D92" s="6" t="s">
        <v>38</v>
      </c>
      <c r="E92" s="6" t="s">
        <v>82</v>
      </c>
      <c r="F92" s="6" t="s">
        <v>51</v>
      </c>
      <c r="G92" s="7">
        <v>14</v>
      </c>
      <c r="H92" s="6" t="s">
        <v>32</v>
      </c>
    </row>
    <row r="93" spans="1:8" ht="14.25" customHeight="1" x14ac:dyDescent="0.25">
      <c r="A93" s="8">
        <v>46204</v>
      </c>
      <c r="B93" s="9" t="s">
        <v>79</v>
      </c>
      <c r="C93" s="9" t="s">
        <v>58</v>
      </c>
      <c r="D93" s="9" t="s">
        <v>38</v>
      </c>
      <c r="E93" s="9" t="s">
        <v>80</v>
      </c>
      <c r="F93" s="9" t="s">
        <v>40</v>
      </c>
      <c r="G93" s="10">
        <v>7</v>
      </c>
      <c r="H93" s="9" t="s">
        <v>62</v>
      </c>
    </row>
    <row r="94" spans="1:8" ht="14.25" customHeight="1" x14ac:dyDescent="0.25">
      <c r="A94" s="5">
        <v>46246</v>
      </c>
      <c r="B94" s="6" t="s">
        <v>90</v>
      </c>
      <c r="C94" s="6" t="s">
        <v>93</v>
      </c>
      <c r="D94" s="6" t="s">
        <v>56</v>
      </c>
      <c r="E94" s="6" t="s">
        <v>46</v>
      </c>
      <c r="F94" s="6" t="s">
        <v>47</v>
      </c>
      <c r="G94" s="7">
        <v>5</v>
      </c>
      <c r="H94" s="6" t="s">
        <v>54</v>
      </c>
    </row>
    <row r="95" spans="1:8" ht="14.25" customHeight="1" x14ac:dyDescent="0.25">
      <c r="A95" s="8">
        <v>46033</v>
      </c>
      <c r="B95" s="9" t="s">
        <v>10</v>
      </c>
      <c r="C95" s="9" t="s">
        <v>28</v>
      </c>
      <c r="D95" s="9" t="s">
        <v>38</v>
      </c>
      <c r="E95" s="9" t="s">
        <v>80</v>
      </c>
      <c r="F95" s="9" t="s">
        <v>40</v>
      </c>
      <c r="G95" s="10">
        <v>14</v>
      </c>
      <c r="H95" s="9" t="s">
        <v>54</v>
      </c>
    </row>
    <row r="96" spans="1:8" ht="14.25" customHeight="1" x14ac:dyDescent="0.25">
      <c r="A96" s="5">
        <v>46203</v>
      </c>
      <c r="B96" s="6" t="s">
        <v>88</v>
      </c>
      <c r="C96" s="6" t="s">
        <v>87</v>
      </c>
      <c r="D96" s="6" t="s">
        <v>29</v>
      </c>
      <c r="E96" s="6" t="s">
        <v>63</v>
      </c>
      <c r="F96" s="6" t="s">
        <v>53</v>
      </c>
      <c r="G96" s="7">
        <v>6</v>
      </c>
      <c r="H96" s="6" t="s">
        <v>54</v>
      </c>
    </row>
    <row r="97" spans="1:8" ht="14.25" customHeight="1" x14ac:dyDescent="0.25">
      <c r="A97" s="8">
        <v>46044</v>
      </c>
      <c r="B97" s="9" t="s">
        <v>15</v>
      </c>
      <c r="C97" s="9" t="s">
        <v>77</v>
      </c>
      <c r="D97" s="9" t="s">
        <v>29</v>
      </c>
      <c r="E97" s="9" t="s">
        <v>35</v>
      </c>
      <c r="F97" s="9" t="s">
        <v>40</v>
      </c>
      <c r="G97" s="10">
        <v>7</v>
      </c>
      <c r="H97" s="9" t="s">
        <v>36</v>
      </c>
    </row>
    <row r="98" spans="1:8" ht="14.25" customHeight="1" x14ac:dyDescent="0.25">
      <c r="A98" s="5">
        <v>46223</v>
      </c>
      <c r="B98" s="6" t="s">
        <v>6</v>
      </c>
      <c r="C98" s="6" t="s">
        <v>58</v>
      </c>
      <c r="D98" s="6" t="s">
        <v>38</v>
      </c>
      <c r="E98" s="6" t="s">
        <v>63</v>
      </c>
      <c r="F98" s="6" t="s">
        <v>43</v>
      </c>
      <c r="G98" s="7">
        <v>9</v>
      </c>
      <c r="H98" s="6" t="s">
        <v>32</v>
      </c>
    </row>
    <row r="99" spans="1:8" ht="14.25" customHeight="1" x14ac:dyDescent="0.25">
      <c r="A99" s="8">
        <v>46118</v>
      </c>
      <c r="B99" s="9" t="s">
        <v>27</v>
      </c>
      <c r="C99" s="9" t="s">
        <v>37</v>
      </c>
      <c r="D99" s="9" t="s">
        <v>49</v>
      </c>
      <c r="E99" s="9" t="s">
        <v>75</v>
      </c>
      <c r="F99" s="9" t="s">
        <v>51</v>
      </c>
      <c r="G99" s="10">
        <v>10</v>
      </c>
      <c r="H99" s="9" t="s">
        <v>36</v>
      </c>
    </row>
    <row r="100" spans="1:8" ht="14.25" customHeight="1" x14ac:dyDescent="0.25">
      <c r="A100" s="5">
        <v>46034</v>
      </c>
      <c r="B100" s="6" t="s">
        <v>85</v>
      </c>
      <c r="C100" s="6" t="s">
        <v>71</v>
      </c>
      <c r="D100" s="6" t="s">
        <v>29</v>
      </c>
      <c r="E100" s="6" t="s">
        <v>35</v>
      </c>
      <c r="F100" s="6" t="s">
        <v>78</v>
      </c>
      <c r="G100" s="7">
        <v>6</v>
      </c>
      <c r="H100" s="6" t="s">
        <v>36</v>
      </c>
    </row>
    <row r="101" spans="1:8" ht="14.25" customHeight="1" x14ac:dyDescent="0.25">
      <c r="A101" s="8">
        <v>46197</v>
      </c>
      <c r="B101" s="9" t="s">
        <v>10</v>
      </c>
      <c r="C101" s="9" t="s">
        <v>89</v>
      </c>
      <c r="D101" s="9" t="s">
        <v>56</v>
      </c>
      <c r="E101" s="9" t="s">
        <v>39</v>
      </c>
      <c r="F101" s="9" t="s">
        <v>47</v>
      </c>
      <c r="G101" s="10">
        <v>12</v>
      </c>
      <c r="H101" s="9" t="s">
        <v>36</v>
      </c>
    </row>
    <row r="102" spans="1:8" ht="14.25" customHeight="1" x14ac:dyDescent="0.25">
      <c r="A102" s="5">
        <v>46101</v>
      </c>
      <c r="B102" s="6" t="s">
        <v>41</v>
      </c>
      <c r="C102" s="6" t="s">
        <v>45</v>
      </c>
      <c r="D102" s="6" t="s">
        <v>56</v>
      </c>
      <c r="E102" s="6" t="s">
        <v>69</v>
      </c>
      <c r="F102" s="6" t="s">
        <v>64</v>
      </c>
      <c r="G102" s="7">
        <v>4</v>
      </c>
      <c r="H102" s="6" t="s">
        <v>32</v>
      </c>
    </row>
    <row r="103" spans="1:8" ht="14.25" customHeight="1" x14ac:dyDescent="0.25">
      <c r="A103" s="8">
        <v>46216</v>
      </c>
      <c r="B103" s="9" t="s">
        <v>83</v>
      </c>
      <c r="C103" s="9" t="s">
        <v>28</v>
      </c>
      <c r="D103" s="9" t="s">
        <v>34</v>
      </c>
      <c r="E103" s="9" t="s">
        <v>72</v>
      </c>
      <c r="F103" s="9" t="s">
        <v>51</v>
      </c>
      <c r="G103" s="10">
        <v>8</v>
      </c>
      <c r="H103" s="9" t="s">
        <v>62</v>
      </c>
    </row>
    <row r="104" spans="1:8" ht="14.25" customHeight="1" x14ac:dyDescent="0.25">
      <c r="A104" s="5">
        <v>46040</v>
      </c>
      <c r="B104" s="6" t="s">
        <v>76</v>
      </c>
      <c r="C104" s="6" t="s">
        <v>37</v>
      </c>
      <c r="D104" s="6" t="s">
        <v>49</v>
      </c>
      <c r="E104" s="6" t="s">
        <v>46</v>
      </c>
      <c r="F104" s="6" t="s">
        <v>31</v>
      </c>
      <c r="G104" s="7">
        <v>8</v>
      </c>
      <c r="H104" s="6" t="s">
        <v>54</v>
      </c>
    </row>
    <row r="105" spans="1:8" ht="14.25" customHeight="1" x14ac:dyDescent="0.25">
      <c r="A105" s="8">
        <v>46187</v>
      </c>
      <c r="B105" s="9" t="s">
        <v>88</v>
      </c>
      <c r="C105" s="9" t="s">
        <v>48</v>
      </c>
      <c r="D105" s="9" t="s">
        <v>56</v>
      </c>
      <c r="E105" s="9" t="s">
        <v>69</v>
      </c>
      <c r="F105" s="9" t="s">
        <v>47</v>
      </c>
      <c r="G105" s="10">
        <v>6</v>
      </c>
      <c r="H105" s="9" t="s">
        <v>36</v>
      </c>
    </row>
    <row r="106" spans="1:8" ht="14.25" customHeight="1" x14ac:dyDescent="0.25">
      <c r="A106" s="5">
        <v>46185</v>
      </c>
      <c r="B106" s="6" t="s">
        <v>83</v>
      </c>
      <c r="C106" s="6" t="s">
        <v>89</v>
      </c>
      <c r="D106" s="6" t="s">
        <v>34</v>
      </c>
      <c r="E106" s="6" t="s">
        <v>57</v>
      </c>
      <c r="F106" s="6" t="s">
        <v>31</v>
      </c>
      <c r="G106" s="7">
        <v>9</v>
      </c>
      <c r="H106" s="6" t="s">
        <v>36</v>
      </c>
    </row>
    <row r="107" spans="1:8" ht="14.25" customHeight="1" x14ac:dyDescent="0.25">
      <c r="A107" s="8">
        <v>46240</v>
      </c>
      <c r="B107" s="9" t="s">
        <v>8</v>
      </c>
      <c r="C107" s="9" t="s">
        <v>71</v>
      </c>
      <c r="D107" s="9" t="s">
        <v>56</v>
      </c>
      <c r="E107" s="9" t="s">
        <v>82</v>
      </c>
      <c r="F107" s="9" t="s">
        <v>47</v>
      </c>
      <c r="G107" s="10">
        <v>2</v>
      </c>
      <c r="H107" s="9" t="s">
        <v>62</v>
      </c>
    </row>
    <row r="108" spans="1:8" ht="14.25" customHeight="1" x14ac:dyDescent="0.25">
      <c r="A108" s="5">
        <v>46040</v>
      </c>
      <c r="B108" s="6" t="s">
        <v>85</v>
      </c>
      <c r="C108" s="6" t="s">
        <v>28</v>
      </c>
      <c r="D108" s="6" t="s">
        <v>56</v>
      </c>
      <c r="E108" s="6" t="s">
        <v>69</v>
      </c>
      <c r="F108" s="6" t="s">
        <v>59</v>
      </c>
      <c r="G108" s="7">
        <v>4</v>
      </c>
      <c r="H108" s="6" t="s">
        <v>54</v>
      </c>
    </row>
    <row r="109" spans="1:8" ht="14.25" customHeight="1" x14ac:dyDescent="0.25">
      <c r="A109" s="8">
        <v>46144</v>
      </c>
      <c r="B109" s="9" t="s">
        <v>27</v>
      </c>
      <c r="C109" s="9" t="s">
        <v>28</v>
      </c>
      <c r="D109" s="9" t="s">
        <v>29</v>
      </c>
      <c r="E109" s="9" t="s">
        <v>69</v>
      </c>
      <c r="F109" s="9" t="s">
        <v>47</v>
      </c>
      <c r="G109" s="10">
        <v>15</v>
      </c>
      <c r="H109" s="9" t="s">
        <v>54</v>
      </c>
    </row>
    <row r="110" spans="1:8" ht="14.25" customHeight="1" x14ac:dyDescent="0.25">
      <c r="A110" s="5">
        <v>46130</v>
      </c>
      <c r="B110" s="6" t="s">
        <v>8</v>
      </c>
      <c r="C110" s="6" t="s">
        <v>48</v>
      </c>
      <c r="D110" s="6" t="s">
        <v>29</v>
      </c>
      <c r="E110" s="6" t="s">
        <v>82</v>
      </c>
      <c r="F110" s="6" t="s">
        <v>53</v>
      </c>
      <c r="G110" s="7">
        <v>15</v>
      </c>
      <c r="H110" s="6" t="s">
        <v>32</v>
      </c>
    </row>
    <row r="111" spans="1:8" ht="14.25" customHeight="1" x14ac:dyDescent="0.25">
      <c r="A111" s="8">
        <v>46074</v>
      </c>
      <c r="B111" s="9" t="s">
        <v>70</v>
      </c>
      <c r="C111" s="9" t="s">
        <v>58</v>
      </c>
      <c r="D111" s="9" t="s">
        <v>38</v>
      </c>
      <c r="E111" s="9" t="s">
        <v>63</v>
      </c>
      <c r="F111" s="9" t="s">
        <v>73</v>
      </c>
      <c r="G111" s="10">
        <v>8</v>
      </c>
      <c r="H111" s="9" t="s">
        <v>36</v>
      </c>
    </row>
    <row r="112" spans="1:8" ht="14.25" customHeight="1" x14ac:dyDescent="0.25">
      <c r="A112" s="5">
        <v>46193</v>
      </c>
      <c r="B112" s="6" t="s">
        <v>5</v>
      </c>
      <c r="C112" s="6" t="s">
        <v>77</v>
      </c>
      <c r="D112" s="6" t="s">
        <v>56</v>
      </c>
      <c r="E112" s="6" t="s">
        <v>50</v>
      </c>
      <c r="F112" s="6" t="s">
        <v>47</v>
      </c>
      <c r="G112" s="7">
        <v>7</v>
      </c>
      <c r="H112" s="6" t="s">
        <v>36</v>
      </c>
    </row>
    <row r="113" spans="1:8" ht="14.25" customHeight="1" x14ac:dyDescent="0.25">
      <c r="A113" s="8">
        <v>46137</v>
      </c>
      <c r="B113" s="9" t="s">
        <v>15</v>
      </c>
      <c r="C113" s="9" t="s">
        <v>71</v>
      </c>
      <c r="D113" s="9" t="s">
        <v>29</v>
      </c>
      <c r="E113" s="9" t="s">
        <v>63</v>
      </c>
      <c r="F113" s="9" t="s">
        <v>61</v>
      </c>
      <c r="G113" s="10">
        <v>8</v>
      </c>
      <c r="H113" s="9" t="s">
        <v>32</v>
      </c>
    </row>
    <row r="114" spans="1:8" ht="14.25" customHeight="1" x14ac:dyDescent="0.25">
      <c r="A114" s="5">
        <v>46172</v>
      </c>
      <c r="B114" s="6" t="s">
        <v>5</v>
      </c>
      <c r="C114" s="6" t="s">
        <v>37</v>
      </c>
      <c r="D114" s="6" t="s">
        <v>29</v>
      </c>
      <c r="E114" s="6" t="s">
        <v>75</v>
      </c>
      <c r="F114" s="6" t="s">
        <v>51</v>
      </c>
      <c r="G114" s="7">
        <v>13</v>
      </c>
      <c r="H114" s="6" t="s">
        <v>54</v>
      </c>
    </row>
    <row r="115" spans="1:8" ht="14.25" customHeight="1" x14ac:dyDescent="0.25">
      <c r="A115" s="8">
        <v>46081</v>
      </c>
      <c r="B115" s="9" t="s">
        <v>60</v>
      </c>
      <c r="C115" s="9" t="s">
        <v>37</v>
      </c>
      <c r="D115" s="9" t="s">
        <v>38</v>
      </c>
      <c r="E115" s="9" t="s">
        <v>35</v>
      </c>
      <c r="F115" s="9" t="s">
        <v>47</v>
      </c>
      <c r="G115" s="10">
        <v>14</v>
      </c>
      <c r="H115" s="9" t="s">
        <v>32</v>
      </c>
    </row>
    <row r="116" spans="1:8" ht="14.25" customHeight="1" x14ac:dyDescent="0.25">
      <c r="A116" s="5">
        <v>46154</v>
      </c>
      <c r="B116" s="6" t="s">
        <v>5</v>
      </c>
      <c r="C116" s="6" t="s">
        <v>37</v>
      </c>
      <c r="D116" s="6" t="s">
        <v>38</v>
      </c>
      <c r="E116" s="6" t="s">
        <v>39</v>
      </c>
      <c r="F116" s="6" t="s">
        <v>91</v>
      </c>
      <c r="G116" s="7">
        <v>12</v>
      </c>
      <c r="H116" s="6" t="s">
        <v>54</v>
      </c>
    </row>
    <row r="117" spans="1:8" ht="14.25" customHeight="1" x14ac:dyDescent="0.25">
      <c r="A117" s="8">
        <v>46075</v>
      </c>
      <c r="B117" s="9" t="s">
        <v>92</v>
      </c>
      <c r="C117" s="9" t="s">
        <v>74</v>
      </c>
      <c r="D117" s="9" t="s">
        <v>38</v>
      </c>
      <c r="E117" s="9" t="s">
        <v>46</v>
      </c>
      <c r="F117" s="9" t="s">
        <v>64</v>
      </c>
      <c r="G117" s="10">
        <v>10</v>
      </c>
      <c r="H117" s="9" t="s">
        <v>36</v>
      </c>
    </row>
    <row r="118" spans="1:8" ht="14.25" customHeight="1" x14ac:dyDescent="0.25">
      <c r="A118" s="5">
        <v>46146</v>
      </c>
      <c r="B118" s="6" t="s">
        <v>85</v>
      </c>
      <c r="C118" s="6" t="s">
        <v>58</v>
      </c>
      <c r="D118" s="6" t="s">
        <v>49</v>
      </c>
      <c r="E118" s="6" t="s">
        <v>46</v>
      </c>
      <c r="F118" s="6" t="s">
        <v>73</v>
      </c>
      <c r="G118" s="7">
        <v>6</v>
      </c>
      <c r="H118" s="6" t="s">
        <v>36</v>
      </c>
    </row>
    <row r="119" spans="1:8" ht="14.25" customHeight="1" x14ac:dyDescent="0.25">
      <c r="A119" s="8">
        <v>46197</v>
      </c>
      <c r="B119" s="9" t="s">
        <v>27</v>
      </c>
      <c r="C119" s="9" t="s">
        <v>74</v>
      </c>
      <c r="D119" s="9" t="s">
        <v>56</v>
      </c>
      <c r="E119" s="9" t="s">
        <v>72</v>
      </c>
      <c r="F119" s="9" t="s">
        <v>31</v>
      </c>
      <c r="G119" s="10">
        <v>13</v>
      </c>
      <c r="H119" s="9" t="s">
        <v>36</v>
      </c>
    </row>
    <row r="120" spans="1:8" ht="14.25" customHeight="1" x14ac:dyDescent="0.25">
      <c r="A120" s="5">
        <v>46101</v>
      </c>
      <c r="B120" s="6" t="s">
        <v>7</v>
      </c>
      <c r="C120" s="6" t="s">
        <v>37</v>
      </c>
      <c r="D120" s="6" t="s">
        <v>38</v>
      </c>
      <c r="E120" s="6" t="s">
        <v>46</v>
      </c>
      <c r="F120" s="6" t="s">
        <v>40</v>
      </c>
      <c r="G120" s="7">
        <v>4</v>
      </c>
      <c r="H120" s="6" t="s">
        <v>62</v>
      </c>
    </row>
    <row r="121" spans="1:8" ht="14.25" customHeight="1" x14ac:dyDescent="0.25">
      <c r="A121" s="8">
        <v>46162</v>
      </c>
      <c r="B121" s="9" t="s">
        <v>8</v>
      </c>
      <c r="C121" s="9" t="s">
        <v>28</v>
      </c>
      <c r="D121" s="9" t="s">
        <v>34</v>
      </c>
      <c r="E121" s="9" t="s">
        <v>46</v>
      </c>
      <c r="F121" s="9" t="s">
        <v>47</v>
      </c>
      <c r="G121" s="10">
        <v>12</v>
      </c>
      <c r="H121" s="9" t="s">
        <v>32</v>
      </c>
    </row>
    <row r="122" spans="1:8" ht="14.25" customHeight="1" x14ac:dyDescent="0.25">
      <c r="A122" s="5">
        <v>46248</v>
      </c>
      <c r="B122" s="6" t="s">
        <v>5</v>
      </c>
      <c r="C122" s="6" t="s">
        <v>28</v>
      </c>
      <c r="D122" s="6" t="s">
        <v>38</v>
      </c>
      <c r="E122" s="6" t="s">
        <v>82</v>
      </c>
      <c r="F122" s="6" t="s">
        <v>53</v>
      </c>
      <c r="G122" s="7">
        <v>5</v>
      </c>
      <c r="H122" s="6" t="s">
        <v>62</v>
      </c>
    </row>
    <row r="123" spans="1:8" ht="14.25" customHeight="1" x14ac:dyDescent="0.25">
      <c r="A123" s="8">
        <v>46049</v>
      </c>
      <c r="B123" s="9" t="s">
        <v>33</v>
      </c>
      <c r="C123" s="9" t="s">
        <v>93</v>
      </c>
      <c r="D123" s="9" t="s">
        <v>29</v>
      </c>
      <c r="E123" s="9" t="s">
        <v>30</v>
      </c>
      <c r="F123" s="9" t="s">
        <v>61</v>
      </c>
      <c r="G123" s="10">
        <v>7</v>
      </c>
      <c r="H123" s="9" t="s">
        <v>32</v>
      </c>
    </row>
    <row r="124" spans="1:8" ht="14.25" customHeight="1" x14ac:dyDescent="0.25">
      <c r="A124" s="5">
        <v>46190</v>
      </c>
      <c r="B124" s="6" t="s">
        <v>6</v>
      </c>
      <c r="C124" s="6" t="s">
        <v>37</v>
      </c>
      <c r="D124" s="6" t="s">
        <v>56</v>
      </c>
      <c r="E124" s="6" t="s">
        <v>57</v>
      </c>
      <c r="F124" s="6" t="s">
        <v>47</v>
      </c>
      <c r="G124" s="7">
        <v>15</v>
      </c>
      <c r="H124" s="6" t="s">
        <v>32</v>
      </c>
    </row>
    <row r="125" spans="1:8" ht="14.25" customHeight="1" x14ac:dyDescent="0.25">
      <c r="A125" s="8">
        <v>46175</v>
      </c>
      <c r="B125" s="9" t="s">
        <v>67</v>
      </c>
      <c r="C125" s="9" t="s">
        <v>28</v>
      </c>
      <c r="D125" s="9" t="s">
        <v>29</v>
      </c>
      <c r="E125" s="9" t="s">
        <v>46</v>
      </c>
      <c r="F125" s="9" t="s">
        <v>64</v>
      </c>
      <c r="G125" s="10">
        <v>15</v>
      </c>
      <c r="H125" s="9" t="s">
        <v>32</v>
      </c>
    </row>
    <row r="126" spans="1:8" ht="14.25" customHeight="1" x14ac:dyDescent="0.25">
      <c r="A126" s="5">
        <v>46050</v>
      </c>
      <c r="B126" s="6" t="s">
        <v>76</v>
      </c>
      <c r="C126" s="6" t="s">
        <v>28</v>
      </c>
      <c r="D126" s="6" t="s">
        <v>29</v>
      </c>
      <c r="E126" s="6" t="s">
        <v>46</v>
      </c>
      <c r="F126" s="6" t="s">
        <v>73</v>
      </c>
      <c r="G126" s="7">
        <v>5</v>
      </c>
      <c r="H126" s="6" t="s">
        <v>32</v>
      </c>
    </row>
    <row r="127" spans="1:8" ht="14.25" customHeight="1" x14ac:dyDescent="0.25">
      <c r="A127" s="8">
        <v>46205</v>
      </c>
      <c r="B127" s="9" t="s">
        <v>68</v>
      </c>
      <c r="C127" s="9" t="s">
        <v>45</v>
      </c>
      <c r="D127" s="9" t="s">
        <v>49</v>
      </c>
      <c r="E127" s="9" t="s">
        <v>81</v>
      </c>
      <c r="F127" s="9" t="s">
        <v>84</v>
      </c>
      <c r="G127" s="10">
        <v>3</v>
      </c>
      <c r="H127" s="9" t="s">
        <v>54</v>
      </c>
    </row>
    <row r="128" spans="1:8" ht="14.25" customHeight="1" x14ac:dyDescent="0.25">
      <c r="A128" s="5">
        <v>46121</v>
      </c>
      <c r="B128" s="6" t="s">
        <v>60</v>
      </c>
      <c r="C128" s="6" t="s">
        <v>37</v>
      </c>
      <c r="D128" s="6" t="s">
        <v>49</v>
      </c>
      <c r="E128" s="6" t="s">
        <v>30</v>
      </c>
      <c r="F128" s="6" t="s">
        <v>31</v>
      </c>
      <c r="G128" s="7">
        <v>14</v>
      </c>
      <c r="H128" s="6" t="s">
        <v>54</v>
      </c>
    </row>
    <row r="129" spans="1:8" ht="14.25" customHeight="1" x14ac:dyDescent="0.25">
      <c r="A129" s="8">
        <v>46056</v>
      </c>
      <c r="B129" s="9" t="s">
        <v>79</v>
      </c>
      <c r="C129" s="9" t="s">
        <v>37</v>
      </c>
      <c r="D129" s="9" t="s">
        <v>34</v>
      </c>
      <c r="E129" s="9" t="s">
        <v>39</v>
      </c>
      <c r="F129" s="9" t="s">
        <v>66</v>
      </c>
      <c r="G129" s="10">
        <v>7</v>
      </c>
      <c r="H129" s="9" t="s">
        <v>54</v>
      </c>
    </row>
    <row r="130" spans="1:8" ht="14.25" customHeight="1" x14ac:dyDescent="0.25">
      <c r="A130" s="5">
        <v>46222</v>
      </c>
      <c r="B130" s="6" t="s">
        <v>70</v>
      </c>
      <c r="C130" s="6" t="s">
        <v>93</v>
      </c>
      <c r="D130" s="6" t="s">
        <v>56</v>
      </c>
      <c r="E130" s="6" t="s">
        <v>69</v>
      </c>
      <c r="F130" s="6" t="s">
        <v>43</v>
      </c>
      <c r="G130" s="7">
        <v>8</v>
      </c>
      <c r="H130" s="6" t="s">
        <v>54</v>
      </c>
    </row>
    <row r="131" spans="1:8" ht="14.25" customHeight="1" x14ac:dyDescent="0.25">
      <c r="A131" s="8">
        <v>46210</v>
      </c>
      <c r="B131" s="9" t="s">
        <v>8</v>
      </c>
      <c r="C131" s="9" t="s">
        <v>58</v>
      </c>
      <c r="D131" s="9" t="s">
        <v>38</v>
      </c>
      <c r="E131" s="9" t="s">
        <v>82</v>
      </c>
      <c r="F131" s="9" t="s">
        <v>43</v>
      </c>
      <c r="G131" s="10">
        <v>3</v>
      </c>
      <c r="H131" s="9" t="s">
        <v>36</v>
      </c>
    </row>
    <row r="132" spans="1:8" ht="14.25" customHeight="1" x14ac:dyDescent="0.25">
      <c r="A132" s="5">
        <v>46065</v>
      </c>
      <c r="B132" s="6" t="s">
        <v>67</v>
      </c>
      <c r="C132" s="6" t="s">
        <v>37</v>
      </c>
      <c r="D132" s="6" t="s">
        <v>56</v>
      </c>
      <c r="E132" s="6" t="s">
        <v>82</v>
      </c>
      <c r="F132" s="6" t="s">
        <v>91</v>
      </c>
      <c r="G132" s="7">
        <v>10</v>
      </c>
      <c r="H132" s="6" t="s">
        <v>36</v>
      </c>
    </row>
    <row r="133" spans="1:8" ht="14.25" customHeight="1" x14ac:dyDescent="0.25">
      <c r="A133" s="8">
        <v>46025</v>
      </c>
      <c r="B133" s="9" t="s">
        <v>70</v>
      </c>
      <c r="C133" s="9" t="s">
        <v>37</v>
      </c>
      <c r="D133" s="9" t="s">
        <v>29</v>
      </c>
      <c r="E133" s="9" t="s">
        <v>39</v>
      </c>
      <c r="F133" s="9" t="s">
        <v>73</v>
      </c>
      <c r="G133" s="10">
        <v>15</v>
      </c>
      <c r="H133" s="9" t="s">
        <v>62</v>
      </c>
    </row>
    <row r="134" spans="1:8" ht="14.25" customHeight="1" x14ac:dyDescent="0.25">
      <c r="A134" s="5">
        <v>46163</v>
      </c>
      <c r="B134" s="6" t="s">
        <v>90</v>
      </c>
      <c r="C134" s="6" t="s">
        <v>37</v>
      </c>
      <c r="D134" s="6" t="s">
        <v>38</v>
      </c>
      <c r="E134" s="6" t="s">
        <v>95</v>
      </c>
      <c r="F134" s="6" t="s">
        <v>91</v>
      </c>
      <c r="G134" s="7">
        <v>8</v>
      </c>
      <c r="H134" s="6" t="s">
        <v>54</v>
      </c>
    </row>
    <row r="135" spans="1:8" ht="14.25" customHeight="1" x14ac:dyDescent="0.25">
      <c r="A135" s="8">
        <v>46233</v>
      </c>
      <c r="B135" s="9" t="s">
        <v>41</v>
      </c>
      <c r="C135" s="9" t="s">
        <v>77</v>
      </c>
      <c r="D135" s="9" t="s">
        <v>38</v>
      </c>
      <c r="E135" s="9" t="s">
        <v>80</v>
      </c>
      <c r="F135" s="9" t="s">
        <v>61</v>
      </c>
      <c r="G135" s="10">
        <v>9</v>
      </c>
      <c r="H135" s="9" t="s">
        <v>62</v>
      </c>
    </row>
    <row r="136" spans="1:8" ht="14.25" customHeight="1" x14ac:dyDescent="0.25">
      <c r="A136" s="5">
        <v>46223</v>
      </c>
      <c r="B136" s="6" t="s">
        <v>15</v>
      </c>
      <c r="C136" s="6" t="s">
        <v>28</v>
      </c>
      <c r="D136" s="6" t="s">
        <v>34</v>
      </c>
      <c r="E136" s="6" t="s">
        <v>72</v>
      </c>
      <c r="F136" s="6" t="s">
        <v>78</v>
      </c>
      <c r="G136" s="7">
        <v>10</v>
      </c>
      <c r="H136" s="6" t="s">
        <v>32</v>
      </c>
    </row>
    <row r="137" spans="1:8" ht="14.25" customHeight="1" x14ac:dyDescent="0.25">
      <c r="A137" s="8">
        <v>46121</v>
      </c>
      <c r="B137" s="9" t="s">
        <v>12</v>
      </c>
      <c r="C137" s="9" t="s">
        <v>28</v>
      </c>
      <c r="D137" s="9" t="s">
        <v>29</v>
      </c>
      <c r="E137" s="9" t="s">
        <v>30</v>
      </c>
      <c r="F137" s="9" t="s">
        <v>59</v>
      </c>
      <c r="G137" s="10">
        <v>6</v>
      </c>
      <c r="H137" s="9" t="s">
        <v>36</v>
      </c>
    </row>
    <row r="138" spans="1:8" ht="14.25" customHeight="1" x14ac:dyDescent="0.25">
      <c r="A138" s="5">
        <v>46173</v>
      </c>
      <c r="B138" s="6" t="s">
        <v>52</v>
      </c>
      <c r="C138" s="6" t="s">
        <v>28</v>
      </c>
      <c r="D138" s="6" t="s">
        <v>49</v>
      </c>
      <c r="E138" s="6" t="s">
        <v>82</v>
      </c>
      <c r="F138" s="6" t="s">
        <v>73</v>
      </c>
      <c r="G138" s="7">
        <v>7</v>
      </c>
      <c r="H138" s="6" t="s">
        <v>36</v>
      </c>
    </row>
    <row r="139" spans="1:8" ht="14.25" customHeight="1" x14ac:dyDescent="0.25">
      <c r="A139" s="8">
        <v>46219</v>
      </c>
      <c r="B139" s="9" t="s">
        <v>41</v>
      </c>
      <c r="C139" s="9" t="s">
        <v>87</v>
      </c>
      <c r="D139" s="9" t="s">
        <v>29</v>
      </c>
      <c r="E139" s="9" t="s">
        <v>81</v>
      </c>
      <c r="F139" s="9" t="s">
        <v>51</v>
      </c>
      <c r="G139" s="10">
        <v>15</v>
      </c>
      <c r="H139" s="9" t="s">
        <v>54</v>
      </c>
    </row>
    <row r="140" spans="1:8" ht="14.25" customHeight="1" x14ac:dyDescent="0.25">
      <c r="A140" s="5">
        <v>46203</v>
      </c>
      <c r="B140" s="6" t="s">
        <v>5</v>
      </c>
      <c r="C140" s="6" t="s">
        <v>58</v>
      </c>
      <c r="D140" s="6" t="s">
        <v>49</v>
      </c>
      <c r="E140" s="6" t="s">
        <v>72</v>
      </c>
      <c r="F140" s="6" t="s">
        <v>59</v>
      </c>
      <c r="G140" s="7">
        <v>11</v>
      </c>
      <c r="H140" s="6" t="s">
        <v>32</v>
      </c>
    </row>
    <row r="141" spans="1:8" ht="14.25" customHeight="1" x14ac:dyDescent="0.25">
      <c r="A141" s="8">
        <v>46156</v>
      </c>
      <c r="B141" s="9" t="s">
        <v>52</v>
      </c>
      <c r="C141" s="9" t="s">
        <v>71</v>
      </c>
      <c r="D141" s="9" t="s">
        <v>29</v>
      </c>
      <c r="E141" s="9" t="s">
        <v>35</v>
      </c>
      <c r="F141" s="9" t="s">
        <v>40</v>
      </c>
      <c r="G141" s="10">
        <v>8</v>
      </c>
      <c r="H141" s="9" t="s">
        <v>36</v>
      </c>
    </row>
    <row r="142" spans="1:8" ht="14.25" customHeight="1" x14ac:dyDescent="0.25">
      <c r="A142" s="5">
        <v>46244</v>
      </c>
      <c r="B142" s="6" t="s">
        <v>5</v>
      </c>
      <c r="C142" s="6" t="s">
        <v>58</v>
      </c>
      <c r="D142" s="6" t="s">
        <v>38</v>
      </c>
      <c r="E142" s="6" t="s">
        <v>69</v>
      </c>
      <c r="F142" s="6" t="s">
        <v>66</v>
      </c>
      <c r="G142" s="7">
        <v>8</v>
      </c>
      <c r="H142" s="6" t="s">
        <v>32</v>
      </c>
    </row>
    <row r="143" spans="1:8" ht="14.25" customHeight="1" x14ac:dyDescent="0.25">
      <c r="A143" s="8">
        <v>46050</v>
      </c>
      <c r="B143" s="9" t="s">
        <v>52</v>
      </c>
      <c r="C143" s="9" t="s">
        <v>42</v>
      </c>
      <c r="D143" s="9" t="s">
        <v>56</v>
      </c>
      <c r="E143" s="9" t="s">
        <v>35</v>
      </c>
      <c r="F143" s="9" t="s">
        <v>59</v>
      </c>
      <c r="G143" s="10">
        <v>2</v>
      </c>
      <c r="H143" s="9" t="s">
        <v>62</v>
      </c>
    </row>
    <row r="144" spans="1:8" ht="14.25" customHeight="1" x14ac:dyDescent="0.25">
      <c r="A144" s="5">
        <v>46069</v>
      </c>
      <c r="B144" s="6" t="s">
        <v>60</v>
      </c>
      <c r="C144" s="6" t="s">
        <v>37</v>
      </c>
      <c r="D144" s="6" t="s">
        <v>29</v>
      </c>
      <c r="E144" s="6" t="s">
        <v>46</v>
      </c>
      <c r="F144" s="6" t="s">
        <v>51</v>
      </c>
      <c r="G144" s="7">
        <v>12</v>
      </c>
      <c r="H144" s="6" t="s">
        <v>36</v>
      </c>
    </row>
    <row r="145" spans="1:8" ht="14.25" customHeight="1" x14ac:dyDescent="0.25">
      <c r="A145" s="8">
        <v>46229</v>
      </c>
      <c r="B145" s="9" t="s">
        <v>92</v>
      </c>
      <c r="C145" s="9" t="s">
        <v>28</v>
      </c>
      <c r="D145" s="9" t="s">
        <v>49</v>
      </c>
      <c r="E145" s="9" t="s">
        <v>69</v>
      </c>
      <c r="F145" s="9" t="s">
        <v>91</v>
      </c>
      <c r="G145" s="10">
        <v>13</v>
      </c>
      <c r="H145" s="9" t="s">
        <v>54</v>
      </c>
    </row>
    <row r="146" spans="1:8" ht="14.25" customHeight="1" x14ac:dyDescent="0.25">
      <c r="A146" s="5">
        <v>46109</v>
      </c>
      <c r="B146" s="6" t="s">
        <v>6</v>
      </c>
      <c r="C146" s="6" t="s">
        <v>71</v>
      </c>
      <c r="D146" s="6" t="s">
        <v>34</v>
      </c>
      <c r="E146" s="6" t="s">
        <v>57</v>
      </c>
      <c r="F146" s="6" t="s">
        <v>91</v>
      </c>
      <c r="G146" s="7">
        <v>3</v>
      </c>
      <c r="H146" s="6" t="s">
        <v>32</v>
      </c>
    </row>
    <row r="147" spans="1:8" ht="14.25" customHeight="1" x14ac:dyDescent="0.25">
      <c r="A147" s="8">
        <v>46130</v>
      </c>
      <c r="B147" s="9" t="s">
        <v>9</v>
      </c>
      <c r="C147" s="9" t="s">
        <v>58</v>
      </c>
      <c r="D147" s="9" t="s">
        <v>34</v>
      </c>
      <c r="E147" s="9" t="s">
        <v>72</v>
      </c>
      <c r="F147" s="9" t="s">
        <v>61</v>
      </c>
      <c r="G147" s="10">
        <v>11</v>
      </c>
      <c r="H147" s="9" t="s">
        <v>36</v>
      </c>
    </row>
    <row r="148" spans="1:8" ht="14.25" customHeight="1" x14ac:dyDescent="0.25">
      <c r="A148" s="5">
        <v>46194</v>
      </c>
      <c r="B148" s="6" t="s">
        <v>79</v>
      </c>
      <c r="C148" s="6" t="s">
        <v>37</v>
      </c>
      <c r="D148" s="6" t="s">
        <v>29</v>
      </c>
      <c r="E148" s="6" t="s">
        <v>82</v>
      </c>
      <c r="F148" s="6" t="s">
        <v>47</v>
      </c>
      <c r="G148" s="7">
        <v>3</v>
      </c>
      <c r="H148" s="6" t="s">
        <v>32</v>
      </c>
    </row>
    <row r="149" spans="1:8" ht="14.25" customHeight="1" x14ac:dyDescent="0.25">
      <c r="A149" s="8">
        <v>46060</v>
      </c>
      <c r="B149" s="9" t="s">
        <v>10</v>
      </c>
      <c r="C149" s="9" t="s">
        <v>89</v>
      </c>
      <c r="D149" s="9" t="s">
        <v>38</v>
      </c>
      <c r="E149" s="9" t="s">
        <v>82</v>
      </c>
      <c r="F149" s="9" t="s">
        <v>47</v>
      </c>
      <c r="G149" s="10">
        <v>14</v>
      </c>
      <c r="H149" s="9" t="s">
        <v>36</v>
      </c>
    </row>
    <row r="150" spans="1:8" ht="14.25" customHeight="1" x14ac:dyDescent="0.25">
      <c r="A150" s="5">
        <v>46065</v>
      </c>
      <c r="B150" s="6" t="s">
        <v>15</v>
      </c>
      <c r="C150" s="6" t="s">
        <v>45</v>
      </c>
      <c r="D150" s="6" t="s">
        <v>56</v>
      </c>
      <c r="E150" s="6" t="s">
        <v>63</v>
      </c>
      <c r="F150" s="6" t="s">
        <v>47</v>
      </c>
      <c r="G150" s="7">
        <v>1</v>
      </c>
      <c r="H150" s="6" t="s">
        <v>54</v>
      </c>
    </row>
    <row r="151" spans="1:8" ht="14.25" customHeight="1" x14ac:dyDescent="0.25">
      <c r="A151" s="8">
        <v>46166</v>
      </c>
      <c r="B151" s="9" t="s">
        <v>79</v>
      </c>
      <c r="C151" s="9" t="s">
        <v>28</v>
      </c>
      <c r="D151" s="9" t="s">
        <v>38</v>
      </c>
      <c r="E151" s="9" t="s">
        <v>75</v>
      </c>
      <c r="F151" s="9" t="s">
        <v>91</v>
      </c>
      <c r="G151" s="10">
        <v>10</v>
      </c>
      <c r="H151" s="9" t="s">
        <v>32</v>
      </c>
    </row>
    <row r="152" spans="1:8" ht="14.25" customHeight="1" x14ac:dyDescent="0.25">
      <c r="A152" s="5">
        <v>46210</v>
      </c>
      <c r="B152" s="6" t="s">
        <v>83</v>
      </c>
      <c r="C152" s="6" t="s">
        <v>37</v>
      </c>
      <c r="D152" s="6" t="s">
        <v>38</v>
      </c>
      <c r="E152" s="6" t="s">
        <v>50</v>
      </c>
      <c r="F152" s="6" t="s">
        <v>43</v>
      </c>
      <c r="G152" s="7">
        <v>7</v>
      </c>
      <c r="H152" s="6" t="s">
        <v>32</v>
      </c>
    </row>
    <row r="153" spans="1:8" ht="14.25" customHeight="1" x14ac:dyDescent="0.25">
      <c r="A153" s="8">
        <v>46125</v>
      </c>
      <c r="B153" s="9" t="s">
        <v>67</v>
      </c>
      <c r="C153" s="9" t="s">
        <v>93</v>
      </c>
      <c r="D153" s="9" t="s">
        <v>56</v>
      </c>
      <c r="E153" s="9" t="s">
        <v>72</v>
      </c>
      <c r="F153" s="9" t="s">
        <v>73</v>
      </c>
      <c r="G153" s="10">
        <v>6</v>
      </c>
      <c r="H153" s="9" t="s">
        <v>62</v>
      </c>
    </row>
    <row r="154" spans="1:8" ht="14.25" customHeight="1" x14ac:dyDescent="0.25">
      <c r="A154" s="5">
        <v>46199</v>
      </c>
      <c r="B154" s="6" t="s">
        <v>79</v>
      </c>
      <c r="C154" s="6" t="s">
        <v>42</v>
      </c>
      <c r="D154" s="6" t="s">
        <v>56</v>
      </c>
      <c r="E154" s="6" t="s">
        <v>50</v>
      </c>
      <c r="F154" s="6" t="s">
        <v>64</v>
      </c>
      <c r="G154" s="7">
        <v>8</v>
      </c>
      <c r="H154" s="6" t="s">
        <v>32</v>
      </c>
    </row>
    <row r="155" spans="1:8" ht="14.25" customHeight="1" x14ac:dyDescent="0.25">
      <c r="A155" s="8">
        <v>46092</v>
      </c>
      <c r="B155" s="9" t="s">
        <v>41</v>
      </c>
      <c r="C155" s="9" t="s">
        <v>28</v>
      </c>
      <c r="D155" s="9" t="s">
        <v>38</v>
      </c>
      <c r="E155" s="9" t="s">
        <v>69</v>
      </c>
      <c r="F155" s="9" t="s">
        <v>43</v>
      </c>
      <c r="G155" s="10">
        <v>13</v>
      </c>
      <c r="H155" s="9" t="s">
        <v>36</v>
      </c>
    </row>
    <row r="156" spans="1:8" ht="14.25" customHeight="1" x14ac:dyDescent="0.25">
      <c r="A156" s="5">
        <v>46194</v>
      </c>
      <c r="B156" s="6" t="s">
        <v>52</v>
      </c>
      <c r="C156" s="6" t="s">
        <v>58</v>
      </c>
      <c r="D156" s="6" t="s">
        <v>34</v>
      </c>
      <c r="E156" s="6" t="s">
        <v>57</v>
      </c>
      <c r="F156" s="6" t="s">
        <v>40</v>
      </c>
      <c r="G156" s="7">
        <v>11</v>
      </c>
      <c r="H156" s="6" t="s">
        <v>36</v>
      </c>
    </row>
    <row r="157" spans="1:8" ht="14.25" customHeight="1" x14ac:dyDescent="0.25">
      <c r="A157" s="8">
        <v>46179</v>
      </c>
      <c r="B157" s="9" t="s">
        <v>85</v>
      </c>
      <c r="C157" s="9" t="s">
        <v>58</v>
      </c>
      <c r="D157" s="9" t="s">
        <v>56</v>
      </c>
      <c r="E157" s="9" t="s">
        <v>69</v>
      </c>
      <c r="F157" s="9" t="s">
        <v>51</v>
      </c>
      <c r="G157" s="10">
        <v>8</v>
      </c>
      <c r="H157" s="9" t="s">
        <v>62</v>
      </c>
    </row>
    <row r="158" spans="1:8" ht="14.25" customHeight="1" x14ac:dyDescent="0.25">
      <c r="A158" s="5">
        <v>46024</v>
      </c>
      <c r="B158" s="6" t="s">
        <v>33</v>
      </c>
      <c r="C158" s="6" t="s">
        <v>37</v>
      </c>
      <c r="D158" s="6" t="s">
        <v>34</v>
      </c>
      <c r="E158" s="6" t="s">
        <v>80</v>
      </c>
      <c r="F158" s="6" t="s">
        <v>61</v>
      </c>
      <c r="G158" s="7">
        <v>13</v>
      </c>
      <c r="H158" s="6" t="s">
        <v>62</v>
      </c>
    </row>
    <row r="159" spans="1:8" ht="14.25" customHeight="1" x14ac:dyDescent="0.25">
      <c r="A159" s="8">
        <v>46024</v>
      </c>
      <c r="B159" s="9" t="s">
        <v>83</v>
      </c>
      <c r="C159" s="9" t="s">
        <v>42</v>
      </c>
      <c r="D159" s="9" t="s">
        <v>49</v>
      </c>
      <c r="E159" s="9" t="s">
        <v>82</v>
      </c>
      <c r="F159" s="9" t="s">
        <v>40</v>
      </c>
      <c r="G159" s="10">
        <v>12</v>
      </c>
      <c r="H159" s="9" t="s">
        <v>54</v>
      </c>
    </row>
    <row r="160" spans="1:8" ht="14.25" customHeight="1" x14ac:dyDescent="0.25">
      <c r="A160" s="5">
        <v>46106</v>
      </c>
      <c r="B160" s="6" t="s">
        <v>44</v>
      </c>
      <c r="C160" s="6" t="s">
        <v>45</v>
      </c>
      <c r="D160" s="6" t="s">
        <v>38</v>
      </c>
      <c r="E160" s="6" t="s">
        <v>39</v>
      </c>
      <c r="F160" s="6" t="s">
        <v>64</v>
      </c>
      <c r="G160" s="7">
        <v>1</v>
      </c>
      <c r="H160" s="6" t="s">
        <v>36</v>
      </c>
    </row>
    <row r="161" spans="1:8" ht="14.25" customHeight="1" x14ac:dyDescent="0.25">
      <c r="A161" s="8">
        <v>46187</v>
      </c>
      <c r="B161" s="9" t="s">
        <v>90</v>
      </c>
      <c r="C161" s="9" t="s">
        <v>37</v>
      </c>
      <c r="D161" s="9" t="s">
        <v>29</v>
      </c>
      <c r="E161" s="9" t="s">
        <v>63</v>
      </c>
      <c r="F161" s="9" t="s">
        <v>47</v>
      </c>
      <c r="G161" s="10">
        <v>10</v>
      </c>
      <c r="H161" s="9" t="s">
        <v>62</v>
      </c>
    </row>
    <row r="162" spans="1:8" ht="14.25" customHeight="1" x14ac:dyDescent="0.25">
      <c r="A162" s="5">
        <v>46124</v>
      </c>
      <c r="B162" s="6" t="s">
        <v>83</v>
      </c>
      <c r="C162" s="6" t="s">
        <v>77</v>
      </c>
      <c r="D162" s="6" t="s">
        <v>29</v>
      </c>
      <c r="E162" s="6" t="s">
        <v>80</v>
      </c>
      <c r="F162" s="6" t="s">
        <v>47</v>
      </c>
      <c r="G162" s="7">
        <v>15</v>
      </c>
      <c r="H162" s="6" t="s">
        <v>54</v>
      </c>
    </row>
    <row r="163" spans="1:8" ht="14.25" customHeight="1" x14ac:dyDescent="0.25">
      <c r="A163" s="8">
        <v>46086</v>
      </c>
      <c r="B163" s="9" t="s">
        <v>15</v>
      </c>
      <c r="C163" s="9" t="s">
        <v>28</v>
      </c>
      <c r="D163" s="9" t="s">
        <v>56</v>
      </c>
      <c r="E163" s="9" t="s">
        <v>63</v>
      </c>
      <c r="F163" s="9" t="s">
        <v>43</v>
      </c>
      <c r="G163" s="10">
        <v>3</v>
      </c>
      <c r="H163" s="9" t="s">
        <v>62</v>
      </c>
    </row>
    <row r="164" spans="1:8" ht="14.25" customHeight="1" x14ac:dyDescent="0.25">
      <c r="A164" s="5">
        <v>46028</v>
      </c>
      <c r="B164" s="6" t="s">
        <v>44</v>
      </c>
      <c r="C164" s="6" t="s">
        <v>77</v>
      </c>
      <c r="D164" s="6" t="s">
        <v>49</v>
      </c>
      <c r="E164" s="6" t="s">
        <v>80</v>
      </c>
      <c r="F164" s="6" t="s">
        <v>40</v>
      </c>
      <c r="G164" s="7">
        <v>1</v>
      </c>
      <c r="H164" s="6" t="s">
        <v>32</v>
      </c>
    </row>
    <row r="165" spans="1:8" ht="14.25" customHeight="1" x14ac:dyDescent="0.25">
      <c r="A165" s="8">
        <v>46218</v>
      </c>
      <c r="B165" s="9" t="s">
        <v>33</v>
      </c>
      <c r="C165" s="9" t="s">
        <v>77</v>
      </c>
      <c r="D165" s="9" t="s">
        <v>29</v>
      </c>
      <c r="E165" s="9" t="s">
        <v>46</v>
      </c>
      <c r="F165" s="9" t="s">
        <v>51</v>
      </c>
      <c r="G165" s="10">
        <v>9</v>
      </c>
      <c r="H165" s="9" t="s">
        <v>54</v>
      </c>
    </row>
    <row r="166" spans="1:8" ht="14.25" customHeight="1" x14ac:dyDescent="0.25">
      <c r="A166" s="5">
        <v>46147</v>
      </c>
      <c r="B166" s="6" t="s">
        <v>7</v>
      </c>
      <c r="C166" s="6" t="s">
        <v>42</v>
      </c>
      <c r="D166" s="6" t="s">
        <v>34</v>
      </c>
      <c r="E166" s="6" t="s">
        <v>69</v>
      </c>
      <c r="F166" s="6" t="s">
        <v>61</v>
      </c>
      <c r="G166" s="7">
        <v>13</v>
      </c>
      <c r="H166" s="6" t="s">
        <v>32</v>
      </c>
    </row>
    <row r="167" spans="1:8" ht="14.25" customHeight="1" x14ac:dyDescent="0.25">
      <c r="A167" s="8">
        <v>46187</v>
      </c>
      <c r="B167" s="9" t="s">
        <v>15</v>
      </c>
      <c r="C167" s="9" t="s">
        <v>87</v>
      </c>
      <c r="D167" s="9" t="s">
        <v>34</v>
      </c>
      <c r="E167" s="9" t="s">
        <v>63</v>
      </c>
      <c r="F167" s="9" t="s">
        <v>73</v>
      </c>
      <c r="G167" s="10">
        <v>10</v>
      </c>
      <c r="H167" s="9" t="s">
        <v>36</v>
      </c>
    </row>
    <row r="168" spans="1:8" ht="14.25" customHeight="1" x14ac:dyDescent="0.25">
      <c r="A168" s="5">
        <v>46179</v>
      </c>
      <c r="B168" s="6" t="s">
        <v>5</v>
      </c>
      <c r="C168" s="6" t="s">
        <v>28</v>
      </c>
      <c r="D168" s="6" t="s">
        <v>38</v>
      </c>
      <c r="E168" s="6" t="s">
        <v>30</v>
      </c>
      <c r="F168" s="6" t="s">
        <v>78</v>
      </c>
      <c r="G168" s="7">
        <v>10</v>
      </c>
      <c r="H168" s="6" t="s">
        <v>32</v>
      </c>
    </row>
    <row r="169" spans="1:8" ht="14.25" customHeight="1" x14ac:dyDescent="0.25">
      <c r="A169" s="8">
        <v>46220</v>
      </c>
      <c r="B169" s="9" t="s">
        <v>92</v>
      </c>
      <c r="C169" s="9" t="s">
        <v>58</v>
      </c>
      <c r="D169" s="9" t="s">
        <v>56</v>
      </c>
      <c r="E169" s="9" t="s">
        <v>82</v>
      </c>
      <c r="F169" s="9" t="s">
        <v>53</v>
      </c>
      <c r="G169" s="10">
        <v>15</v>
      </c>
      <c r="H169" s="9" t="s">
        <v>36</v>
      </c>
    </row>
    <row r="170" spans="1:8" ht="14.25" customHeight="1" x14ac:dyDescent="0.25">
      <c r="A170" s="5">
        <v>46140</v>
      </c>
      <c r="B170" s="6" t="s">
        <v>76</v>
      </c>
      <c r="C170" s="6" t="s">
        <v>45</v>
      </c>
      <c r="D170" s="6" t="s">
        <v>29</v>
      </c>
      <c r="E170" s="6" t="s">
        <v>82</v>
      </c>
      <c r="F170" s="6" t="s">
        <v>59</v>
      </c>
      <c r="G170" s="7">
        <v>9</v>
      </c>
      <c r="H170" s="6" t="s">
        <v>62</v>
      </c>
    </row>
    <row r="171" spans="1:8" ht="14.25" customHeight="1" x14ac:dyDescent="0.25">
      <c r="A171" s="8">
        <v>46198</v>
      </c>
      <c r="B171" s="9" t="s">
        <v>79</v>
      </c>
      <c r="C171" s="9" t="s">
        <v>45</v>
      </c>
      <c r="D171" s="9" t="s">
        <v>56</v>
      </c>
      <c r="E171" s="9" t="s">
        <v>81</v>
      </c>
      <c r="F171" s="9" t="s">
        <v>78</v>
      </c>
      <c r="G171" s="10">
        <v>14</v>
      </c>
      <c r="H171" s="9" t="s">
        <v>54</v>
      </c>
    </row>
    <row r="172" spans="1:8" ht="14.25" customHeight="1" x14ac:dyDescent="0.25">
      <c r="A172" s="5">
        <v>46120</v>
      </c>
      <c r="B172" s="6" t="s">
        <v>12</v>
      </c>
      <c r="C172" s="6" t="s">
        <v>28</v>
      </c>
      <c r="D172" s="6" t="s">
        <v>34</v>
      </c>
      <c r="E172" s="6" t="s">
        <v>46</v>
      </c>
      <c r="F172" s="6" t="s">
        <v>51</v>
      </c>
      <c r="G172" s="7">
        <v>14</v>
      </c>
      <c r="H172" s="6" t="s">
        <v>62</v>
      </c>
    </row>
    <row r="173" spans="1:8" ht="14.25" customHeight="1" x14ac:dyDescent="0.25">
      <c r="A173" s="8">
        <v>46246</v>
      </c>
      <c r="B173" s="9" t="s">
        <v>9</v>
      </c>
      <c r="C173" s="9" t="s">
        <v>37</v>
      </c>
      <c r="D173" s="9" t="s">
        <v>34</v>
      </c>
      <c r="E173" s="9" t="s">
        <v>72</v>
      </c>
      <c r="F173" s="9" t="s">
        <v>53</v>
      </c>
      <c r="G173" s="10">
        <v>10</v>
      </c>
      <c r="H173" s="9" t="s">
        <v>36</v>
      </c>
    </row>
    <row r="174" spans="1:8" ht="14.25" customHeight="1" x14ac:dyDescent="0.25">
      <c r="A174" s="5">
        <v>46072</v>
      </c>
      <c r="B174" s="6" t="s">
        <v>79</v>
      </c>
      <c r="C174" s="6" t="s">
        <v>45</v>
      </c>
      <c r="D174" s="6" t="s">
        <v>38</v>
      </c>
      <c r="E174" s="6" t="s">
        <v>82</v>
      </c>
      <c r="F174" s="6" t="s">
        <v>59</v>
      </c>
      <c r="G174" s="7">
        <v>15</v>
      </c>
      <c r="H174" s="6" t="s">
        <v>32</v>
      </c>
    </row>
    <row r="175" spans="1:8" ht="14.25" customHeight="1" x14ac:dyDescent="0.25">
      <c r="A175" s="8">
        <v>46197</v>
      </c>
      <c r="B175" s="9" t="s">
        <v>70</v>
      </c>
      <c r="C175" s="9" t="s">
        <v>77</v>
      </c>
      <c r="D175" s="9" t="s">
        <v>49</v>
      </c>
      <c r="E175" s="9" t="s">
        <v>94</v>
      </c>
      <c r="F175" s="9" t="s">
        <v>61</v>
      </c>
      <c r="G175" s="10">
        <v>5</v>
      </c>
      <c r="H175" s="9" t="s">
        <v>62</v>
      </c>
    </row>
    <row r="176" spans="1:8" ht="14.25" customHeight="1" x14ac:dyDescent="0.25">
      <c r="A176" s="5">
        <v>46057</v>
      </c>
      <c r="B176" s="6" t="s">
        <v>7</v>
      </c>
      <c r="C176" s="6" t="s">
        <v>28</v>
      </c>
      <c r="D176" s="6" t="s">
        <v>56</v>
      </c>
      <c r="E176" s="6" t="s">
        <v>94</v>
      </c>
      <c r="F176" s="6" t="s">
        <v>61</v>
      </c>
      <c r="G176" s="7">
        <v>15</v>
      </c>
      <c r="H176" s="6" t="s">
        <v>32</v>
      </c>
    </row>
    <row r="177" spans="1:8" ht="14.25" customHeight="1" x14ac:dyDescent="0.25">
      <c r="A177" s="8">
        <v>46033</v>
      </c>
      <c r="B177" s="9" t="s">
        <v>9</v>
      </c>
      <c r="C177" s="9" t="s">
        <v>45</v>
      </c>
      <c r="D177" s="9" t="s">
        <v>34</v>
      </c>
      <c r="E177" s="9" t="s">
        <v>57</v>
      </c>
      <c r="F177" s="9" t="s">
        <v>73</v>
      </c>
      <c r="G177" s="10">
        <v>13</v>
      </c>
      <c r="H177" s="9" t="s">
        <v>54</v>
      </c>
    </row>
    <row r="178" spans="1:8" ht="14.25" customHeight="1" x14ac:dyDescent="0.25">
      <c r="A178" s="5">
        <v>46241</v>
      </c>
      <c r="B178" s="6" t="s">
        <v>79</v>
      </c>
      <c r="C178" s="6" t="s">
        <v>89</v>
      </c>
      <c r="D178" s="6" t="s">
        <v>38</v>
      </c>
      <c r="E178" s="6" t="s">
        <v>57</v>
      </c>
      <c r="F178" s="6" t="s">
        <v>40</v>
      </c>
      <c r="G178" s="7">
        <v>9</v>
      </c>
      <c r="H178" s="6" t="s">
        <v>54</v>
      </c>
    </row>
    <row r="179" spans="1:8" ht="14.25" customHeight="1" x14ac:dyDescent="0.25">
      <c r="A179" s="8">
        <v>46123</v>
      </c>
      <c r="B179" s="9" t="s">
        <v>70</v>
      </c>
      <c r="C179" s="9" t="s">
        <v>48</v>
      </c>
      <c r="D179" s="9" t="s">
        <v>34</v>
      </c>
      <c r="E179" s="9" t="s">
        <v>39</v>
      </c>
      <c r="F179" s="9" t="s">
        <v>73</v>
      </c>
      <c r="G179" s="10">
        <v>9</v>
      </c>
      <c r="H179" s="9" t="s">
        <v>36</v>
      </c>
    </row>
    <row r="180" spans="1:8" ht="14.25" customHeight="1" x14ac:dyDescent="0.25">
      <c r="A180" s="5">
        <v>46026</v>
      </c>
      <c r="B180" s="6" t="s">
        <v>15</v>
      </c>
      <c r="C180" s="6" t="s">
        <v>77</v>
      </c>
      <c r="D180" s="6" t="s">
        <v>38</v>
      </c>
      <c r="E180" s="6" t="s">
        <v>46</v>
      </c>
      <c r="F180" s="6" t="s">
        <v>78</v>
      </c>
      <c r="G180" s="7">
        <v>9</v>
      </c>
      <c r="H180" s="6" t="s">
        <v>36</v>
      </c>
    </row>
    <row r="181" spans="1:8" ht="14.25" customHeight="1" x14ac:dyDescent="0.25">
      <c r="A181" s="8">
        <v>46089</v>
      </c>
      <c r="B181" s="9" t="s">
        <v>92</v>
      </c>
      <c r="C181" s="9" t="s">
        <v>28</v>
      </c>
      <c r="D181" s="9" t="s">
        <v>49</v>
      </c>
      <c r="E181" s="9" t="s">
        <v>94</v>
      </c>
      <c r="F181" s="9" t="s">
        <v>59</v>
      </c>
      <c r="G181" s="10">
        <v>3</v>
      </c>
      <c r="H181" s="9" t="s">
        <v>54</v>
      </c>
    </row>
    <row r="182" spans="1:8" ht="14.25" customHeight="1" x14ac:dyDescent="0.25">
      <c r="A182" s="5">
        <v>46106</v>
      </c>
      <c r="B182" s="6" t="s">
        <v>85</v>
      </c>
      <c r="C182" s="6" t="s">
        <v>45</v>
      </c>
      <c r="D182" s="6" t="s">
        <v>56</v>
      </c>
      <c r="E182" s="6" t="s">
        <v>82</v>
      </c>
      <c r="F182" s="6" t="s">
        <v>51</v>
      </c>
      <c r="G182" s="7">
        <v>2</v>
      </c>
      <c r="H182" s="6" t="s">
        <v>62</v>
      </c>
    </row>
    <row r="183" spans="1:8" ht="14.25" customHeight="1" x14ac:dyDescent="0.25">
      <c r="A183" s="8">
        <v>46165</v>
      </c>
      <c r="B183" s="9" t="s">
        <v>44</v>
      </c>
      <c r="C183" s="9" t="s">
        <v>42</v>
      </c>
      <c r="D183" s="9" t="s">
        <v>29</v>
      </c>
      <c r="E183" s="9" t="s">
        <v>80</v>
      </c>
      <c r="F183" s="9" t="s">
        <v>64</v>
      </c>
      <c r="G183" s="10">
        <v>6</v>
      </c>
      <c r="H183" s="9" t="s">
        <v>32</v>
      </c>
    </row>
    <row r="184" spans="1:8" ht="14.25" customHeight="1" x14ac:dyDescent="0.25">
      <c r="A184" s="5">
        <v>46153</v>
      </c>
      <c r="B184" s="6" t="s">
        <v>68</v>
      </c>
      <c r="C184" s="6" t="s">
        <v>87</v>
      </c>
      <c r="D184" s="6" t="s">
        <v>56</v>
      </c>
      <c r="E184" s="6" t="s">
        <v>69</v>
      </c>
      <c r="F184" s="6" t="s">
        <v>53</v>
      </c>
      <c r="G184" s="7">
        <v>4</v>
      </c>
      <c r="H184" s="6" t="s">
        <v>36</v>
      </c>
    </row>
    <row r="185" spans="1:8" ht="14.25" customHeight="1" x14ac:dyDescent="0.25">
      <c r="A185" s="8">
        <v>46211</v>
      </c>
      <c r="B185" s="9" t="s">
        <v>88</v>
      </c>
      <c r="C185" s="9" t="s">
        <v>58</v>
      </c>
      <c r="D185" s="9" t="s">
        <v>34</v>
      </c>
      <c r="E185" s="9" t="s">
        <v>82</v>
      </c>
      <c r="F185" s="9" t="s">
        <v>66</v>
      </c>
      <c r="G185" s="10">
        <v>7</v>
      </c>
      <c r="H185" s="9" t="s">
        <v>36</v>
      </c>
    </row>
    <row r="186" spans="1:8" ht="14.25" customHeight="1" x14ac:dyDescent="0.25">
      <c r="A186" s="5">
        <v>46084</v>
      </c>
      <c r="B186" s="6" t="s">
        <v>33</v>
      </c>
      <c r="C186" s="6" t="s">
        <v>77</v>
      </c>
      <c r="D186" s="6" t="s">
        <v>49</v>
      </c>
      <c r="E186" s="6" t="s">
        <v>72</v>
      </c>
      <c r="F186" s="6" t="s">
        <v>43</v>
      </c>
      <c r="G186" s="7">
        <v>14</v>
      </c>
      <c r="H186" s="6" t="s">
        <v>36</v>
      </c>
    </row>
    <row r="187" spans="1:8" ht="14.25" customHeight="1" x14ac:dyDescent="0.25">
      <c r="A187" s="8">
        <v>46094</v>
      </c>
      <c r="B187" s="9" t="s">
        <v>33</v>
      </c>
      <c r="C187" s="9" t="s">
        <v>42</v>
      </c>
      <c r="D187" s="9" t="s">
        <v>29</v>
      </c>
      <c r="E187" s="9" t="s">
        <v>35</v>
      </c>
      <c r="F187" s="9" t="s">
        <v>84</v>
      </c>
      <c r="G187" s="10">
        <v>12</v>
      </c>
      <c r="H187" s="9" t="s">
        <v>32</v>
      </c>
    </row>
    <row r="188" spans="1:8" ht="14.25" customHeight="1" x14ac:dyDescent="0.25">
      <c r="A188" s="5">
        <v>46239</v>
      </c>
      <c r="B188" s="6" t="s">
        <v>76</v>
      </c>
      <c r="C188" s="6" t="s">
        <v>58</v>
      </c>
      <c r="D188" s="6" t="s">
        <v>29</v>
      </c>
      <c r="E188" s="6" t="s">
        <v>82</v>
      </c>
      <c r="F188" s="6" t="s">
        <v>47</v>
      </c>
      <c r="G188" s="7">
        <v>11</v>
      </c>
      <c r="H188" s="6" t="s">
        <v>36</v>
      </c>
    </row>
    <row r="189" spans="1:8" ht="14.25" customHeight="1" x14ac:dyDescent="0.25">
      <c r="A189" s="8">
        <v>46175</v>
      </c>
      <c r="B189" s="9" t="s">
        <v>88</v>
      </c>
      <c r="C189" s="9" t="s">
        <v>48</v>
      </c>
      <c r="D189" s="9" t="s">
        <v>38</v>
      </c>
      <c r="E189" s="9" t="s">
        <v>69</v>
      </c>
      <c r="F189" s="9" t="s">
        <v>47</v>
      </c>
      <c r="G189" s="10">
        <v>4</v>
      </c>
      <c r="H189" s="9" t="s">
        <v>32</v>
      </c>
    </row>
    <row r="190" spans="1:8" ht="14.25" customHeight="1" x14ac:dyDescent="0.25">
      <c r="A190" s="5">
        <v>46039</v>
      </c>
      <c r="B190" s="6" t="s">
        <v>60</v>
      </c>
      <c r="C190" s="6" t="s">
        <v>28</v>
      </c>
      <c r="D190" s="6" t="s">
        <v>29</v>
      </c>
      <c r="E190" s="6" t="s">
        <v>30</v>
      </c>
      <c r="F190" s="6" t="s">
        <v>78</v>
      </c>
      <c r="G190" s="7">
        <v>4</v>
      </c>
      <c r="H190" s="6" t="s">
        <v>32</v>
      </c>
    </row>
    <row r="191" spans="1:8" ht="14.25" customHeight="1" x14ac:dyDescent="0.25">
      <c r="A191" s="8">
        <v>46210</v>
      </c>
      <c r="B191" s="9" t="s">
        <v>76</v>
      </c>
      <c r="C191" s="9" t="s">
        <v>37</v>
      </c>
      <c r="D191" s="9" t="s">
        <v>34</v>
      </c>
      <c r="E191" s="9" t="s">
        <v>72</v>
      </c>
      <c r="F191" s="9" t="s">
        <v>66</v>
      </c>
      <c r="G191" s="10">
        <v>3</v>
      </c>
      <c r="H191" s="9" t="s">
        <v>36</v>
      </c>
    </row>
    <row r="192" spans="1:8" ht="14.25" customHeight="1" x14ac:dyDescent="0.25">
      <c r="A192" s="5">
        <v>46165</v>
      </c>
      <c r="B192" s="6" t="s">
        <v>79</v>
      </c>
      <c r="C192" s="6" t="s">
        <v>77</v>
      </c>
      <c r="D192" s="6" t="s">
        <v>56</v>
      </c>
      <c r="E192" s="6" t="s">
        <v>75</v>
      </c>
      <c r="F192" s="6" t="s">
        <v>59</v>
      </c>
      <c r="G192" s="7">
        <v>15</v>
      </c>
      <c r="H192" s="6" t="s">
        <v>36</v>
      </c>
    </row>
    <row r="193" spans="1:8" ht="14.25" customHeight="1" x14ac:dyDescent="0.25">
      <c r="A193" s="8">
        <v>46072</v>
      </c>
      <c r="B193" s="9" t="s">
        <v>27</v>
      </c>
      <c r="C193" s="9" t="s">
        <v>42</v>
      </c>
      <c r="D193" s="9" t="s">
        <v>49</v>
      </c>
      <c r="E193" s="9" t="s">
        <v>95</v>
      </c>
      <c r="F193" s="9" t="s">
        <v>59</v>
      </c>
      <c r="G193" s="10">
        <v>9</v>
      </c>
      <c r="H193" s="9" t="s">
        <v>36</v>
      </c>
    </row>
    <row r="194" spans="1:8" ht="14.25" customHeight="1" x14ac:dyDescent="0.25">
      <c r="A194" s="5">
        <v>46118</v>
      </c>
      <c r="B194" s="6" t="s">
        <v>52</v>
      </c>
      <c r="C194" s="6" t="s">
        <v>89</v>
      </c>
      <c r="D194" s="6" t="s">
        <v>49</v>
      </c>
      <c r="E194" s="6" t="s">
        <v>82</v>
      </c>
      <c r="F194" s="6" t="s">
        <v>53</v>
      </c>
      <c r="G194" s="7">
        <v>12</v>
      </c>
      <c r="H194" s="6" t="s">
        <v>32</v>
      </c>
    </row>
    <row r="195" spans="1:8" ht="14.25" customHeight="1" x14ac:dyDescent="0.25">
      <c r="A195" s="8">
        <v>46105</v>
      </c>
      <c r="B195" s="9" t="s">
        <v>79</v>
      </c>
      <c r="C195" s="9" t="s">
        <v>89</v>
      </c>
      <c r="D195" s="9" t="s">
        <v>49</v>
      </c>
      <c r="E195" s="9" t="s">
        <v>72</v>
      </c>
      <c r="F195" s="9" t="s">
        <v>51</v>
      </c>
      <c r="G195" s="10">
        <v>5</v>
      </c>
      <c r="H195" s="9" t="s">
        <v>54</v>
      </c>
    </row>
    <row r="196" spans="1:8" ht="14.25" customHeight="1" x14ac:dyDescent="0.25">
      <c r="A196" s="5">
        <v>46117</v>
      </c>
      <c r="B196" s="6" t="s">
        <v>44</v>
      </c>
      <c r="C196" s="6" t="s">
        <v>37</v>
      </c>
      <c r="D196" s="6" t="s">
        <v>56</v>
      </c>
      <c r="E196" s="6" t="s">
        <v>63</v>
      </c>
      <c r="F196" s="6" t="s">
        <v>61</v>
      </c>
      <c r="G196" s="7">
        <v>4</v>
      </c>
      <c r="H196" s="6" t="s">
        <v>62</v>
      </c>
    </row>
    <row r="197" spans="1:8" ht="14.25" customHeight="1" x14ac:dyDescent="0.25">
      <c r="A197" s="8">
        <v>46223</v>
      </c>
      <c r="B197" s="9" t="s">
        <v>83</v>
      </c>
      <c r="C197" s="9" t="s">
        <v>48</v>
      </c>
      <c r="D197" s="9" t="s">
        <v>49</v>
      </c>
      <c r="E197" s="9" t="s">
        <v>69</v>
      </c>
      <c r="F197" s="9" t="s">
        <v>91</v>
      </c>
      <c r="G197" s="10">
        <v>10</v>
      </c>
      <c r="H197" s="9" t="s">
        <v>36</v>
      </c>
    </row>
    <row r="198" spans="1:8" ht="14.25" customHeight="1" x14ac:dyDescent="0.25">
      <c r="A198" s="5">
        <v>46221</v>
      </c>
      <c r="B198" s="6" t="s">
        <v>90</v>
      </c>
      <c r="C198" s="6" t="s">
        <v>74</v>
      </c>
      <c r="D198" s="6" t="s">
        <v>29</v>
      </c>
      <c r="E198" s="6" t="s">
        <v>95</v>
      </c>
      <c r="F198" s="6" t="s">
        <v>51</v>
      </c>
      <c r="G198" s="7">
        <v>4</v>
      </c>
      <c r="H198" s="6" t="s">
        <v>62</v>
      </c>
    </row>
    <row r="199" spans="1:8" ht="14.25" customHeight="1" x14ac:dyDescent="0.25">
      <c r="A199" s="8">
        <v>46248</v>
      </c>
      <c r="B199" s="9" t="s">
        <v>85</v>
      </c>
      <c r="C199" s="9" t="s">
        <v>77</v>
      </c>
      <c r="D199" s="9" t="s">
        <v>38</v>
      </c>
      <c r="E199" s="9" t="s">
        <v>46</v>
      </c>
      <c r="F199" s="9" t="s">
        <v>53</v>
      </c>
      <c r="G199" s="10">
        <v>1</v>
      </c>
      <c r="H199" s="9" t="s">
        <v>32</v>
      </c>
    </row>
    <row r="200" spans="1:8" ht="14.25" customHeight="1" x14ac:dyDescent="0.25">
      <c r="A200" s="5">
        <v>46054</v>
      </c>
      <c r="B200" s="6" t="s">
        <v>5</v>
      </c>
      <c r="C200" s="6" t="s">
        <v>37</v>
      </c>
      <c r="D200" s="6" t="s">
        <v>49</v>
      </c>
      <c r="E200" s="6" t="s">
        <v>63</v>
      </c>
      <c r="F200" s="6" t="s">
        <v>66</v>
      </c>
      <c r="G200" s="7">
        <v>13</v>
      </c>
      <c r="H200" s="6" t="s">
        <v>36</v>
      </c>
    </row>
    <row r="201" spans="1:8" ht="14.25" customHeight="1" x14ac:dyDescent="0.25">
      <c r="A201" s="8">
        <v>46094</v>
      </c>
      <c r="B201" s="9" t="s">
        <v>33</v>
      </c>
      <c r="C201" s="9" t="s">
        <v>89</v>
      </c>
      <c r="D201" s="9" t="s">
        <v>56</v>
      </c>
      <c r="E201" s="9" t="s">
        <v>46</v>
      </c>
      <c r="F201" s="9" t="s">
        <v>91</v>
      </c>
      <c r="G201" s="10">
        <v>7</v>
      </c>
      <c r="H201" s="9" t="s">
        <v>36</v>
      </c>
    </row>
    <row r="202" spans="1:8" ht="14.25" customHeight="1" x14ac:dyDescent="0.25">
      <c r="A202" s="5">
        <v>46187</v>
      </c>
      <c r="B202" s="6" t="s">
        <v>7</v>
      </c>
      <c r="C202" s="6" t="s">
        <v>37</v>
      </c>
      <c r="D202" s="6" t="s">
        <v>56</v>
      </c>
      <c r="E202" s="6" t="s">
        <v>39</v>
      </c>
      <c r="F202" s="6" t="s">
        <v>59</v>
      </c>
      <c r="G202" s="7">
        <v>10</v>
      </c>
      <c r="H202" s="6" t="s">
        <v>54</v>
      </c>
    </row>
    <row r="203" spans="1:8" ht="14.25" customHeight="1" x14ac:dyDescent="0.25">
      <c r="A203" s="8">
        <v>46047</v>
      </c>
      <c r="B203" s="9" t="s">
        <v>83</v>
      </c>
      <c r="C203" s="9" t="s">
        <v>37</v>
      </c>
      <c r="D203" s="9" t="s">
        <v>56</v>
      </c>
      <c r="E203" s="9" t="s">
        <v>69</v>
      </c>
      <c r="F203" s="9" t="s">
        <v>78</v>
      </c>
      <c r="G203" s="10">
        <v>5</v>
      </c>
      <c r="H203" s="9" t="s">
        <v>54</v>
      </c>
    </row>
    <row r="204" spans="1:8" ht="14.25" customHeight="1" x14ac:dyDescent="0.25">
      <c r="A204" s="5">
        <v>46108</v>
      </c>
      <c r="B204" s="6" t="s">
        <v>8</v>
      </c>
      <c r="C204" s="6" t="s">
        <v>71</v>
      </c>
      <c r="D204" s="6" t="s">
        <v>29</v>
      </c>
      <c r="E204" s="6" t="s">
        <v>46</v>
      </c>
      <c r="F204" s="6" t="s">
        <v>59</v>
      </c>
      <c r="G204" s="7">
        <v>2</v>
      </c>
      <c r="H204" s="6" t="s">
        <v>62</v>
      </c>
    </row>
    <row r="205" spans="1:8" ht="14.25" customHeight="1" x14ac:dyDescent="0.25">
      <c r="A205" s="8">
        <v>46198</v>
      </c>
      <c r="B205" s="9" t="s">
        <v>70</v>
      </c>
      <c r="C205" s="9" t="s">
        <v>77</v>
      </c>
      <c r="D205" s="9" t="s">
        <v>56</v>
      </c>
      <c r="E205" s="9" t="s">
        <v>39</v>
      </c>
      <c r="F205" s="9" t="s">
        <v>47</v>
      </c>
      <c r="G205" s="10">
        <v>8</v>
      </c>
      <c r="H205" s="9" t="s">
        <v>36</v>
      </c>
    </row>
    <row r="206" spans="1:8" ht="14.25" customHeight="1" x14ac:dyDescent="0.25">
      <c r="A206" s="5">
        <v>46223</v>
      </c>
      <c r="B206" s="6" t="s">
        <v>12</v>
      </c>
      <c r="C206" s="6" t="s">
        <v>37</v>
      </c>
      <c r="D206" s="6" t="s">
        <v>56</v>
      </c>
      <c r="E206" s="6" t="s">
        <v>69</v>
      </c>
      <c r="F206" s="6" t="s">
        <v>64</v>
      </c>
      <c r="G206" s="7">
        <v>4</v>
      </c>
      <c r="H206" s="6" t="s">
        <v>36</v>
      </c>
    </row>
    <row r="207" spans="1:8" ht="14.25" customHeight="1" x14ac:dyDescent="0.25">
      <c r="A207" s="8">
        <v>46046</v>
      </c>
      <c r="B207" s="9" t="s">
        <v>33</v>
      </c>
      <c r="C207" s="9" t="s">
        <v>71</v>
      </c>
      <c r="D207" s="9" t="s">
        <v>29</v>
      </c>
      <c r="E207" s="9" t="s">
        <v>80</v>
      </c>
      <c r="F207" s="9" t="s">
        <v>64</v>
      </c>
      <c r="G207" s="10">
        <v>10</v>
      </c>
      <c r="H207" s="9" t="s">
        <v>36</v>
      </c>
    </row>
    <row r="208" spans="1:8" ht="14.25" customHeight="1" x14ac:dyDescent="0.25">
      <c r="A208" s="5">
        <v>46119</v>
      </c>
      <c r="B208" s="6" t="s">
        <v>79</v>
      </c>
      <c r="C208" s="6" t="s">
        <v>48</v>
      </c>
      <c r="D208" s="6" t="s">
        <v>38</v>
      </c>
      <c r="E208" s="6" t="s">
        <v>46</v>
      </c>
      <c r="F208" s="6" t="s">
        <v>78</v>
      </c>
      <c r="G208" s="7">
        <v>12</v>
      </c>
      <c r="H208" s="6" t="s">
        <v>32</v>
      </c>
    </row>
    <row r="209" spans="1:8" ht="14.25" customHeight="1" x14ac:dyDescent="0.25">
      <c r="A209" s="8">
        <v>46117</v>
      </c>
      <c r="B209" s="9" t="s">
        <v>8</v>
      </c>
      <c r="C209" s="9" t="s">
        <v>28</v>
      </c>
      <c r="D209" s="9" t="s">
        <v>38</v>
      </c>
      <c r="E209" s="9" t="s">
        <v>69</v>
      </c>
      <c r="F209" s="9" t="s">
        <v>31</v>
      </c>
      <c r="G209" s="10">
        <v>4</v>
      </c>
      <c r="H209" s="9" t="s">
        <v>36</v>
      </c>
    </row>
    <row r="210" spans="1:8" ht="14.25" customHeight="1" x14ac:dyDescent="0.25">
      <c r="A210" s="5">
        <v>46091</v>
      </c>
      <c r="B210" s="6" t="s">
        <v>8</v>
      </c>
      <c r="C210" s="6" t="s">
        <v>28</v>
      </c>
      <c r="D210" s="6" t="s">
        <v>56</v>
      </c>
      <c r="E210" s="6" t="s">
        <v>82</v>
      </c>
      <c r="F210" s="6" t="s">
        <v>53</v>
      </c>
      <c r="G210" s="7">
        <v>6</v>
      </c>
      <c r="H210" s="6" t="s">
        <v>54</v>
      </c>
    </row>
    <row r="211" spans="1:8" ht="14.25" customHeight="1" x14ac:dyDescent="0.25">
      <c r="A211" s="8">
        <v>46150</v>
      </c>
      <c r="B211" s="9" t="s">
        <v>85</v>
      </c>
      <c r="C211" s="9" t="s">
        <v>37</v>
      </c>
      <c r="D211" s="9" t="s">
        <v>29</v>
      </c>
      <c r="E211" s="9" t="s">
        <v>50</v>
      </c>
      <c r="F211" s="9" t="s">
        <v>43</v>
      </c>
      <c r="G211" s="10">
        <v>4</v>
      </c>
      <c r="H211" s="9" t="s">
        <v>36</v>
      </c>
    </row>
    <row r="212" spans="1:8" ht="14.25" customHeight="1" x14ac:dyDescent="0.25">
      <c r="A212" s="5">
        <v>46181</v>
      </c>
      <c r="B212" s="6" t="s">
        <v>7</v>
      </c>
      <c r="C212" s="6" t="s">
        <v>58</v>
      </c>
      <c r="D212" s="6" t="s">
        <v>38</v>
      </c>
      <c r="E212" s="6" t="s">
        <v>94</v>
      </c>
      <c r="F212" s="6" t="s">
        <v>31</v>
      </c>
      <c r="G212" s="7">
        <v>5</v>
      </c>
      <c r="H212" s="6" t="s">
        <v>36</v>
      </c>
    </row>
    <row r="213" spans="1:8" ht="14.25" customHeight="1" x14ac:dyDescent="0.25">
      <c r="A213" s="8">
        <v>46097</v>
      </c>
      <c r="B213" s="9" t="s">
        <v>33</v>
      </c>
      <c r="C213" s="9" t="s">
        <v>77</v>
      </c>
      <c r="D213" s="9" t="s">
        <v>38</v>
      </c>
      <c r="E213" s="9" t="s">
        <v>63</v>
      </c>
      <c r="F213" s="9" t="s">
        <v>53</v>
      </c>
      <c r="G213" s="10">
        <v>5</v>
      </c>
      <c r="H213" s="9" t="s">
        <v>36</v>
      </c>
    </row>
    <row r="214" spans="1:8" ht="14.25" customHeight="1" x14ac:dyDescent="0.25">
      <c r="A214" s="5">
        <v>46193</v>
      </c>
      <c r="B214" s="6" t="s">
        <v>52</v>
      </c>
      <c r="C214" s="6" t="s">
        <v>74</v>
      </c>
      <c r="D214" s="6" t="s">
        <v>34</v>
      </c>
      <c r="E214" s="6" t="s">
        <v>94</v>
      </c>
      <c r="F214" s="6" t="s">
        <v>91</v>
      </c>
      <c r="G214" s="7">
        <v>11</v>
      </c>
      <c r="H214" s="6" t="s">
        <v>32</v>
      </c>
    </row>
    <row r="215" spans="1:8" ht="14.25" customHeight="1" x14ac:dyDescent="0.25">
      <c r="A215" s="8">
        <v>46204</v>
      </c>
      <c r="B215" s="9" t="s">
        <v>52</v>
      </c>
      <c r="C215" s="9" t="s">
        <v>87</v>
      </c>
      <c r="D215" s="9" t="s">
        <v>34</v>
      </c>
      <c r="E215" s="9" t="s">
        <v>75</v>
      </c>
      <c r="F215" s="9" t="s">
        <v>31</v>
      </c>
      <c r="G215" s="10">
        <v>3</v>
      </c>
      <c r="H215" s="9" t="s">
        <v>32</v>
      </c>
    </row>
    <row r="216" spans="1:8" ht="14.25" customHeight="1" x14ac:dyDescent="0.25">
      <c r="A216" s="5">
        <v>46061</v>
      </c>
      <c r="B216" s="6" t="s">
        <v>27</v>
      </c>
      <c r="C216" s="6" t="s">
        <v>37</v>
      </c>
      <c r="D216" s="6" t="s">
        <v>38</v>
      </c>
      <c r="E216" s="6" t="s">
        <v>46</v>
      </c>
      <c r="F216" s="6" t="s">
        <v>47</v>
      </c>
      <c r="G216" s="7">
        <v>4</v>
      </c>
      <c r="H216" s="6" t="s">
        <v>36</v>
      </c>
    </row>
    <row r="217" spans="1:8" ht="14.25" customHeight="1" x14ac:dyDescent="0.25">
      <c r="A217" s="8">
        <v>46187</v>
      </c>
      <c r="B217" s="9" t="s">
        <v>10</v>
      </c>
      <c r="C217" s="9" t="s">
        <v>45</v>
      </c>
      <c r="D217" s="9" t="s">
        <v>49</v>
      </c>
      <c r="E217" s="9" t="s">
        <v>50</v>
      </c>
      <c r="F217" s="9" t="s">
        <v>73</v>
      </c>
      <c r="G217" s="10">
        <v>8</v>
      </c>
      <c r="H217" s="9" t="s">
        <v>54</v>
      </c>
    </row>
    <row r="218" spans="1:8" ht="14.25" customHeight="1" x14ac:dyDescent="0.25">
      <c r="A218" s="5">
        <v>46148</v>
      </c>
      <c r="B218" s="6" t="s">
        <v>9</v>
      </c>
      <c r="C218" s="6" t="s">
        <v>89</v>
      </c>
      <c r="D218" s="6" t="s">
        <v>29</v>
      </c>
      <c r="E218" s="6" t="s">
        <v>69</v>
      </c>
      <c r="F218" s="6" t="s">
        <v>31</v>
      </c>
      <c r="G218" s="7">
        <v>8</v>
      </c>
      <c r="H218" s="6" t="s">
        <v>54</v>
      </c>
    </row>
    <row r="219" spans="1:8" ht="14.25" customHeight="1" x14ac:dyDescent="0.25">
      <c r="A219" s="8">
        <v>46080</v>
      </c>
      <c r="B219" s="9" t="s">
        <v>41</v>
      </c>
      <c r="C219" s="9" t="s">
        <v>58</v>
      </c>
      <c r="D219" s="9" t="s">
        <v>49</v>
      </c>
      <c r="E219" s="9" t="s">
        <v>72</v>
      </c>
      <c r="F219" s="9" t="s">
        <v>40</v>
      </c>
      <c r="G219" s="10">
        <v>8</v>
      </c>
      <c r="H219" s="9" t="s">
        <v>54</v>
      </c>
    </row>
    <row r="220" spans="1:8" ht="14.25" customHeight="1" x14ac:dyDescent="0.25">
      <c r="A220" s="5">
        <v>46151</v>
      </c>
      <c r="B220" s="6" t="s">
        <v>70</v>
      </c>
      <c r="C220" s="6" t="s">
        <v>42</v>
      </c>
      <c r="D220" s="6" t="s">
        <v>29</v>
      </c>
      <c r="E220" s="6" t="s">
        <v>82</v>
      </c>
      <c r="F220" s="6" t="s">
        <v>31</v>
      </c>
      <c r="G220" s="7">
        <v>6</v>
      </c>
      <c r="H220" s="6" t="s">
        <v>36</v>
      </c>
    </row>
    <row r="221" spans="1:8" ht="14.25" customHeight="1" x14ac:dyDescent="0.25">
      <c r="A221" s="8">
        <v>46083</v>
      </c>
      <c r="B221" s="9" t="s">
        <v>41</v>
      </c>
      <c r="C221" s="9" t="s">
        <v>45</v>
      </c>
      <c r="D221" s="9" t="s">
        <v>56</v>
      </c>
      <c r="E221" s="9" t="s">
        <v>95</v>
      </c>
      <c r="F221" s="9" t="s">
        <v>43</v>
      </c>
      <c r="G221" s="10">
        <v>4</v>
      </c>
      <c r="H221" s="9" t="s">
        <v>62</v>
      </c>
    </row>
    <row r="222" spans="1:8" ht="14.25" customHeight="1" x14ac:dyDescent="0.25">
      <c r="A222" s="5">
        <v>46245</v>
      </c>
      <c r="B222" s="6" t="s">
        <v>5</v>
      </c>
      <c r="C222" s="6" t="s">
        <v>28</v>
      </c>
      <c r="D222" s="6" t="s">
        <v>49</v>
      </c>
      <c r="E222" s="6" t="s">
        <v>69</v>
      </c>
      <c r="F222" s="6" t="s">
        <v>59</v>
      </c>
      <c r="G222" s="7">
        <v>14</v>
      </c>
      <c r="H222" s="6" t="s">
        <v>62</v>
      </c>
    </row>
    <row r="223" spans="1:8" ht="14.25" customHeight="1" x14ac:dyDescent="0.25">
      <c r="A223" s="8">
        <v>46052</v>
      </c>
      <c r="B223" s="9" t="s">
        <v>83</v>
      </c>
      <c r="C223" s="9" t="s">
        <v>37</v>
      </c>
      <c r="D223" s="9" t="s">
        <v>38</v>
      </c>
      <c r="E223" s="9" t="s">
        <v>50</v>
      </c>
      <c r="F223" s="9" t="s">
        <v>91</v>
      </c>
      <c r="G223" s="10">
        <v>7</v>
      </c>
      <c r="H223" s="9" t="s">
        <v>62</v>
      </c>
    </row>
    <row r="224" spans="1:8" ht="14.25" customHeight="1" x14ac:dyDescent="0.25">
      <c r="A224" s="5">
        <v>46141</v>
      </c>
      <c r="B224" s="6" t="s">
        <v>12</v>
      </c>
      <c r="C224" s="6" t="s">
        <v>37</v>
      </c>
      <c r="D224" s="6" t="s">
        <v>56</v>
      </c>
      <c r="E224" s="6" t="s">
        <v>94</v>
      </c>
      <c r="F224" s="6" t="s">
        <v>64</v>
      </c>
      <c r="G224" s="7">
        <v>8</v>
      </c>
      <c r="H224" s="6" t="s">
        <v>32</v>
      </c>
    </row>
    <row r="225" spans="1:8" ht="14.25" customHeight="1" x14ac:dyDescent="0.25">
      <c r="A225" s="8">
        <v>46054</v>
      </c>
      <c r="B225" s="9" t="s">
        <v>10</v>
      </c>
      <c r="C225" s="9" t="s">
        <v>28</v>
      </c>
      <c r="D225" s="9" t="s">
        <v>34</v>
      </c>
      <c r="E225" s="9" t="s">
        <v>63</v>
      </c>
      <c r="F225" s="9" t="s">
        <v>53</v>
      </c>
      <c r="G225" s="10">
        <v>12</v>
      </c>
      <c r="H225" s="9" t="s">
        <v>36</v>
      </c>
    </row>
    <row r="226" spans="1:8" ht="14.25" customHeight="1" x14ac:dyDescent="0.25">
      <c r="A226" s="5">
        <v>46037</v>
      </c>
      <c r="B226" s="6" t="s">
        <v>88</v>
      </c>
      <c r="C226" s="6" t="s">
        <v>28</v>
      </c>
      <c r="D226" s="6" t="s">
        <v>56</v>
      </c>
      <c r="E226" s="6" t="s">
        <v>81</v>
      </c>
      <c r="F226" s="6" t="s">
        <v>47</v>
      </c>
      <c r="G226" s="7">
        <v>8</v>
      </c>
      <c r="H226" s="6" t="s">
        <v>36</v>
      </c>
    </row>
    <row r="227" spans="1:8" ht="14.25" customHeight="1" x14ac:dyDescent="0.25">
      <c r="A227" s="8">
        <v>46157</v>
      </c>
      <c r="B227" s="9" t="s">
        <v>60</v>
      </c>
      <c r="C227" s="9" t="s">
        <v>89</v>
      </c>
      <c r="D227" s="9" t="s">
        <v>29</v>
      </c>
      <c r="E227" s="9" t="s">
        <v>50</v>
      </c>
      <c r="F227" s="9" t="s">
        <v>78</v>
      </c>
      <c r="G227" s="10">
        <v>11</v>
      </c>
      <c r="H227" s="9" t="s">
        <v>54</v>
      </c>
    </row>
    <row r="228" spans="1:8" ht="14.25" customHeight="1" x14ac:dyDescent="0.25">
      <c r="A228" s="5">
        <v>46239</v>
      </c>
      <c r="B228" s="6" t="s">
        <v>44</v>
      </c>
      <c r="C228" s="6" t="s">
        <v>42</v>
      </c>
      <c r="D228" s="6" t="s">
        <v>56</v>
      </c>
      <c r="E228" s="6" t="s">
        <v>69</v>
      </c>
      <c r="F228" s="6" t="s">
        <v>73</v>
      </c>
      <c r="G228" s="7">
        <v>2</v>
      </c>
      <c r="H228" s="6" t="s">
        <v>62</v>
      </c>
    </row>
    <row r="229" spans="1:8" ht="14.25" customHeight="1" x14ac:dyDescent="0.25">
      <c r="A229" s="8">
        <v>46124</v>
      </c>
      <c r="B229" s="9" t="s">
        <v>15</v>
      </c>
      <c r="C229" s="9" t="s">
        <v>58</v>
      </c>
      <c r="D229" s="9" t="s">
        <v>38</v>
      </c>
      <c r="E229" s="9" t="s">
        <v>75</v>
      </c>
      <c r="F229" s="9" t="s">
        <v>91</v>
      </c>
      <c r="G229" s="10">
        <v>7</v>
      </c>
      <c r="H229" s="9" t="s">
        <v>32</v>
      </c>
    </row>
    <row r="230" spans="1:8" ht="14.25" customHeight="1" x14ac:dyDescent="0.25">
      <c r="A230" s="5">
        <v>46061</v>
      </c>
      <c r="B230" s="6" t="s">
        <v>15</v>
      </c>
      <c r="C230" s="6" t="s">
        <v>58</v>
      </c>
      <c r="D230" s="6" t="s">
        <v>49</v>
      </c>
      <c r="E230" s="6" t="s">
        <v>69</v>
      </c>
      <c r="F230" s="6" t="s">
        <v>53</v>
      </c>
      <c r="G230" s="7">
        <v>1</v>
      </c>
      <c r="H230" s="6" t="s">
        <v>62</v>
      </c>
    </row>
    <row r="231" spans="1:8" ht="14.25" customHeight="1" x14ac:dyDescent="0.25">
      <c r="A231" s="8">
        <v>46090</v>
      </c>
      <c r="B231" s="9" t="s">
        <v>70</v>
      </c>
      <c r="C231" s="9" t="s">
        <v>93</v>
      </c>
      <c r="D231" s="9" t="s">
        <v>49</v>
      </c>
      <c r="E231" s="9" t="s">
        <v>50</v>
      </c>
      <c r="F231" s="9" t="s">
        <v>84</v>
      </c>
      <c r="G231" s="10">
        <v>11</v>
      </c>
      <c r="H231" s="9" t="s">
        <v>54</v>
      </c>
    </row>
    <row r="232" spans="1:8" ht="14.25" customHeight="1" x14ac:dyDescent="0.25">
      <c r="A232" s="5">
        <v>46182</v>
      </c>
      <c r="B232" s="6" t="s">
        <v>79</v>
      </c>
      <c r="C232" s="6" t="s">
        <v>77</v>
      </c>
      <c r="D232" s="6" t="s">
        <v>56</v>
      </c>
      <c r="E232" s="6" t="s">
        <v>35</v>
      </c>
      <c r="F232" s="6" t="s">
        <v>51</v>
      </c>
      <c r="G232" s="7">
        <v>14</v>
      </c>
      <c r="H232" s="6" t="s">
        <v>32</v>
      </c>
    </row>
    <row r="233" spans="1:8" ht="14.25" customHeight="1" x14ac:dyDescent="0.25">
      <c r="A233" s="8">
        <v>46120</v>
      </c>
      <c r="B233" s="9" t="s">
        <v>68</v>
      </c>
      <c r="C233" s="9" t="s">
        <v>28</v>
      </c>
      <c r="D233" s="9" t="s">
        <v>56</v>
      </c>
      <c r="E233" s="9" t="s">
        <v>82</v>
      </c>
      <c r="F233" s="9" t="s">
        <v>51</v>
      </c>
      <c r="G233" s="10">
        <v>4</v>
      </c>
      <c r="H233" s="9" t="s">
        <v>54</v>
      </c>
    </row>
    <row r="234" spans="1:8" ht="14.25" customHeight="1" x14ac:dyDescent="0.25">
      <c r="A234" s="5">
        <v>46148</v>
      </c>
      <c r="B234" s="6" t="s">
        <v>8</v>
      </c>
      <c r="C234" s="6" t="s">
        <v>37</v>
      </c>
      <c r="D234" s="6" t="s">
        <v>49</v>
      </c>
      <c r="E234" s="6" t="s">
        <v>46</v>
      </c>
      <c r="F234" s="6" t="s">
        <v>61</v>
      </c>
      <c r="G234" s="7">
        <v>5</v>
      </c>
      <c r="H234" s="6" t="s">
        <v>36</v>
      </c>
    </row>
    <row r="235" spans="1:8" ht="14.25" customHeight="1" x14ac:dyDescent="0.25">
      <c r="A235" s="8">
        <v>46228</v>
      </c>
      <c r="B235" s="9" t="s">
        <v>9</v>
      </c>
      <c r="C235" s="9" t="s">
        <v>58</v>
      </c>
      <c r="D235" s="9" t="s">
        <v>56</v>
      </c>
      <c r="E235" s="9" t="s">
        <v>63</v>
      </c>
      <c r="F235" s="9" t="s">
        <v>40</v>
      </c>
      <c r="G235" s="10">
        <v>5</v>
      </c>
      <c r="H235" s="9" t="s">
        <v>62</v>
      </c>
    </row>
    <row r="236" spans="1:8" ht="14.25" customHeight="1" x14ac:dyDescent="0.25">
      <c r="A236" s="5">
        <v>46185</v>
      </c>
      <c r="B236" s="6" t="s">
        <v>70</v>
      </c>
      <c r="C236" s="6" t="s">
        <v>28</v>
      </c>
      <c r="D236" s="6" t="s">
        <v>38</v>
      </c>
      <c r="E236" s="6" t="s">
        <v>69</v>
      </c>
      <c r="F236" s="6" t="s">
        <v>53</v>
      </c>
      <c r="G236" s="7">
        <v>15</v>
      </c>
      <c r="H236" s="6" t="s">
        <v>32</v>
      </c>
    </row>
    <row r="237" spans="1:8" ht="14.25" customHeight="1" x14ac:dyDescent="0.25">
      <c r="A237" s="8">
        <v>46194</v>
      </c>
      <c r="B237" s="9" t="s">
        <v>44</v>
      </c>
      <c r="C237" s="9" t="s">
        <v>28</v>
      </c>
      <c r="D237" s="9" t="s">
        <v>56</v>
      </c>
      <c r="E237" s="9" t="s">
        <v>63</v>
      </c>
      <c r="F237" s="9" t="s">
        <v>53</v>
      </c>
      <c r="G237" s="10">
        <v>14</v>
      </c>
      <c r="H237" s="9" t="s">
        <v>36</v>
      </c>
    </row>
    <row r="238" spans="1:8" ht="14.25" customHeight="1" x14ac:dyDescent="0.25">
      <c r="A238" s="5">
        <v>46140</v>
      </c>
      <c r="B238" s="6" t="s">
        <v>33</v>
      </c>
      <c r="C238" s="6" t="s">
        <v>89</v>
      </c>
      <c r="D238" s="6" t="s">
        <v>49</v>
      </c>
      <c r="E238" s="6" t="s">
        <v>94</v>
      </c>
      <c r="F238" s="6" t="s">
        <v>31</v>
      </c>
      <c r="G238" s="7">
        <v>6</v>
      </c>
      <c r="H238" s="6" t="s">
        <v>62</v>
      </c>
    </row>
    <row r="239" spans="1:8" ht="14.25" customHeight="1" x14ac:dyDescent="0.25">
      <c r="A239" s="8">
        <v>46216</v>
      </c>
      <c r="B239" s="9" t="s">
        <v>7</v>
      </c>
      <c r="C239" s="9" t="s">
        <v>45</v>
      </c>
      <c r="D239" s="9" t="s">
        <v>56</v>
      </c>
      <c r="E239" s="9" t="s">
        <v>82</v>
      </c>
      <c r="F239" s="9" t="s">
        <v>78</v>
      </c>
      <c r="G239" s="10">
        <v>12</v>
      </c>
      <c r="H239" s="9" t="s">
        <v>54</v>
      </c>
    </row>
    <row r="240" spans="1:8" ht="14.25" customHeight="1" x14ac:dyDescent="0.25">
      <c r="A240" s="5">
        <v>46023</v>
      </c>
      <c r="B240" s="6" t="s">
        <v>88</v>
      </c>
      <c r="C240" s="6" t="s">
        <v>71</v>
      </c>
      <c r="D240" s="6" t="s">
        <v>34</v>
      </c>
      <c r="E240" s="6" t="s">
        <v>39</v>
      </c>
      <c r="F240" s="6" t="s">
        <v>53</v>
      </c>
      <c r="G240" s="7">
        <v>9</v>
      </c>
      <c r="H240" s="6" t="s">
        <v>54</v>
      </c>
    </row>
    <row r="241" spans="1:8" ht="14.25" customHeight="1" x14ac:dyDescent="0.25">
      <c r="A241" s="8">
        <v>46171</v>
      </c>
      <c r="B241" s="9" t="s">
        <v>41</v>
      </c>
      <c r="C241" s="9" t="s">
        <v>48</v>
      </c>
      <c r="D241" s="9" t="s">
        <v>29</v>
      </c>
      <c r="E241" s="9" t="s">
        <v>69</v>
      </c>
      <c r="F241" s="9" t="s">
        <v>64</v>
      </c>
      <c r="G241" s="10">
        <v>7</v>
      </c>
      <c r="H241" s="9" t="s">
        <v>36</v>
      </c>
    </row>
    <row r="242" spans="1:8" ht="14.25" customHeight="1" x14ac:dyDescent="0.25">
      <c r="A242" s="5">
        <v>46066</v>
      </c>
      <c r="B242" s="6" t="s">
        <v>85</v>
      </c>
      <c r="C242" s="6" t="s">
        <v>45</v>
      </c>
      <c r="D242" s="6" t="s">
        <v>49</v>
      </c>
      <c r="E242" s="6" t="s">
        <v>82</v>
      </c>
      <c r="F242" s="6" t="s">
        <v>73</v>
      </c>
      <c r="G242" s="7">
        <v>13</v>
      </c>
      <c r="H242" s="6" t="s">
        <v>54</v>
      </c>
    </row>
    <row r="243" spans="1:8" ht="14.25" customHeight="1" x14ac:dyDescent="0.25">
      <c r="A243" s="8">
        <v>46147</v>
      </c>
      <c r="B243" s="9" t="s">
        <v>83</v>
      </c>
      <c r="C243" s="9" t="s">
        <v>48</v>
      </c>
      <c r="D243" s="9" t="s">
        <v>29</v>
      </c>
      <c r="E243" s="9" t="s">
        <v>39</v>
      </c>
      <c r="F243" s="9" t="s">
        <v>53</v>
      </c>
      <c r="G243" s="10">
        <v>8</v>
      </c>
      <c r="H243" s="9" t="s">
        <v>32</v>
      </c>
    </row>
    <row r="244" spans="1:8" ht="14.25" customHeight="1" x14ac:dyDescent="0.25">
      <c r="A244" s="5">
        <v>46041</v>
      </c>
      <c r="B244" s="6" t="s">
        <v>33</v>
      </c>
      <c r="C244" s="6" t="s">
        <v>37</v>
      </c>
      <c r="D244" s="6" t="s">
        <v>34</v>
      </c>
      <c r="E244" s="6" t="s">
        <v>50</v>
      </c>
      <c r="F244" s="6" t="s">
        <v>47</v>
      </c>
      <c r="G244" s="7">
        <v>6</v>
      </c>
      <c r="H244" s="6" t="s">
        <v>54</v>
      </c>
    </row>
    <row r="245" spans="1:8" ht="14.25" customHeight="1" x14ac:dyDescent="0.25">
      <c r="A245" s="8">
        <v>46224</v>
      </c>
      <c r="B245" s="9" t="s">
        <v>10</v>
      </c>
      <c r="C245" s="9" t="s">
        <v>28</v>
      </c>
      <c r="D245" s="9" t="s">
        <v>38</v>
      </c>
      <c r="E245" s="9" t="s">
        <v>50</v>
      </c>
      <c r="F245" s="9" t="s">
        <v>53</v>
      </c>
      <c r="G245" s="10">
        <v>13</v>
      </c>
      <c r="H245" s="9" t="s">
        <v>32</v>
      </c>
    </row>
    <row r="246" spans="1:8" ht="14.25" customHeight="1" x14ac:dyDescent="0.25">
      <c r="A246" s="5">
        <v>46203</v>
      </c>
      <c r="B246" s="6" t="s">
        <v>8</v>
      </c>
      <c r="C246" s="6" t="s">
        <v>28</v>
      </c>
      <c r="D246" s="6" t="s">
        <v>38</v>
      </c>
      <c r="E246" s="6" t="s">
        <v>72</v>
      </c>
      <c r="F246" s="6" t="s">
        <v>53</v>
      </c>
      <c r="G246" s="7">
        <v>7</v>
      </c>
      <c r="H246" s="6" t="s">
        <v>32</v>
      </c>
    </row>
    <row r="247" spans="1:8" ht="14.25" customHeight="1" x14ac:dyDescent="0.25">
      <c r="A247" s="8">
        <v>46244</v>
      </c>
      <c r="B247" s="9" t="s">
        <v>10</v>
      </c>
      <c r="C247" s="9" t="s">
        <v>87</v>
      </c>
      <c r="D247" s="9" t="s">
        <v>38</v>
      </c>
      <c r="E247" s="9" t="s">
        <v>35</v>
      </c>
      <c r="F247" s="9" t="s">
        <v>51</v>
      </c>
      <c r="G247" s="10">
        <v>9</v>
      </c>
      <c r="H247" s="9" t="s">
        <v>32</v>
      </c>
    </row>
    <row r="248" spans="1:8" ht="14.25" customHeight="1" x14ac:dyDescent="0.25">
      <c r="A248" s="5">
        <v>46122</v>
      </c>
      <c r="B248" s="6" t="s">
        <v>7</v>
      </c>
      <c r="C248" s="6" t="s">
        <v>42</v>
      </c>
      <c r="D248" s="6" t="s">
        <v>56</v>
      </c>
      <c r="E248" s="6" t="s">
        <v>81</v>
      </c>
      <c r="F248" s="6" t="s">
        <v>43</v>
      </c>
      <c r="G248" s="7">
        <v>3</v>
      </c>
      <c r="H248" s="6" t="s">
        <v>32</v>
      </c>
    </row>
    <row r="249" spans="1:8" ht="14.25" customHeight="1" x14ac:dyDescent="0.25">
      <c r="A249" s="8">
        <v>46180</v>
      </c>
      <c r="B249" s="9" t="s">
        <v>83</v>
      </c>
      <c r="C249" s="9" t="s">
        <v>74</v>
      </c>
      <c r="D249" s="9" t="s">
        <v>38</v>
      </c>
      <c r="E249" s="9" t="s">
        <v>95</v>
      </c>
      <c r="F249" s="9" t="s">
        <v>47</v>
      </c>
      <c r="G249" s="10">
        <v>11</v>
      </c>
      <c r="H249" s="9" t="s">
        <v>62</v>
      </c>
    </row>
    <row r="250" spans="1:8" ht="14.25" customHeight="1" x14ac:dyDescent="0.25">
      <c r="A250" s="5">
        <v>46200</v>
      </c>
      <c r="B250" s="6" t="s">
        <v>92</v>
      </c>
      <c r="C250" s="6" t="s">
        <v>71</v>
      </c>
      <c r="D250" s="6" t="s">
        <v>38</v>
      </c>
      <c r="E250" s="6" t="s">
        <v>63</v>
      </c>
      <c r="F250" s="6" t="s">
        <v>64</v>
      </c>
      <c r="G250" s="7">
        <v>15</v>
      </c>
      <c r="H250" s="6" t="s">
        <v>54</v>
      </c>
    </row>
    <row r="251" spans="1:8" ht="14.25" customHeight="1" x14ac:dyDescent="0.25">
      <c r="A251" s="8">
        <v>46167</v>
      </c>
      <c r="B251" s="9" t="s">
        <v>27</v>
      </c>
      <c r="C251" s="9" t="s">
        <v>58</v>
      </c>
      <c r="D251" s="9" t="s">
        <v>38</v>
      </c>
      <c r="E251" s="9" t="s">
        <v>72</v>
      </c>
      <c r="F251" s="9" t="s">
        <v>47</v>
      </c>
      <c r="G251" s="10">
        <v>9</v>
      </c>
      <c r="H251" s="9" t="s">
        <v>36</v>
      </c>
    </row>
    <row r="252" spans="1:8" ht="14.25" customHeight="1" x14ac:dyDescent="0.25">
      <c r="A252" s="5">
        <v>46236</v>
      </c>
      <c r="B252" s="6" t="s">
        <v>5</v>
      </c>
      <c r="C252" s="6" t="s">
        <v>58</v>
      </c>
      <c r="D252" s="6" t="s">
        <v>29</v>
      </c>
      <c r="E252" s="6" t="s">
        <v>75</v>
      </c>
      <c r="F252" s="6" t="s">
        <v>53</v>
      </c>
      <c r="G252" s="7">
        <v>1</v>
      </c>
      <c r="H252" s="6" t="s">
        <v>62</v>
      </c>
    </row>
    <row r="253" spans="1:8" ht="14.25" customHeight="1" x14ac:dyDescent="0.25">
      <c r="A253" s="8">
        <v>46152</v>
      </c>
      <c r="B253" s="9" t="s">
        <v>92</v>
      </c>
      <c r="C253" s="9" t="s">
        <v>28</v>
      </c>
      <c r="D253" s="9" t="s">
        <v>49</v>
      </c>
      <c r="E253" s="9" t="s">
        <v>30</v>
      </c>
      <c r="F253" s="9" t="s">
        <v>64</v>
      </c>
      <c r="G253" s="10">
        <v>1</v>
      </c>
      <c r="H253" s="9" t="s">
        <v>32</v>
      </c>
    </row>
    <row r="254" spans="1:8" ht="14.25" customHeight="1" x14ac:dyDescent="0.25">
      <c r="A254" s="5">
        <v>46071</v>
      </c>
      <c r="B254" s="6" t="s">
        <v>60</v>
      </c>
      <c r="C254" s="6" t="s">
        <v>42</v>
      </c>
      <c r="D254" s="6" t="s">
        <v>56</v>
      </c>
      <c r="E254" s="6" t="s">
        <v>75</v>
      </c>
      <c r="F254" s="6" t="s">
        <v>73</v>
      </c>
      <c r="G254" s="7">
        <v>7</v>
      </c>
      <c r="H254" s="6" t="s">
        <v>54</v>
      </c>
    </row>
    <row r="255" spans="1:8" ht="14.25" customHeight="1" x14ac:dyDescent="0.25">
      <c r="A255" s="8">
        <v>46126</v>
      </c>
      <c r="B255" s="9" t="s">
        <v>5</v>
      </c>
      <c r="C255" s="9" t="s">
        <v>37</v>
      </c>
      <c r="D255" s="9" t="s">
        <v>49</v>
      </c>
      <c r="E255" s="9" t="s">
        <v>63</v>
      </c>
      <c r="F255" s="9" t="s">
        <v>31</v>
      </c>
      <c r="G255" s="10">
        <v>13</v>
      </c>
      <c r="H255" s="9" t="s">
        <v>36</v>
      </c>
    </row>
    <row r="256" spans="1:8" ht="14.25" customHeight="1" x14ac:dyDescent="0.25">
      <c r="A256" s="5">
        <v>46069</v>
      </c>
      <c r="B256" s="6" t="s">
        <v>10</v>
      </c>
      <c r="C256" s="6" t="s">
        <v>37</v>
      </c>
      <c r="D256" s="6" t="s">
        <v>49</v>
      </c>
      <c r="E256" s="6" t="s">
        <v>46</v>
      </c>
      <c r="F256" s="6" t="s">
        <v>51</v>
      </c>
      <c r="G256" s="7">
        <v>15</v>
      </c>
      <c r="H256" s="6" t="s">
        <v>36</v>
      </c>
    </row>
    <row r="257" spans="1:8" ht="14.25" customHeight="1" x14ac:dyDescent="0.25">
      <c r="A257" s="8">
        <v>46091</v>
      </c>
      <c r="B257" s="9" t="s">
        <v>10</v>
      </c>
      <c r="C257" s="9" t="s">
        <v>28</v>
      </c>
      <c r="D257" s="9" t="s">
        <v>56</v>
      </c>
      <c r="E257" s="9" t="s">
        <v>69</v>
      </c>
      <c r="F257" s="9" t="s">
        <v>43</v>
      </c>
      <c r="G257" s="10">
        <v>9</v>
      </c>
      <c r="H257" s="9" t="s">
        <v>62</v>
      </c>
    </row>
    <row r="258" spans="1:8" ht="14.25" customHeight="1" x14ac:dyDescent="0.25">
      <c r="A258" s="5">
        <v>46060</v>
      </c>
      <c r="B258" s="6" t="s">
        <v>27</v>
      </c>
      <c r="C258" s="6" t="s">
        <v>42</v>
      </c>
      <c r="D258" s="6" t="s">
        <v>49</v>
      </c>
      <c r="E258" s="6" t="s">
        <v>39</v>
      </c>
      <c r="F258" s="6" t="s">
        <v>59</v>
      </c>
      <c r="G258" s="7">
        <v>15</v>
      </c>
      <c r="H258" s="6" t="s">
        <v>54</v>
      </c>
    </row>
    <row r="259" spans="1:8" ht="14.25" customHeight="1" x14ac:dyDescent="0.25">
      <c r="A259" s="8">
        <v>46053</v>
      </c>
      <c r="B259" s="9" t="s">
        <v>7</v>
      </c>
      <c r="C259" s="9" t="s">
        <v>58</v>
      </c>
      <c r="D259" s="9" t="s">
        <v>38</v>
      </c>
      <c r="E259" s="9" t="s">
        <v>82</v>
      </c>
      <c r="F259" s="9" t="s">
        <v>84</v>
      </c>
      <c r="G259" s="10">
        <v>15</v>
      </c>
      <c r="H259" s="9" t="s">
        <v>32</v>
      </c>
    </row>
    <row r="260" spans="1:8" ht="14.25" customHeight="1" x14ac:dyDescent="0.25">
      <c r="A260" s="5">
        <v>46098</v>
      </c>
      <c r="B260" s="6" t="s">
        <v>15</v>
      </c>
      <c r="C260" s="6" t="s">
        <v>37</v>
      </c>
      <c r="D260" s="6" t="s">
        <v>49</v>
      </c>
      <c r="E260" s="6" t="s">
        <v>72</v>
      </c>
      <c r="F260" s="6" t="s">
        <v>64</v>
      </c>
      <c r="G260" s="7">
        <v>13</v>
      </c>
      <c r="H260" s="6" t="s">
        <v>62</v>
      </c>
    </row>
    <row r="261" spans="1:8" ht="14.25" customHeight="1" x14ac:dyDescent="0.25">
      <c r="A261" s="8">
        <v>46077</v>
      </c>
      <c r="B261" s="9" t="s">
        <v>7</v>
      </c>
      <c r="C261" s="9" t="s">
        <v>89</v>
      </c>
      <c r="D261" s="9" t="s">
        <v>29</v>
      </c>
      <c r="E261" s="9" t="s">
        <v>63</v>
      </c>
      <c r="F261" s="9" t="s">
        <v>40</v>
      </c>
      <c r="G261" s="10">
        <v>6</v>
      </c>
      <c r="H261" s="9" t="s">
        <v>32</v>
      </c>
    </row>
    <row r="262" spans="1:8" ht="14.25" customHeight="1" x14ac:dyDescent="0.25">
      <c r="A262" s="5">
        <v>46041</v>
      </c>
      <c r="B262" s="6" t="s">
        <v>83</v>
      </c>
      <c r="C262" s="6" t="s">
        <v>89</v>
      </c>
      <c r="D262" s="6" t="s">
        <v>56</v>
      </c>
      <c r="E262" s="6" t="s">
        <v>95</v>
      </c>
      <c r="F262" s="6" t="s">
        <v>53</v>
      </c>
      <c r="G262" s="7">
        <v>6</v>
      </c>
      <c r="H262" s="6" t="s">
        <v>62</v>
      </c>
    </row>
    <row r="263" spans="1:8" ht="14.25" customHeight="1" x14ac:dyDescent="0.25">
      <c r="A263" s="8">
        <v>46189</v>
      </c>
      <c r="B263" s="9" t="s">
        <v>44</v>
      </c>
      <c r="C263" s="9" t="s">
        <v>58</v>
      </c>
      <c r="D263" s="9" t="s">
        <v>29</v>
      </c>
      <c r="E263" s="9" t="s">
        <v>39</v>
      </c>
      <c r="F263" s="9" t="s">
        <v>61</v>
      </c>
      <c r="G263" s="10">
        <v>10</v>
      </c>
      <c r="H263" s="9" t="s">
        <v>36</v>
      </c>
    </row>
    <row r="264" spans="1:8" ht="14.25" customHeight="1" x14ac:dyDescent="0.25">
      <c r="A264" s="5">
        <v>46190</v>
      </c>
      <c r="B264" s="6" t="s">
        <v>76</v>
      </c>
      <c r="C264" s="6" t="s">
        <v>74</v>
      </c>
      <c r="D264" s="6" t="s">
        <v>38</v>
      </c>
      <c r="E264" s="6" t="s">
        <v>46</v>
      </c>
      <c r="F264" s="6" t="s">
        <v>66</v>
      </c>
      <c r="G264" s="7">
        <v>4</v>
      </c>
      <c r="H264" s="6" t="s">
        <v>62</v>
      </c>
    </row>
    <row r="265" spans="1:8" ht="14.25" customHeight="1" x14ac:dyDescent="0.25">
      <c r="A265" s="8">
        <v>46227</v>
      </c>
      <c r="B265" s="9" t="s">
        <v>7</v>
      </c>
      <c r="C265" s="9" t="s">
        <v>89</v>
      </c>
      <c r="D265" s="9" t="s">
        <v>56</v>
      </c>
      <c r="E265" s="9" t="s">
        <v>30</v>
      </c>
      <c r="F265" s="9" t="s">
        <v>84</v>
      </c>
      <c r="G265" s="10">
        <v>7</v>
      </c>
      <c r="H265" s="9" t="s">
        <v>62</v>
      </c>
    </row>
    <row r="266" spans="1:8" ht="14.25" customHeight="1" x14ac:dyDescent="0.25">
      <c r="A266" s="5">
        <v>46169</v>
      </c>
      <c r="B266" s="6" t="s">
        <v>10</v>
      </c>
      <c r="C266" s="6" t="s">
        <v>87</v>
      </c>
      <c r="D266" s="6" t="s">
        <v>49</v>
      </c>
      <c r="E266" s="6" t="s">
        <v>39</v>
      </c>
      <c r="F266" s="6" t="s">
        <v>53</v>
      </c>
      <c r="G266" s="7">
        <v>10</v>
      </c>
      <c r="H266" s="6" t="s">
        <v>36</v>
      </c>
    </row>
    <row r="267" spans="1:8" ht="14.25" customHeight="1" x14ac:dyDescent="0.25">
      <c r="A267" s="8">
        <v>46066</v>
      </c>
      <c r="B267" s="9" t="s">
        <v>70</v>
      </c>
      <c r="C267" s="9" t="s">
        <v>58</v>
      </c>
      <c r="D267" s="9" t="s">
        <v>29</v>
      </c>
      <c r="E267" s="9" t="s">
        <v>94</v>
      </c>
      <c r="F267" s="9" t="s">
        <v>47</v>
      </c>
      <c r="G267" s="10">
        <v>10</v>
      </c>
      <c r="H267" s="9" t="s">
        <v>36</v>
      </c>
    </row>
    <row r="268" spans="1:8" ht="14.25" customHeight="1" x14ac:dyDescent="0.25">
      <c r="A268" s="5">
        <v>46053</v>
      </c>
      <c r="B268" s="6" t="s">
        <v>6</v>
      </c>
      <c r="C268" s="6" t="s">
        <v>58</v>
      </c>
      <c r="D268" s="6" t="s">
        <v>56</v>
      </c>
      <c r="E268" s="6" t="s">
        <v>63</v>
      </c>
      <c r="F268" s="6" t="s">
        <v>40</v>
      </c>
      <c r="G268" s="7">
        <v>15</v>
      </c>
      <c r="H268" s="6" t="s">
        <v>62</v>
      </c>
    </row>
    <row r="269" spans="1:8" ht="14.25" customHeight="1" x14ac:dyDescent="0.25">
      <c r="A269" s="8">
        <v>46131</v>
      </c>
      <c r="B269" s="9" t="s">
        <v>6</v>
      </c>
      <c r="C269" s="9" t="s">
        <v>89</v>
      </c>
      <c r="D269" s="9" t="s">
        <v>38</v>
      </c>
      <c r="E269" s="9" t="s">
        <v>82</v>
      </c>
      <c r="F269" s="9" t="s">
        <v>43</v>
      </c>
      <c r="G269" s="10">
        <v>1</v>
      </c>
      <c r="H269" s="9" t="s">
        <v>36</v>
      </c>
    </row>
    <row r="270" spans="1:8" ht="14.25" customHeight="1" x14ac:dyDescent="0.25">
      <c r="A270" s="5">
        <v>46105</v>
      </c>
      <c r="B270" s="6" t="s">
        <v>9</v>
      </c>
      <c r="C270" s="6" t="s">
        <v>89</v>
      </c>
      <c r="D270" s="6" t="s">
        <v>34</v>
      </c>
      <c r="E270" s="6" t="s">
        <v>57</v>
      </c>
      <c r="F270" s="6" t="s">
        <v>31</v>
      </c>
      <c r="G270" s="7">
        <v>2</v>
      </c>
      <c r="H270" s="6" t="s">
        <v>54</v>
      </c>
    </row>
    <row r="271" spans="1:8" ht="14.25" customHeight="1" x14ac:dyDescent="0.25">
      <c r="A271" s="8">
        <v>46235</v>
      </c>
      <c r="B271" s="9" t="s">
        <v>10</v>
      </c>
      <c r="C271" s="9" t="s">
        <v>74</v>
      </c>
      <c r="D271" s="9" t="s">
        <v>49</v>
      </c>
      <c r="E271" s="9" t="s">
        <v>72</v>
      </c>
      <c r="F271" s="9" t="s">
        <v>78</v>
      </c>
      <c r="G271" s="10">
        <v>12</v>
      </c>
      <c r="H271" s="9" t="s">
        <v>54</v>
      </c>
    </row>
    <row r="272" spans="1:8" ht="14.25" customHeight="1" x14ac:dyDescent="0.25">
      <c r="A272" s="5">
        <v>46178</v>
      </c>
      <c r="B272" s="6" t="s">
        <v>90</v>
      </c>
      <c r="C272" s="6" t="s">
        <v>58</v>
      </c>
      <c r="D272" s="6" t="s">
        <v>56</v>
      </c>
      <c r="E272" s="6" t="s">
        <v>50</v>
      </c>
      <c r="F272" s="6" t="s">
        <v>61</v>
      </c>
      <c r="G272" s="7">
        <v>15</v>
      </c>
      <c r="H272" s="6" t="s">
        <v>32</v>
      </c>
    </row>
    <row r="273" spans="1:8" ht="14.25" customHeight="1" x14ac:dyDescent="0.25">
      <c r="A273" s="8">
        <v>46190</v>
      </c>
      <c r="B273" s="9" t="s">
        <v>7</v>
      </c>
      <c r="C273" s="9" t="s">
        <v>37</v>
      </c>
      <c r="D273" s="9" t="s">
        <v>49</v>
      </c>
      <c r="E273" s="9" t="s">
        <v>95</v>
      </c>
      <c r="F273" s="9" t="s">
        <v>61</v>
      </c>
      <c r="G273" s="10">
        <v>13</v>
      </c>
      <c r="H273" s="9" t="s">
        <v>62</v>
      </c>
    </row>
    <row r="274" spans="1:8" ht="14.25" customHeight="1" x14ac:dyDescent="0.25">
      <c r="A274" s="5">
        <v>46110</v>
      </c>
      <c r="B274" s="6" t="s">
        <v>88</v>
      </c>
      <c r="C274" s="6" t="s">
        <v>89</v>
      </c>
      <c r="D274" s="6" t="s">
        <v>38</v>
      </c>
      <c r="E274" s="6" t="s">
        <v>39</v>
      </c>
      <c r="F274" s="6" t="s">
        <v>31</v>
      </c>
      <c r="G274" s="7">
        <v>3</v>
      </c>
      <c r="H274" s="6" t="s">
        <v>54</v>
      </c>
    </row>
    <row r="275" spans="1:8" ht="14.25" customHeight="1" x14ac:dyDescent="0.25">
      <c r="A275" s="8">
        <v>46208</v>
      </c>
      <c r="B275" s="9" t="s">
        <v>83</v>
      </c>
      <c r="C275" s="9" t="s">
        <v>28</v>
      </c>
      <c r="D275" s="9" t="s">
        <v>49</v>
      </c>
      <c r="E275" s="9" t="s">
        <v>95</v>
      </c>
      <c r="F275" s="9" t="s">
        <v>84</v>
      </c>
      <c r="G275" s="10">
        <v>3</v>
      </c>
      <c r="H275" s="9" t="s">
        <v>54</v>
      </c>
    </row>
    <row r="276" spans="1:8" ht="14.25" customHeight="1" x14ac:dyDescent="0.25">
      <c r="A276" s="5">
        <v>46097</v>
      </c>
      <c r="B276" s="6" t="s">
        <v>15</v>
      </c>
      <c r="C276" s="6" t="s">
        <v>37</v>
      </c>
      <c r="D276" s="6" t="s">
        <v>29</v>
      </c>
      <c r="E276" s="6" t="s">
        <v>63</v>
      </c>
      <c r="F276" s="6" t="s">
        <v>51</v>
      </c>
      <c r="G276" s="7">
        <v>12</v>
      </c>
      <c r="H276" s="6" t="s">
        <v>62</v>
      </c>
    </row>
    <row r="277" spans="1:8" ht="14.25" customHeight="1" x14ac:dyDescent="0.25">
      <c r="A277" s="8">
        <v>46199</v>
      </c>
      <c r="B277" s="9" t="s">
        <v>52</v>
      </c>
      <c r="C277" s="9" t="s">
        <v>28</v>
      </c>
      <c r="D277" s="9" t="s">
        <v>49</v>
      </c>
      <c r="E277" s="9" t="s">
        <v>82</v>
      </c>
      <c r="F277" s="9" t="s">
        <v>40</v>
      </c>
      <c r="G277" s="10">
        <v>8</v>
      </c>
      <c r="H277" s="9" t="s">
        <v>54</v>
      </c>
    </row>
    <row r="278" spans="1:8" ht="14.25" customHeight="1" x14ac:dyDescent="0.25">
      <c r="A278" s="5">
        <v>46111</v>
      </c>
      <c r="B278" s="6" t="s">
        <v>85</v>
      </c>
      <c r="C278" s="6" t="s">
        <v>89</v>
      </c>
      <c r="D278" s="6" t="s">
        <v>49</v>
      </c>
      <c r="E278" s="6" t="s">
        <v>94</v>
      </c>
      <c r="F278" s="6" t="s">
        <v>84</v>
      </c>
      <c r="G278" s="7">
        <v>4</v>
      </c>
      <c r="H278" s="6" t="s">
        <v>32</v>
      </c>
    </row>
    <row r="279" spans="1:8" ht="14.25" customHeight="1" x14ac:dyDescent="0.25">
      <c r="A279" s="8">
        <v>46094</v>
      </c>
      <c r="B279" s="9" t="s">
        <v>7</v>
      </c>
      <c r="C279" s="9" t="s">
        <v>71</v>
      </c>
      <c r="D279" s="9" t="s">
        <v>38</v>
      </c>
      <c r="E279" s="9" t="s">
        <v>39</v>
      </c>
      <c r="F279" s="9" t="s">
        <v>64</v>
      </c>
      <c r="G279" s="10">
        <v>9</v>
      </c>
      <c r="H279" s="9" t="s">
        <v>36</v>
      </c>
    </row>
    <row r="280" spans="1:8" ht="14.25" customHeight="1" x14ac:dyDescent="0.25">
      <c r="A280" s="5">
        <v>46031</v>
      </c>
      <c r="B280" s="6" t="s">
        <v>52</v>
      </c>
      <c r="C280" s="6" t="s">
        <v>37</v>
      </c>
      <c r="D280" s="6" t="s">
        <v>34</v>
      </c>
      <c r="E280" s="6" t="s">
        <v>46</v>
      </c>
      <c r="F280" s="6" t="s">
        <v>40</v>
      </c>
      <c r="G280" s="7">
        <v>7</v>
      </c>
      <c r="H280" s="6" t="s">
        <v>54</v>
      </c>
    </row>
    <row r="281" spans="1:8" ht="14.25" customHeight="1" x14ac:dyDescent="0.25">
      <c r="A281" s="8">
        <v>46174</v>
      </c>
      <c r="B281" s="9" t="s">
        <v>52</v>
      </c>
      <c r="C281" s="9" t="s">
        <v>28</v>
      </c>
      <c r="D281" s="9" t="s">
        <v>56</v>
      </c>
      <c r="E281" s="9" t="s">
        <v>46</v>
      </c>
      <c r="F281" s="9" t="s">
        <v>51</v>
      </c>
      <c r="G281" s="10">
        <v>8</v>
      </c>
      <c r="H281" s="9" t="s">
        <v>32</v>
      </c>
    </row>
    <row r="282" spans="1:8" ht="14.25" customHeight="1" x14ac:dyDescent="0.25">
      <c r="A282" s="5">
        <v>46168</v>
      </c>
      <c r="B282" s="6" t="s">
        <v>12</v>
      </c>
      <c r="C282" s="6" t="s">
        <v>58</v>
      </c>
      <c r="D282" s="6" t="s">
        <v>56</v>
      </c>
      <c r="E282" s="6" t="s">
        <v>39</v>
      </c>
      <c r="F282" s="6" t="s">
        <v>91</v>
      </c>
      <c r="G282" s="7">
        <v>6</v>
      </c>
      <c r="H282" s="6" t="s">
        <v>32</v>
      </c>
    </row>
    <row r="283" spans="1:8" ht="14.25" customHeight="1" x14ac:dyDescent="0.25">
      <c r="A283" s="8">
        <v>46059</v>
      </c>
      <c r="B283" s="9" t="s">
        <v>9</v>
      </c>
      <c r="C283" s="9" t="s">
        <v>28</v>
      </c>
      <c r="D283" s="9" t="s">
        <v>34</v>
      </c>
      <c r="E283" s="9" t="s">
        <v>46</v>
      </c>
      <c r="F283" s="9" t="s">
        <v>43</v>
      </c>
      <c r="G283" s="10">
        <v>3</v>
      </c>
      <c r="H283" s="9" t="s">
        <v>32</v>
      </c>
    </row>
    <row r="284" spans="1:8" ht="14.25" customHeight="1" x14ac:dyDescent="0.25">
      <c r="A284" s="5">
        <v>46088</v>
      </c>
      <c r="B284" s="6" t="s">
        <v>67</v>
      </c>
      <c r="C284" s="6" t="s">
        <v>93</v>
      </c>
      <c r="D284" s="6" t="s">
        <v>29</v>
      </c>
      <c r="E284" s="6" t="s">
        <v>63</v>
      </c>
      <c r="F284" s="6" t="s">
        <v>53</v>
      </c>
      <c r="G284" s="7">
        <v>3</v>
      </c>
      <c r="H284" s="6" t="s">
        <v>54</v>
      </c>
    </row>
    <row r="285" spans="1:8" ht="14.25" customHeight="1" x14ac:dyDescent="0.25">
      <c r="A285" s="8">
        <v>46032</v>
      </c>
      <c r="B285" s="9" t="s">
        <v>92</v>
      </c>
      <c r="C285" s="9" t="s">
        <v>28</v>
      </c>
      <c r="D285" s="9" t="s">
        <v>29</v>
      </c>
      <c r="E285" s="9" t="s">
        <v>39</v>
      </c>
      <c r="F285" s="9" t="s">
        <v>84</v>
      </c>
      <c r="G285" s="10">
        <v>7</v>
      </c>
      <c r="H285" s="9" t="s">
        <v>32</v>
      </c>
    </row>
    <row r="286" spans="1:8" ht="14.25" customHeight="1" x14ac:dyDescent="0.25">
      <c r="A286" s="5">
        <v>46125</v>
      </c>
      <c r="B286" s="6" t="s">
        <v>68</v>
      </c>
      <c r="C286" s="6" t="s">
        <v>28</v>
      </c>
      <c r="D286" s="6" t="s">
        <v>49</v>
      </c>
      <c r="E286" s="6" t="s">
        <v>46</v>
      </c>
      <c r="F286" s="6" t="s">
        <v>84</v>
      </c>
      <c r="G286" s="7">
        <v>5</v>
      </c>
      <c r="H286" s="6" t="s">
        <v>62</v>
      </c>
    </row>
    <row r="287" spans="1:8" ht="14.25" customHeight="1" x14ac:dyDescent="0.25">
      <c r="A287" s="8">
        <v>46049</v>
      </c>
      <c r="B287" s="9" t="s">
        <v>68</v>
      </c>
      <c r="C287" s="9" t="s">
        <v>77</v>
      </c>
      <c r="D287" s="9" t="s">
        <v>29</v>
      </c>
      <c r="E287" s="9" t="s">
        <v>63</v>
      </c>
      <c r="F287" s="9" t="s">
        <v>66</v>
      </c>
      <c r="G287" s="10">
        <v>3</v>
      </c>
      <c r="H287" s="9" t="s">
        <v>36</v>
      </c>
    </row>
    <row r="288" spans="1:8" ht="14.25" customHeight="1" x14ac:dyDescent="0.25">
      <c r="A288" s="5">
        <v>46138</v>
      </c>
      <c r="B288" s="6" t="s">
        <v>10</v>
      </c>
      <c r="C288" s="6" t="s">
        <v>87</v>
      </c>
      <c r="D288" s="6" t="s">
        <v>29</v>
      </c>
      <c r="E288" s="6" t="s">
        <v>46</v>
      </c>
      <c r="F288" s="6" t="s">
        <v>31</v>
      </c>
      <c r="G288" s="7">
        <v>12</v>
      </c>
      <c r="H288" s="6" t="s">
        <v>36</v>
      </c>
    </row>
    <row r="289" spans="1:8" ht="14.25" customHeight="1" x14ac:dyDescent="0.25">
      <c r="A289" s="8">
        <v>46193</v>
      </c>
      <c r="B289" s="9" t="s">
        <v>76</v>
      </c>
      <c r="C289" s="9" t="s">
        <v>28</v>
      </c>
      <c r="D289" s="9" t="s">
        <v>49</v>
      </c>
      <c r="E289" s="9" t="s">
        <v>39</v>
      </c>
      <c r="F289" s="9" t="s">
        <v>47</v>
      </c>
      <c r="G289" s="10">
        <v>9</v>
      </c>
      <c r="H289" s="9" t="s">
        <v>36</v>
      </c>
    </row>
    <row r="290" spans="1:8" ht="14.25" customHeight="1" x14ac:dyDescent="0.25">
      <c r="A290" s="5">
        <v>46124</v>
      </c>
      <c r="B290" s="6" t="s">
        <v>88</v>
      </c>
      <c r="C290" s="6" t="s">
        <v>58</v>
      </c>
      <c r="D290" s="6" t="s">
        <v>29</v>
      </c>
      <c r="E290" s="6" t="s">
        <v>63</v>
      </c>
      <c r="F290" s="6" t="s">
        <v>59</v>
      </c>
      <c r="G290" s="7">
        <v>3</v>
      </c>
      <c r="H290" s="6" t="s">
        <v>62</v>
      </c>
    </row>
    <row r="291" spans="1:8" ht="14.25" customHeight="1" x14ac:dyDescent="0.25">
      <c r="A291" s="8">
        <v>46028</v>
      </c>
      <c r="B291" s="9" t="s">
        <v>67</v>
      </c>
      <c r="C291" s="9" t="s">
        <v>58</v>
      </c>
      <c r="D291" s="9" t="s">
        <v>29</v>
      </c>
      <c r="E291" s="9" t="s">
        <v>30</v>
      </c>
      <c r="F291" s="9" t="s">
        <v>51</v>
      </c>
      <c r="G291" s="10">
        <v>9</v>
      </c>
      <c r="H291" s="9" t="s">
        <v>32</v>
      </c>
    </row>
    <row r="292" spans="1:8" ht="14.25" customHeight="1" x14ac:dyDescent="0.25">
      <c r="A292" s="5">
        <v>46090</v>
      </c>
      <c r="B292" s="6" t="s">
        <v>79</v>
      </c>
      <c r="C292" s="6" t="s">
        <v>37</v>
      </c>
      <c r="D292" s="6" t="s">
        <v>49</v>
      </c>
      <c r="E292" s="6" t="s">
        <v>72</v>
      </c>
      <c r="F292" s="6" t="s">
        <v>47</v>
      </c>
      <c r="G292" s="7">
        <v>2</v>
      </c>
      <c r="H292" s="6" t="s">
        <v>36</v>
      </c>
    </row>
    <row r="293" spans="1:8" ht="14.25" customHeight="1" x14ac:dyDescent="0.25">
      <c r="A293" s="8">
        <v>46182</v>
      </c>
      <c r="B293" s="9" t="s">
        <v>41</v>
      </c>
      <c r="C293" s="9" t="s">
        <v>71</v>
      </c>
      <c r="D293" s="9" t="s">
        <v>49</v>
      </c>
      <c r="E293" s="9" t="s">
        <v>30</v>
      </c>
      <c r="F293" s="9" t="s">
        <v>78</v>
      </c>
      <c r="G293" s="10">
        <v>6</v>
      </c>
      <c r="H293" s="9" t="s">
        <v>32</v>
      </c>
    </row>
    <row r="294" spans="1:8" ht="14.25" customHeight="1" x14ac:dyDescent="0.25">
      <c r="A294" s="5">
        <v>46091</v>
      </c>
      <c r="B294" s="6" t="s">
        <v>60</v>
      </c>
      <c r="C294" s="6" t="s">
        <v>28</v>
      </c>
      <c r="D294" s="6" t="s">
        <v>34</v>
      </c>
      <c r="E294" s="6" t="s">
        <v>95</v>
      </c>
      <c r="F294" s="6" t="s">
        <v>91</v>
      </c>
      <c r="G294" s="7">
        <v>14</v>
      </c>
      <c r="H294" s="6" t="s">
        <v>36</v>
      </c>
    </row>
    <row r="295" spans="1:8" ht="14.25" customHeight="1" x14ac:dyDescent="0.25">
      <c r="A295" s="8">
        <v>46037</v>
      </c>
      <c r="B295" s="9" t="s">
        <v>33</v>
      </c>
      <c r="C295" s="9" t="s">
        <v>28</v>
      </c>
      <c r="D295" s="9" t="s">
        <v>29</v>
      </c>
      <c r="E295" s="9" t="s">
        <v>82</v>
      </c>
      <c r="F295" s="9" t="s">
        <v>78</v>
      </c>
      <c r="G295" s="10">
        <v>7</v>
      </c>
      <c r="H295" s="9" t="s">
        <v>54</v>
      </c>
    </row>
    <row r="296" spans="1:8" ht="14.25" customHeight="1" x14ac:dyDescent="0.25">
      <c r="A296" s="5">
        <v>46073</v>
      </c>
      <c r="B296" s="6" t="s">
        <v>41</v>
      </c>
      <c r="C296" s="6" t="s">
        <v>89</v>
      </c>
      <c r="D296" s="6" t="s">
        <v>29</v>
      </c>
      <c r="E296" s="6" t="s">
        <v>72</v>
      </c>
      <c r="F296" s="6" t="s">
        <v>84</v>
      </c>
      <c r="G296" s="7">
        <v>8</v>
      </c>
      <c r="H296" s="6" t="s">
        <v>62</v>
      </c>
    </row>
    <row r="297" spans="1:8" ht="14.25" customHeight="1" x14ac:dyDescent="0.25">
      <c r="A297" s="8">
        <v>46147</v>
      </c>
      <c r="B297" s="9" t="s">
        <v>70</v>
      </c>
      <c r="C297" s="9" t="s">
        <v>71</v>
      </c>
      <c r="D297" s="9" t="s">
        <v>29</v>
      </c>
      <c r="E297" s="9" t="s">
        <v>82</v>
      </c>
      <c r="F297" s="9" t="s">
        <v>47</v>
      </c>
      <c r="G297" s="10">
        <v>1</v>
      </c>
      <c r="H297" s="9" t="s">
        <v>62</v>
      </c>
    </row>
    <row r="298" spans="1:8" ht="14.25" customHeight="1" x14ac:dyDescent="0.25">
      <c r="A298" s="5">
        <v>46068</v>
      </c>
      <c r="B298" s="6" t="s">
        <v>90</v>
      </c>
      <c r="C298" s="6" t="s">
        <v>28</v>
      </c>
      <c r="D298" s="6" t="s">
        <v>29</v>
      </c>
      <c r="E298" s="6" t="s">
        <v>39</v>
      </c>
      <c r="F298" s="6" t="s">
        <v>64</v>
      </c>
      <c r="G298" s="7">
        <v>9</v>
      </c>
      <c r="H298" s="6" t="s">
        <v>32</v>
      </c>
    </row>
    <row r="299" spans="1:8" ht="14.25" customHeight="1" x14ac:dyDescent="0.25">
      <c r="A299" s="8">
        <v>46163</v>
      </c>
      <c r="B299" s="9" t="s">
        <v>70</v>
      </c>
      <c r="C299" s="9" t="s">
        <v>45</v>
      </c>
      <c r="D299" s="9" t="s">
        <v>29</v>
      </c>
      <c r="E299" s="9" t="s">
        <v>69</v>
      </c>
      <c r="F299" s="9" t="s">
        <v>64</v>
      </c>
      <c r="G299" s="10">
        <v>1</v>
      </c>
      <c r="H299" s="9" t="s">
        <v>54</v>
      </c>
    </row>
    <row r="300" spans="1:8" ht="14.25" customHeight="1" x14ac:dyDescent="0.25">
      <c r="A300" s="5">
        <v>46236</v>
      </c>
      <c r="B300" s="6" t="s">
        <v>6</v>
      </c>
      <c r="C300" s="6" t="s">
        <v>58</v>
      </c>
      <c r="D300" s="6" t="s">
        <v>29</v>
      </c>
      <c r="E300" s="6" t="s">
        <v>35</v>
      </c>
      <c r="F300" s="6" t="s">
        <v>61</v>
      </c>
      <c r="G300" s="7">
        <v>14</v>
      </c>
      <c r="H300" s="6" t="s">
        <v>54</v>
      </c>
    </row>
    <row r="301" spans="1:8" ht="14.25" customHeight="1" x14ac:dyDescent="0.25">
      <c r="A301" s="8">
        <v>46175</v>
      </c>
      <c r="B301" s="9" t="s">
        <v>88</v>
      </c>
      <c r="C301" s="9" t="s">
        <v>77</v>
      </c>
      <c r="D301" s="9" t="s">
        <v>56</v>
      </c>
      <c r="E301" s="9" t="s">
        <v>57</v>
      </c>
      <c r="F301" s="9" t="s">
        <v>51</v>
      </c>
      <c r="G301" s="10">
        <v>7</v>
      </c>
      <c r="H301" s="9" t="s">
        <v>36</v>
      </c>
    </row>
    <row r="302" spans="1:8" ht="14.25" customHeight="1" x14ac:dyDescent="0.25">
      <c r="A302" s="5">
        <v>46076</v>
      </c>
      <c r="B302" s="6" t="s">
        <v>44</v>
      </c>
      <c r="C302" s="6" t="s">
        <v>93</v>
      </c>
      <c r="D302" s="6" t="s">
        <v>34</v>
      </c>
      <c r="E302" s="6" t="s">
        <v>46</v>
      </c>
      <c r="F302" s="6" t="s">
        <v>43</v>
      </c>
      <c r="G302" s="7">
        <v>6</v>
      </c>
      <c r="H302" s="6" t="s">
        <v>32</v>
      </c>
    </row>
    <row r="303" spans="1:8" ht="14.25" customHeight="1" x14ac:dyDescent="0.25">
      <c r="A303" s="8">
        <v>46177</v>
      </c>
      <c r="B303" s="9" t="s">
        <v>6</v>
      </c>
      <c r="C303" s="9" t="s">
        <v>74</v>
      </c>
      <c r="D303" s="9" t="s">
        <v>29</v>
      </c>
      <c r="E303" s="9" t="s">
        <v>46</v>
      </c>
      <c r="F303" s="9" t="s">
        <v>73</v>
      </c>
      <c r="G303" s="10">
        <v>6</v>
      </c>
      <c r="H303" s="9" t="s">
        <v>36</v>
      </c>
    </row>
    <row r="304" spans="1:8" ht="14.25" customHeight="1" x14ac:dyDescent="0.25">
      <c r="A304" s="5">
        <v>46161</v>
      </c>
      <c r="B304" s="6" t="s">
        <v>67</v>
      </c>
      <c r="C304" s="6" t="s">
        <v>77</v>
      </c>
      <c r="D304" s="6" t="s">
        <v>29</v>
      </c>
      <c r="E304" s="6" t="s">
        <v>63</v>
      </c>
      <c r="F304" s="6" t="s">
        <v>73</v>
      </c>
      <c r="G304" s="7">
        <v>4</v>
      </c>
      <c r="H304" s="6" t="s">
        <v>32</v>
      </c>
    </row>
    <row r="305" spans="1:8" ht="14.25" customHeight="1" x14ac:dyDescent="0.25">
      <c r="A305" s="8">
        <v>46200</v>
      </c>
      <c r="B305" s="9" t="s">
        <v>27</v>
      </c>
      <c r="C305" s="9" t="s">
        <v>48</v>
      </c>
      <c r="D305" s="9" t="s">
        <v>49</v>
      </c>
      <c r="E305" s="9" t="s">
        <v>81</v>
      </c>
      <c r="F305" s="9" t="s">
        <v>64</v>
      </c>
      <c r="G305" s="10">
        <v>12</v>
      </c>
      <c r="H305" s="9" t="s">
        <v>54</v>
      </c>
    </row>
    <row r="306" spans="1:8" ht="14.25" customHeight="1" x14ac:dyDescent="0.25">
      <c r="A306" s="5">
        <v>46025</v>
      </c>
      <c r="B306" s="6" t="s">
        <v>44</v>
      </c>
      <c r="C306" s="6" t="s">
        <v>37</v>
      </c>
      <c r="D306" s="6" t="s">
        <v>49</v>
      </c>
      <c r="E306" s="6" t="s">
        <v>46</v>
      </c>
      <c r="F306" s="6" t="s">
        <v>53</v>
      </c>
      <c r="G306" s="7">
        <v>13</v>
      </c>
      <c r="H306" s="6" t="s">
        <v>36</v>
      </c>
    </row>
    <row r="307" spans="1:8" ht="14.25" customHeight="1" x14ac:dyDescent="0.25">
      <c r="A307" s="8">
        <v>46175</v>
      </c>
      <c r="B307" s="9" t="s">
        <v>33</v>
      </c>
      <c r="C307" s="9" t="s">
        <v>58</v>
      </c>
      <c r="D307" s="9" t="s">
        <v>29</v>
      </c>
      <c r="E307" s="9" t="s">
        <v>82</v>
      </c>
      <c r="F307" s="9" t="s">
        <v>64</v>
      </c>
      <c r="G307" s="10">
        <v>6</v>
      </c>
      <c r="H307" s="9" t="s">
        <v>54</v>
      </c>
    </row>
    <row r="308" spans="1:8" ht="14.25" customHeight="1" x14ac:dyDescent="0.25">
      <c r="A308" s="5">
        <v>46127</v>
      </c>
      <c r="B308" s="6" t="s">
        <v>12</v>
      </c>
      <c r="C308" s="6" t="s">
        <v>28</v>
      </c>
      <c r="D308" s="6" t="s">
        <v>38</v>
      </c>
      <c r="E308" s="6" t="s">
        <v>30</v>
      </c>
      <c r="F308" s="6" t="s">
        <v>91</v>
      </c>
      <c r="G308" s="7">
        <v>13</v>
      </c>
      <c r="H308" s="6" t="s">
        <v>36</v>
      </c>
    </row>
    <row r="309" spans="1:8" ht="14.25" customHeight="1" x14ac:dyDescent="0.25">
      <c r="A309" s="8">
        <v>46120</v>
      </c>
      <c r="B309" s="9" t="s">
        <v>27</v>
      </c>
      <c r="C309" s="9" t="s">
        <v>28</v>
      </c>
      <c r="D309" s="9" t="s">
        <v>49</v>
      </c>
      <c r="E309" s="9" t="s">
        <v>35</v>
      </c>
      <c r="F309" s="9" t="s">
        <v>61</v>
      </c>
      <c r="G309" s="10">
        <v>5</v>
      </c>
      <c r="H309" s="9" t="s">
        <v>54</v>
      </c>
    </row>
    <row r="310" spans="1:8" ht="14.25" customHeight="1" x14ac:dyDescent="0.25">
      <c r="A310" s="5">
        <v>46149</v>
      </c>
      <c r="B310" s="6" t="s">
        <v>6</v>
      </c>
      <c r="C310" s="6" t="s">
        <v>71</v>
      </c>
      <c r="D310" s="6" t="s">
        <v>56</v>
      </c>
      <c r="E310" s="6" t="s">
        <v>72</v>
      </c>
      <c r="F310" s="6" t="s">
        <v>40</v>
      </c>
      <c r="G310" s="7">
        <v>2</v>
      </c>
      <c r="H310" s="6" t="s">
        <v>36</v>
      </c>
    </row>
    <row r="311" spans="1:8" ht="14.25" customHeight="1" x14ac:dyDescent="0.25">
      <c r="A311" s="8">
        <v>46171</v>
      </c>
      <c r="B311" s="9" t="s">
        <v>85</v>
      </c>
      <c r="C311" s="9" t="s">
        <v>89</v>
      </c>
      <c r="D311" s="9" t="s">
        <v>29</v>
      </c>
      <c r="E311" s="9" t="s">
        <v>57</v>
      </c>
      <c r="F311" s="9" t="s">
        <v>61</v>
      </c>
      <c r="G311" s="10">
        <v>7</v>
      </c>
      <c r="H311" s="9" t="s">
        <v>36</v>
      </c>
    </row>
    <row r="312" spans="1:8" ht="14.25" customHeight="1" x14ac:dyDescent="0.25">
      <c r="A312" s="5">
        <v>46112</v>
      </c>
      <c r="B312" s="6" t="s">
        <v>5</v>
      </c>
      <c r="C312" s="6" t="s">
        <v>77</v>
      </c>
      <c r="D312" s="6" t="s">
        <v>49</v>
      </c>
      <c r="E312" s="6" t="s">
        <v>50</v>
      </c>
      <c r="F312" s="6" t="s">
        <v>64</v>
      </c>
      <c r="G312" s="7">
        <v>9</v>
      </c>
      <c r="H312" s="6" t="s">
        <v>54</v>
      </c>
    </row>
    <row r="313" spans="1:8" ht="14.25" customHeight="1" x14ac:dyDescent="0.25">
      <c r="A313" s="8">
        <v>46144</v>
      </c>
      <c r="B313" s="9" t="s">
        <v>83</v>
      </c>
      <c r="C313" s="9" t="s">
        <v>28</v>
      </c>
      <c r="D313" s="9" t="s">
        <v>38</v>
      </c>
      <c r="E313" s="9" t="s">
        <v>72</v>
      </c>
      <c r="F313" s="9" t="s">
        <v>31</v>
      </c>
      <c r="G313" s="10">
        <v>6</v>
      </c>
      <c r="H313" s="9" t="s">
        <v>32</v>
      </c>
    </row>
    <row r="314" spans="1:8" ht="14.25" customHeight="1" x14ac:dyDescent="0.25">
      <c r="A314" s="5">
        <v>46142</v>
      </c>
      <c r="B314" s="6" t="s">
        <v>12</v>
      </c>
      <c r="C314" s="6" t="s">
        <v>89</v>
      </c>
      <c r="D314" s="6" t="s">
        <v>34</v>
      </c>
      <c r="E314" s="6" t="s">
        <v>94</v>
      </c>
      <c r="F314" s="6" t="s">
        <v>91</v>
      </c>
      <c r="G314" s="7">
        <v>10</v>
      </c>
      <c r="H314" s="6" t="s">
        <v>62</v>
      </c>
    </row>
    <row r="315" spans="1:8" ht="14.25" customHeight="1" x14ac:dyDescent="0.25">
      <c r="A315" s="8">
        <v>46221</v>
      </c>
      <c r="B315" s="9" t="s">
        <v>76</v>
      </c>
      <c r="C315" s="9" t="s">
        <v>89</v>
      </c>
      <c r="D315" s="9" t="s">
        <v>56</v>
      </c>
      <c r="E315" s="9" t="s">
        <v>94</v>
      </c>
      <c r="F315" s="9" t="s">
        <v>84</v>
      </c>
      <c r="G315" s="10">
        <v>1</v>
      </c>
      <c r="H315" s="9" t="s">
        <v>36</v>
      </c>
    </row>
    <row r="316" spans="1:8" ht="14.25" customHeight="1" x14ac:dyDescent="0.25">
      <c r="A316" s="5">
        <v>46152</v>
      </c>
      <c r="B316" s="6" t="s">
        <v>10</v>
      </c>
      <c r="C316" s="6" t="s">
        <v>71</v>
      </c>
      <c r="D316" s="6" t="s">
        <v>56</v>
      </c>
      <c r="E316" s="6" t="s">
        <v>72</v>
      </c>
      <c r="F316" s="6" t="s">
        <v>31</v>
      </c>
      <c r="G316" s="7">
        <v>13</v>
      </c>
      <c r="H316" s="6" t="s">
        <v>54</v>
      </c>
    </row>
    <row r="317" spans="1:8" ht="14.25" customHeight="1" x14ac:dyDescent="0.25">
      <c r="A317" s="8">
        <v>46070</v>
      </c>
      <c r="B317" s="9" t="s">
        <v>33</v>
      </c>
      <c r="C317" s="9" t="s">
        <v>28</v>
      </c>
      <c r="D317" s="9" t="s">
        <v>56</v>
      </c>
      <c r="E317" s="9" t="s">
        <v>63</v>
      </c>
      <c r="F317" s="9" t="s">
        <v>51</v>
      </c>
      <c r="G317" s="10">
        <v>9</v>
      </c>
      <c r="H317" s="9" t="s">
        <v>54</v>
      </c>
    </row>
    <row r="318" spans="1:8" ht="14.25" customHeight="1" x14ac:dyDescent="0.25">
      <c r="A318" s="5">
        <v>46178</v>
      </c>
      <c r="B318" s="6" t="s">
        <v>15</v>
      </c>
      <c r="C318" s="6" t="s">
        <v>45</v>
      </c>
      <c r="D318" s="6" t="s">
        <v>38</v>
      </c>
      <c r="E318" s="6" t="s">
        <v>46</v>
      </c>
      <c r="F318" s="6" t="s">
        <v>43</v>
      </c>
      <c r="G318" s="7">
        <v>15</v>
      </c>
      <c r="H318" s="6" t="s">
        <v>54</v>
      </c>
    </row>
    <row r="319" spans="1:8" ht="14.25" customHeight="1" x14ac:dyDescent="0.25">
      <c r="A319" s="8">
        <v>46047</v>
      </c>
      <c r="B319" s="9" t="s">
        <v>52</v>
      </c>
      <c r="C319" s="9" t="s">
        <v>74</v>
      </c>
      <c r="D319" s="9" t="s">
        <v>29</v>
      </c>
      <c r="E319" s="9" t="s">
        <v>69</v>
      </c>
      <c r="F319" s="9" t="s">
        <v>51</v>
      </c>
      <c r="G319" s="10">
        <v>14</v>
      </c>
      <c r="H319" s="9" t="s">
        <v>36</v>
      </c>
    </row>
    <row r="320" spans="1:8" ht="14.25" customHeight="1" x14ac:dyDescent="0.25">
      <c r="A320" s="5">
        <v>46151</v>
      </c>
      <c r="B320" s="6" t="s">
        <v>27</v>
      </c>
      <c r="C320" s="6" t="s">
        <v>87</v>
      </c>
      <c r="D320" s="6" t="s">
        <v>49</v>
      </c>
      <c r="E320" s="6" t="s">
        <v>39</v>
      </c>
      <c r="F320" s="6" t="s">
        <v>53</v>
      </c>
      <c r="G320" s="7">
        <v>15</v>
      </c>
      <c r="H320" s="6" t="s">
        <v>36</v>
      </c>
    </row>
    <row r="321" spans="1:8" ht="14.25" customHeight="1" x14ac:dyDescent="0.25">
      <c r="A321" s="8">
        <v>46103</v>
      </c>
      <c r="B321" s="9" t="s">
        <v>60</v>
      </c>
      <c r="C321" s="9" t="s">
        <v>37</v>
      </c>
      <c r="D321" s="9" t="s">
        <v>38</v>
      </c>
      <c r="E321" s="9" t="s">
        <v>46</v>
      </c>
      <c r="F321" s="9" t="s">
        <v>53</v>
      </c>
      <c r="G321" s="10">
        <v>14</v>
      </c>
      <c r="H321" s="9" t="s">
        <v>36</v>
      </c>
    </row>
    <row r="322" spans="1:8" ht="14.25" customHeight="1" x14ac:dyDescent="0.25">
      <c r="A322" s="5">
        <v>46192</v>
      </c>
      <c r="B322" s="6" t="s">
        <v>88</v>
      </c>
      <c r="C322" s="6" t="s">
        <v>71</v>
      </c>
      <c r="D322" s="6" t="s">
        <v>49</v>
      </c>
      <c r="E322" s="6" t="s">
        <v>39</v>
      </c>
      <c r="F322" s="6" t="s">
        <v>84</v>
      </c>
      <c r="G322" s="7">
        <v>6</v>
      </c>
      <c r="H322" s="6" t="s">
        <v>54</v>
      </c>
    </row>
    <row r="323" spans="1:8" ht="14.25" customHeight="1" x14ac:dyDescent="0.25">
      <c r="A323" s="8">
        <v>46037</v>
      </c>
      <c r="B323" s="9" t="s">
        <v>90</v>
      </c>
      <c r="C323" s="9" t="s">
        <v>42</v>
      </c>
      <c r="D323" s="9" t="s">
        <v>29</v>
      </c>
      <c r="E323" s="9" t="s">
        <v>30</v>
      </c>
      <c r="F323" s="9" t="s">
        <v>47</v>
      </c>
      <c r="G323" s="10">
        <v>15</v>
      </c>
      <c r="H323" s="9" t="s">
        <v>62</v>
      </c>
    </row>
    <row r="324" spans="1:8" ht="14.25" customHeight="1" x14ac:dyDescent="0.25">
      <c r="A324" s="5">
        <v>46089</v>
      </c>
      <c r="B324" s="6" t="s">
        <v>41</v>
      </c>
      <c r="C324" s="6" t="s">
        <v>87</v>
      </c>
      <c r="D324" s="6" t="s">
        <v>34</v>
      </c>
      <c r="E324" s="6" t="s">
        <v>80</v>
      </c>
      <c r="F324" s="6" t="s">
        <v>84</v>
      </c>
      <c r="G324" s="7">
        <v>6</v>
      </c>
      <c r="H324" s="6" t="s">
        <v>32</v>
      </c>
    </row>
    <row r="325" spans="1:8" ht="14.25" customHeight="1" x14ac:dyDescent="0.25">
      <c r="A325" s="8">
        <v>46096</v>
      </c>
      <c r="B325" s="9" t="s">
        <v>52</v>
      </c>
      <c r="C325" s="9" t="s">
        <v>45</v>
      </c>
      <c r="D325" s="9" t="s">
        <v>56</v>
      </c>
      <c r="E325" s="9" t="s">
        <v>72</v>
      </c>
      <c r="F325" s="9" t="s">
        <v>53</v>
      </c>
      <c r="G325" s="10">
        <v>10</v>
      </c>
      <c r="H325" s="9" t="s">
        <v>32</v>
      </c>
    </row>
    <row r="326" spans="1:8" ht="14.25" customHeight="1" x14ac:dyDescent="0.25">
      <c r="A326" s="5">
        <v>46124</v>
      </c>
      <c r="B326" s="6" t="s">
        <v>10</v>
      </c>
      <c r="C326" s="6" t="s">
        <v>77</v>
      </c>
      <c r="D326" s="6" t="s">
        <v>49</v>
      </c>
      <c r="E326" s="6" t="s">
        <v>63</v>
      </c>
      <c r="F326" s="6" t="s">
        <v>66</v>
      </c>
      <c r="G326" s="7">
        <v>4</v>
      </c>
      <c r="H326" s="6" t="s">
        <v>36</v>
      </c>
    </row>
    <row r="327" spans="1:8" ht="14.25" customHeight="1" x14ac:dyDescent="0.25">
      <c r="A327" s="8">
        <v>46188</v>
      </c>
      <c r="B327" s="9" t="s">
        <v>90</v>
      </c>
      <c r="C327" s="9" t="s">
        <v>28</v>
      </c>
      <c r="D327" s="9" t="s">
        <v>49</v>
      </c>
      <c r="E327" s="9" t="s">
        <v>82</v>
      </c>
      <c r="F327" s="9" t="s">
        <v>66</v>
      </c>
      <c r="G327" s="10">
        <v>11</v>
      </c>
      <c r="H327" s="9" t="s">
        <v>62</v>
      </c>
    </row>
    <row r="328" spans="1:8" ht="14.25" customHeight="1" x14ac:dyDescent="0.25">
      <c r="A328" s="5">
        <v>46214</v>
      </c>
      <c r="B328" s="6" t="s">
        <v>83</v>
      </c>
      <c r="C328" s="6" t="s">
        <v>45</v>
      </c>
      <c r="D328" s="6" t="s">
        <v>56</v>
      </c>
      <c r="E328" s="6" t="s">
        <v>69</v>
      </c>
      <c r="F328" s="6" t="s">
        <v>78</v>
      </c>
      <c r="G328" s="7">
        <v>4</v>
      </c>
      <c r="H328" s="6" t="s">
        <v>32</v>
      </c>
    </row>
    <row r="329" spans="1:8" ht="14.25" customHeight="1" x14ac:dyDescent="0.25">
      <c r="A329" s="8">
        <v>46216</v>
      </c>
      <c r="B329" s="9" t="s">
        <v>79</v>
      </c>
      <c r="C329" s="9" t="s">
        <v>77</v>
      </c>
      <c r="D329" s="9" t="s">
        <v>49</v>
      </c>
      <c r="E329" s="9" t="s">
        <v>30</v>
      </c>
      <c r="F329" s="9" t="s">
        <v>66</v>
      </c>
      <c r="G329" s="10">
        <v>10</v>
      </c>
      <c r="H329" s="9" t="s">
        <v>54</v>
      </c>
    </row>
    <row r="330" spans="1:8" ht="14.25" customHeight="1" x14ac:dyDescent="0.25">
      <c r="A330" s="5">
        <v>46109</v>
      </c>
      <c r="B330" s="6" t="s">
        <v>76</v>
      </c>
      <c r="C330" s="6" t="s">
        <v>28</v>
      </c>
      <c r="D330" s="6" t="s">
        <v>34</v>
      </c>
      <c r="E330" s="6" t="s">
        <v>80</v>
      </c>
      <c r="F330" s="6" t="s">
        <v>66</v>
      </c>
      <c r="G330" s="7">
        <v>3</v>
      </c>
      <c r="H330" s="6" t="s">
        <v>54</v>
      </c>
    </row>
    <row r="331" spans="1:8" ht="14.25" customHeight="1" x14ac:dyDescent="0.25">
      <c r="A331" s="8">
        <v>46047</v>
      </c>
      <c r="B331" s="9" t="s">
        <v>7</v>
      </c>
      <c r="C331" s="9" t="s">
        <v>37</v>
      </c>
      <c r="D331" s="9" t="s">
        <v>34</v>
      </c>
      <c r="E331" s="9" t="s">
        <v>63</v>
      </c>
      <c r="F331" s="9" t="s">
        <v>51</v>
      </c>
      <c r="G331" s="10">
        <v>5</v>
      </c>
      <c r="H331" s="9" t="s">
        <v>54</v>
      </c>
    </row>
    <row r="332" spans="1:8" ht="14.25" customHeight="1" x14ac:dyDescent="0.25">
      <c r="A332" s="5">
        <v>46128</v>
      </c>
      <c r="B332" s="6" t="s">
        <v>27</v>
      </c>
      <c r="C332" s="6" t="s">
        <v>28</v>
      </c>
      <c r="D332" s="6" t="s">
        <v>34</v>
      </c>
      <c r="E332" s="6" t="s">
        <v>35</v>
      </c>
      <c r="F332" s="6" t="s">
        <v>78</v>
      </c>
      <c r="G332" s="7">
        <v>10</v>
      </c>
      <c r="H332" s="6" t="s">
        <v>62</v>
      </c>
    </row>
    <row r="333" spans="1:8" ht="14.25" customHeight="1" x14ac:dyDescent="0.25">
      <c r="A333" s="8">
        <v>46041</v>
      </c>
      <c r="B333" s="9" t="s">
        <v>5</v>
      </c>
      <c r="C333" s="9" t="s">
        <v>37</v>
      </c>
      <c r="D333" s="9" t="s">
        <v>38</v>
      </c>
      <c r="E333" s="9" t="s">
        <v>63</v>
      </c>
      <c r="F333" s="9" t="s">
        <v>84</v>
      </c>
      <c r="G333" s="10">
        <v>5</v>
      </c>
      <c r="H333" s="9" t="s">
        <v>62</v>
      </c>
    </row>
    <row r="334" spans="1:8" ht="14.25" customHeight="1" x14ac:dyDescent="0.25">
      <c r="A334" s="5">
        <v>46142</v>
      </c>
      <c r="B334" s="6" t="s">
        <v>9</v>
      </c>
      <c r="C334" s="6" t="s">
        <v>71</v>
      </c>
      <c r="D334" s="6" t="s">
        <v>38</v>
      </c>
      <c r="E334" s="6" t="s">
        <v>39</v>
      </c>
      <c r="F334" s="6" t="s">
        <v>64</v>
      </c>
      <c r="G334" s="7">
        <v>7</v>
      </c>
      <c r="H334" s="6" t="s">
        <v>32</v>
      </c>
    </row>
    <row r="335" spans="1:8" ht="14.25" customHeight="1" x14ac:dyDescent="0.25">
      <c r="A335" s="8">
        <v>46167</v>
      </c>
      <c r="B335" s="9" t="s">
        <v>5</v>
      </c>
      <c r="C335" s="9" t="s">
        <v>58</v>
      </c>
      <c r="D335" s="9" t="s">
        <v>34</v>
      </c>
      <c r="E335" s="9" t="s">
        <v>30</v>
      </c>
      <c r="F335" s="9" t="s">
        <v>53</v>
      </c>
      <c r="G335" s="10">
        <v>5</v>
      </c>
      <c r="H335" s="9" t="s">
        <v>54</v>
      </c>
    </row>
    <row r="336" spans="1:8" ht="14.25" customHeight="1" x14ac:dyDescent="0.25">
      <c r="A336" s="5">
        <v>46042</v>
      </c>
      <c r="B336" s="6" t="s">
        <v>7</v>
      </c>
      <c r="C336" s="6" t="s">
        <v>77</v>
      </c>
      <c r="D336" s="6" t="s">
        <v>38</v>
      </c>
      <c r="E336" s="6" t="s">
        <v>63</v>
      </c>
      <c r="F336" s="6" t="s">
        <v>91</v>
      </c>
      <c r="G336" s="7">
        <v>4</v>
      </c>
      <c r="H336" s="6" t="s">
        <v>54</v>
      </c>
    </row>
    <row r="337" spans="1:8" ht="14.25" customHeight="1" x14ac:dyDescent="0.25">
      <c r="A337" s="8">
        <v>46173</v>
      </c>
      <c r="B337" s="9" t="s">
        <v>33</v>
      </c>
      <c r="C337" s="9" t="s">
        <v>28</v>
      </c>
      <c r="D337" s="9" t="s">
        <v>29</v>
      </c>
      <c r="E337" s="9" t="s">
        <v>46</v>
      </c>
      <c r="F337" s="9" t="s">
        <v>73</v>
      </c>
      <c r="G337" s="10">
        <v>10</v>
      </c>
      <c r="H337" s="9" t="s">
        <v>32</v>
      </c>
    </row>
    <row r="338" spans="1:8" ht="14.25" customHeight="1" x14ac:dyDescent="0.25">
      <c r="A338" s="5">
        <v>46030</v>
      </c>
      <c r="B338" s="6" t="s">
        <v>76</v>
      </c>
      <c r="C338" s="6" t="s">
        <v>45</v>
      </c>
      <c r="D338" s="6" t="s">
        <v>38</v>
      </c>
      <c r="E338" s="6" t="s">
        <v>46</v>
      </c>
      <c r="F338" s="6" t="s">
        <v>78</v>
      </c>
      <c r="G338" s="7">
        <v>12</v>
      </c>
      <c r="H338" s="6" t="s">
        <v>36</v>
      </c>
    </row>
    <row r="339" spans="1:8" ht="14.25" customHeight="1" x14ac:dyDescent="0.25">
      <c r="A339" s="8">
        <v>46157</v>
      </c>
      <c r="B339" s="9" t="s">
        <v>52</v>
      </c>
      <c r="C339" s="9" t="s">
        <v>28</v>
      </c>
      <c r="D339" s="9" t="s">
        <v>29</v>
      </c>
      <c r="E339" s="9" t="s">
        <v>39</v>
      </c>
      <c r="F339" s="9" t="s">
        <v>53</v>
      </c>
      <c r="G339" s="10">
        <v>8</v>
      </c>
      <c r="H339" s="9" t="s">
        <v>32</v>
      </c>
    </row>
    <row r="340" spans="1:8" ht="14.25" customHeight="1" x14ac:dyDescent="0.25">
      <c r="A340" s="5">
        <v>46035</v>
      </c>
      <c r="B340" s="6" t="s">
        <v>10</v>
      </c>
      <c r="C340" s="6" t="s">
        <v>58</v>
      </c>
      <c r="D340" s="6" t="s">
        <v>56</v>
      </c>
      <c r="E340" s="6" t="s">
        <v>57</v>
      </c>
      <c r="F340" s="6" t="s">
        <v>31</v>
      </c>
      <c r="G340" s="7">
        <v>4</v>
      </c>
      <c r="H340" s="6" t="s">
        <v>62</v>
      </c>
    </row>
    <row r="341" spans="1:8" ht="14.25" customHeight="1" x14ac:dyDescent="0.25">
      <c r="A341" s="8">
        <v>46109</v>
      </c>
      <c r="B341" s="9" t="s">
        <v>52</v>
      </c>
      <c r="C341" s="9" t="s">
        <v>87</v>
      </c>
      <c r="D341" s="9" t="s">
        <v>38</v>
      </c>
      <c r="E341" s="9" t="s">
        <v>46</v>
      </c>
      <c r="F341" s="9" t="s">
        <v>73</v>
      </c>
      <c r="G341" s="10">
        <v>13</v>
      </c>
      <c r="H341" s="9" t="s">
        <v>32</v>
      </c>
    </row>
    <row r="342" spans="1:8" ht="14.25" customHeight="1" x14ac:dyDescent="0.25">
      <c r="A342" s="5">
        <v>46219</v>
      </c>
      <c r="B342" s="6" t="s">
        <v>41</v>
      </c>
      <c r="C342" s="6" t="s">
        <v>28</v>
      </c>
      <c r="D342" s="6" t="s">
        <v>56</v>
      </c>
      <c r="E342" s="6" t="s">
        <v>80</v>
      </c>
      <c r="F342" s="6" t="s">
        <v>73</v>
      </c>
      <c r="G342" s="7">
        <v>14</v>
      </c>
      <c r="H342" s="6" t="s">
        <v>36</v>
      </c>
    </row>
    <row r="343" spans="1:8" ht="14.25" customHeight="1" x14ac:dyDescent="0.25">
      <c r="A343" s="8">
        <v>46042</v>
      </c>
      <c r="B343" s="9" t="s">
        <v>41</v>
      </c>
      <c r="C343" s="9" t="s">
        <v>42</v>
      </c>
      <c r="D343" s="9" t="s">
        <v>38</v>
      </c>
      <c r="E343" s="9" t="s">
        <v>94</v>
      </c>
      <c r="F343" s="9" t="s">
        <v>43</v>
      </c>
      <c r="G343" s="10">
        <v>1</v>
      </c>
      <c r="H343" s="9" t="s">
        <v>54</v>
      </c>
    </row>
    <row r="344" spans="1:8" ht="14.25" customHeight="1" x14ac:dyDescent="0.25">
      <c r="A344" s="5">
        <v>46227</v>
      </c>
      <c r="B344" s="6" t="s">
        <v>85</v>
      </c>
      <c r="C344" s="6" t="s">
        <v>58</v>
      </c>
      <c r="D344" s="6" t="s">
        <v>29</v>
      </c>
      <c r="E344" s="6" t="s">
        <v>80</v>
      </c>
      <c r="F344" s="6" t="s">
        <v>64</v>
      </c>
      <c r="G344" s="7">
        <v>15</v>
      </c>
      <c r="H344" s="6" t="s">
        <v>54</v>
      </c>
    </row>
    <row r="345" spans="1:8" ht="14.25" customHeight="1" x14ac:dyDescent="0.25">
      <c r="A345" s="8">
        <v>46180</v>
      </c>
      <c r="B345" s="9" t="s">
        <v>15</v>
      </c>
      <c r="C345" s="9" t="s">
        <v>71</v>
      </c>
      <c r="D345" s="9" t="s">
        <v>38</v>
      </c>
      <c r="E345" s="9" t="s">
        <v>39</v>
      </c>
      <c r="F345" s="9" t="s">
        <v>84</v>
      </c>
      <c r="G345" s="10">
        <v>13</v>
      </c>
      <c r="H345" s="9" t="s">
        <v>32</v>
      </c>
    </row>
    <row r="346" spans="1:8" ht="14.25" customHeight="1" x14ac:dyDescent="0.25">
      <c r="A346" s="5">
        <v>46046</v>
      </c>
      <c r="B346" s="6" t="s">
        <v>52</v>
      </c>
      <c r="C346" s="6" t="s">
        <v>58</v>
      </c>
      <c r="D346" s="6" t="s">
        <v>49</v>
      </c>
      <c r="E346" s="6" t="s">
        <v>46</v>
      </c>
      <c r="F346" s="6" t="s">
        <v>61</v>
      </c>
      <c r="G346" s="7">
        <v>8</v>
      </c>
      <c r="H346" s="6" t="s">
        <v>32</v>
      </c>
    </row>
    <row r="347" spans="1:8" ht="14.25" customHeight="1" x14ac:dyDescent="0.25">
      <c r="A347" s="8">
        <v>46078</v>
      </c>
      <c r="B347" s="9" t="s">
        <v>41</v>
      </c>
      <c r="C347" s="9" t="s">
        <v>42</v>
      </c>
      <c r="D347" s="9" t="s">
        <v>38</v>
      </c>
      <c r="E347" s="9" t="s">
        <v>72</v>
      </c>
      <c r="F347" s="9" t="s">
        <v>47</v>
      </c>
      <c r="G347" s="10">
        <v>8</v>
      </c>
      <c r="H347" s="9" t="s">
        <v>54</v>
      </c>
    </row>
    <row r="348" spans="1:8" ht="14.25" customHeight="1" x14ac:dyDescent="0.25">
      <c r="A348" s="5">
        <v>46142</v>
      </c>
      <c r="B348" s="6" t="s">
        <v>85</v>
      </c>
      <c r="C348" s="6" t="s">
        <v>93</v>
      </c>
      <c r="D348" s="6" t="s">
        <v>34</v>
      </c>
      <c r="E348" s="6" t="s">
        <v>35</v>
      </c>
      <c r="F348" s="6" t="s">
        <v>61</v>
      </c>
      <c r="G348" s="7">
        <v>10</v>
      </c>
      <c r="H348" s="6" t="s">
        <v>62</v>
      </c>
    </row>
    <row r="349" spans="1:8" ht="14.25" customHeight="1" x14ac:dyDescent="0.25">
      <c r="A349" s="8">
        <v>46025</v>
      </c>
      <c r="B349" s="9" t="s">
        <v>33</v>
      </c>
      <c r="C349" s="9" t="s">
        <v>45</v>
      </c>
      <c r="D349" s="9" t="s">
        <v>49</v>
      </c>
      <c r="E349" s="9" t="s">
        <v>63</v>
      </c>
      <c r="F349" s="9" t="s">
        <v>31</v>
      </c>
      <c r="G349" s="10">
        <v>14</v>
      </c>
      <c r="H349" s="9" t="s">
        <v>54</v>
      </c>
    </row>
    <row r="350" spans="1:8" ht="14.25" customHeight="1" x14ac:dyDescent="0.25">
      <c r="A350" s="5">
        <v>46183</v>
      </c>
      <c r="B350" s="6" t="s">
        <v>6</v>
      </c>
      <c r="C350" s="6" t="s">
        <v>89</v>
      </c>
      <c r="D350" s="6" t="s">
        <v>56</v>
      </c>
      <c r="E350" s="6" t="s">
        <v>69</v>
      </c>
      <c r="F350" s="6" t="s">
        <v>91</v>
      </c>
      <c r="G350" s="7">
        <v>1</v>
      </c>
      <c r="H350" s="6" t="s">
        <v>54</v>
      </c>
    </row>
    <row r="351" spans="1:8" ht="14.25" customHeight="1" x14ac:dyDescent="0.25">
      <c r="A351" s="8">
        <v>46080</v>
      </c>
      <c r="B351" s="9" t="s">
        <v>5</v>
      </c>
      <c r="C351" s="9" t="s">
        <v>71</v>
      </c>
      <c r="D351" s="9" t="s">
        <v>29</v>
      </c>
      <c r="E351" s="9" t="s">
        <v>94</v>
      </c>
      <c r="F351" s="9" t="s">
        <v>47</v>
      </c>
      <c r="G351" s="10">
        <v>11</v>
      </c>
      <c r="H351" s="9" t="s">
        <v>36</v>
      </c>
    </row>
    <row r="352" spans="1:8" ht="14.25" customHeight="1" x14ac:dyDescent="0.25">
      <c r="A352" s="5">
        <v>46201</v>
      </c>
      <c r="B352" s="6" t="s">
        <v>44</v>
      </c>
      <c r="C352" s="6" t="s">
        <v>42</v>
      </c>
      <c r="D352" s="6" t="s">
        <v>49</v>
      </c>
      <c r="E352" s="6" t="s">
        <v>57</v>
      </c>
      <c r="F352" s="6" t="s">
        <v>31</v>
      </c>
      <c r="G352" s="7">
        <v>8</v>
      </c>
      <c r="H352" s="6" t="s">
        <v>36</v>
      </c>
    </row>
    <row r="353" spans="1:8" ht="14.25" customHeight="1" x14ac:dyDescent="0.25">
      <c r="A353" s="8">
        <v>46058</v>
      </c>
      <c r="B353" s="9" t="s">
        <v>5</v>
      </c>
      <c r="C353" s="9" t="s">
        <v>42</v>
      </c>
      <c r="D353" s="9" t="s">
        <v>56</v>
      </c>
      <c r="E353" s="9" t="s">
        <v>39</v>
      </c>
      <c r="F353" s="9" t="s">
        <v>64</v>
      </c>
      <c r="G353" s="10">
        <v>13</v>
      </c>
      <c r="H353" s="9" t="s">
        <v>54</v>
      </c>
    </row>
    <row r="354" spans="1:8" ht="14.25" customHeight="1" x14ac:dyDescent="0.25">
      <c r="A354" s="5">
        <v>46129</v>
      </c>
      <c r="B354" s="6" t="s">
        <v>88</v>
      </c>
      <c r="C354" s="6" t="s">
        <v>42</v>
      </c>
      <c r="D354" s="6" t="s">
        <v>29</v>
      </c>
      <c r="E354" s="6" t="s">
        <v>95</v>
      </c>
      <c r="F354" s="6" t="s">
        <v>47</v>
      </c>
      <c r="G354" s="7">
        <v>6</v>
      </c>
      <c r="H354" s="6" t="s">
        <v>32</v>
      </c>
    </row>
    <row r="355" spans="1:8" ht="14.25" customHeight="1" x14ac:dyDescent="0.25">
      <c r="A355" s="8">
        <v>46242</v>
      </c>
      <c r="B355" s="9" t="s">
        <v>79</v>
      </c>
      <c r="C355" s="9" t="s">
        <v>89</v>
      </c>
      <c r="D355" s="9" t="s">
        <v>29</v>
      </c>
      <c r="E355" s="9" t="s">
        <v>72</v>
      </c>
      <c r="F355" s="9" t="s">
        <v>31</v>
      </c>
      <c r="G355" s="10">
        <v>8</v>
      </c>
      <c r="H355" s="9" t="s">
        <v>32</v>
      </c>
    </row>
    <row r="356" spans="1:8" ht="14.25" customHeight="1" x14ac:dyDescent="0.25">
      <c r="A356" s="5">
        <v>46034</v>
      </c>
      <c r="B356" s="6" t="s">
        <v>90</v>
      </c>
      <c r="C356" s="6" t="s">
        <v>28</v>
      </c>
      <c r="D356" s="6" t="s">
        <v>49</v>
      </c>
      <c r="E356" s="6" t="s">
        <v>30</v>
      </c>
      <c r="F356" s="6" t="s">
        <v>53</v>
      </c>
      <c r="G356" s="7">
        <v>13</v>
      </c>
      <c r="H356" s="6" t="s">
        <v>62</v>
      </c>
    </row>
    <row r="357" spans="1:8" ht="14.25" customHeight="1" x14ac:dyDescent="0.25">
      <c r="A357" s="8">
        <v>46218</v>
      </c>
      <c r="B357" s="9" t="s">
        <v>27</v>
      </c>
      <c r="C357" s="9" t="s">
        <v>58</v>
      </c>
      <c r="D357" s="9" t="s">
        <v>56</v>
      </c>
      <c r="E357" s="9" t="s">
        <v>69</v>
      </c>
      <c r="F357" s="9" t="s">
        <v>59</v>
      </c>
      <c r="G357" s="10">
        <v>6</v>
      </c>
      <c r="H357" s="9" t="s">
        <v>32</v>
      </c>
    </row>
    <row r="358" spans="1:8" ht="14.25" customHeight="1" x14ac:dyDescent="0.25">
      <c r="A358" s="5">
        <v>46126</v>
      </c>
      <c r="B358" s="6" t="s">
        <v>67</v>
      </c>
      <c r="C358" s="6" t="s">
        <v>58</v>
      </c>
      <c r="D358" s="6" t="s">
        <v>56</v>
      </c>
      <c r="E358" s="6" t="s">
        <v>35</v>
      </c>
      <c r="F358" s="6" t="s">
        <v>73</v>
      </c>
      <c r="G358" s="7">
        <v>5</v>
      </c>
      <c r="H358" s="6" t="s">
        <v>62</v>
      </c>
    </row>
    <row r="359" spans="1:8" ht="14.25" customHeight="1" x14ac:dyDescent="0.25">
      <c r="A359" s="8">
        <v>46204</v>
      </c>
      <c r="B359" s="9" t="s">
        <v>7</v>
      </c>
      <c r="C359" s="9" t="s">
        <v>87</v>
      </c>
      <c r="D359" s="9" t="s">
        <v>34</v>
      </c>
      <c r="E359" s="9" t="s">
        <v>50</v>
      </c>
      <c r="F359" s="9" t="s">
        <v>78</v>
      </c>
      <c r="G359" s="10">
        <v>4</v>
      </c>
      <c r="H359" s="9" t="s">
        <v>62</v>
      </c>
    </row>
    <row r="360" spans="1:8" ht="14.25" customHeight="1" x14ac:dyDescent="0.25">
      <c r="A360" s="5">
        <v>46159</v>
      </c>
      <c r="B360" s="6" t="s">
        <v>27</v>
      </c>
      <c r="C360" s="6" t="s">
        <v>42</v>
      </c>
      <c r="D360" s="6" t="s">
        <v>38</v>
      </c>
      <c r="E360" s="6" t="s">
        <v>46</v>
      </c>
      <c r="F360" s="6" t="s">
        <v>59</v>
      </c>
      <c r="G360" s="7">
        <v>3</v>
      </c>
      <c r="H360" s="6" t="s">
        <v>32</v>
      </c>
    </row>
    <row r="361" spans="1:8" ht="14.25" customHeight="1" x14ac:dyDescent="0.25">
      <c r="A361" s="8">
        <v>46130</v>
      </c>
      <c r="B361" s="9" t="s">
        <v>88</v>
      </c>
      <c r="C361" s="9" t="s">
        <v>28</v>
      </c>
      <c r="D361" s="9" t="s">
        <v>49</v>
      </c>
      <c r="E361" s="9" t="s">
        <v>46</v>
      </c>
      <c r="F361" s="9" t="s">
        <v>53</v>
      </c>
      <c r="G361" s="10">
        <v>5</v>
      </c>
      <c r="H361" s="9" t="s">
        <v>36</v>
      </c>
    </row>
    <row r="362" spans="1:8" ht="14.25" customHeight="1" x14ac:dyDescent="0.25">
      <c r="A362" s="5">
        <v>46224</v>
      </c>
      <c r="B362" s="6" t="s">
        <v>76</v>
      </c>
      <c r="C362" s="6" t="s">
        <v>58</v>
      </c>
      <c r="D362" s="6" t="s">
        <v>38</v>
      </c>
      <c r="E362" s="6" t="s">
        <v>82</v>
      </c>
      <c r="F362" s="6" t="s">
        <v>51</v>
      </c>
      <c r="G362" s="7">
        <v>4</v>
      </c>
      <c r="H362" s="6" t="s">
        <v>36</v>
      </c>
    </row>
    <row r="363" spans="1:8" ht="14.25" customHeight="1" x14ac:dyDescent="0.25">
      <c r="A363" s="8">
        <v>46242</v>
      </c>
      <c r="B363" s="9" t="s">
        <v>76</v>
      </c>
      <c r="C363" s="9" t="s">
        <v>77</v>
      </c>
      <c r="D363" s="9" t="s">
        <v>56</v>
      </c>
      <c r="E363" s="9" t="s">
        <v>46</v>
      </c>
      <c r="F363" s="9" t="s">
        <v>53</v>
      </c>
      <c r="G363" s="10">
        <v>7</v>
      </c>
      <c r="H363" s="9" t="s">
        <v>36</v>
      </c>
    </row>
    <row r="364" spans="1:8" ht="14.25" customHeight="1" x14ac:dyDescent="0.25">
      <c r="A364" s="5">
        <v>46114</v>
      </c>
      <c r="B364" s="6" t="s">
        <v>90</v>
      </c>
      <c r="C364" s="6" t="s">
        <v>42</v>
      </c>
      <c r="D364" s="6" t="s">
        <v>38</v>
      </c>
      <c r="E364" s="6" t="s">
        <v>46</v>
      </c>
      <c r="F364" s="6" t="s">
        <v>53</v>
      </c>
      <c r="G364" s="7">
        <v>6</v>
      </c>
      <c r="H364" s="6" t="s">
        <v>36</v>
      </c>
    </row>
    <row r="365" spans="1:8" ht="14.25" customHeight="1" x14ac:dyDescent="0.25">
      <c r="A365" s="8">
        <v>46231</v>
      </c>
      <c r="B365" s="9" t="s">
        <v>7</v>
      </c>
      <c r="C365" s="9" t="s">
        <v>37</v>
      </c>
      <c r="D365" s="9" t="s">
        <v>56</v>
      </c>
      <c r="E365" s="9" t="s">
        <v>82</v>
      </c>
      <c r="F365" s="9" t="s">
        <v>61</v>
      </c>
      <c r="G365" s="10">
        <v>7</v>
      </c>
      <c r="H365" s="9" t="s">
        <v>54</v>
      </c>
    </row>
    <row r="366" spans="1:8" ht="14.25" customHeight="1" x14ac:dyDescent="0.25">
      <c r="A366" s="5">
        <v>46087</v>
      </c>
      <c r="B366" s="6" t="s">
        <v>6</v>
      </c>
      <c r="C366" s="6" t="s">
        <v>28</v>
      </c>
      <c r="D366" s="6" t="s">
        <v>49</v>
      </c>
      <c r="E366" s="6" t="s">
        <v>75</v>
      </c>
      <c r="F366" s="6" t="s">
        <v>64</v>
      </c>
      <c r="G366" s="7">
        <v>12</v>
      </c>
      <c r="H366" s="6" t="s">
        <v>32</v>
      </c>
    </row>
    <row r="367" spans="1:8" ht="14.25" customHeight="1" x14ac:dyDescent="0.25">
      <c r="A367" s="8">
        <v>46228</v>
      </c>
      <c r="B367" s="9" t="s">
        <v>68</v>
      </c>
      <c r="C367" s="9" t="s">
        <v>71</v>
      </c>
      <c r="D367" s="9" t="s">
        <v>38</v>
      </c>
      <c r="E367" s="9" t="s">
        <v>72</v>
      </c>
      <c r="F367" s="9" t="s">
        <v>64</v>
      </c>
      <c r="G367" s="10">
        <v>10</v>
      </c>
      <c r="H367" s="9" t="s">
        <v>62</v>
      </c>
    </row>
    <row r="368" spans="1:8" ht="14.25" customHeight="1" x14ac:dyDescent="0.25">
      <c r="A368" s="5">
        <v>46223</v>
      </c>
      <c r="B368" s="6" t="s">
        <v>6</v>
      </c>
      <c r="C368" s="6" t="s">
        <v>58</v>
      </c>
      <c r="D368" s="6" t="s">
        <v>56</v>
      </c>
      <c r="E368" s="6" t="s">
        <v>63</v>
      </c>
      <c r="F368" s="6" t="s">
        <v>47</v>
      </c>
      <c r="G368" s="7">
        <v>6</v>
      </c>
      <c r="H368" s="6" t="s">
        <v>36</v>
      </c>
    </row>
    <row r="369" spans="1:8" ht="14.25" customHeight="1" x14ac:dyDescent="0.25">
      <c r="A369" s="8">
        <v>46106</v>
      </c>
      <c r="B369" s="9" t="s">
        <v>70</v>
      </c>
      <c r="C369" s="9" t="s">
        <v>58</v>
      </c>
      <c r="D369" s="9" t="s">
        <v>49</v>
      </c>
      <c r="E369" s="9" t="s">
        <v>57</v>
      </c>
      <c r="F369" s="9" t="s">
        <v>47</v>
      </c>
      <c r="G369" s="10">
        <v>15</v>
      </c>
      <c r="H369" s="9" t="s">
        <v>54</v>
      </c>
    </row>
    <row r="370" spans="1:8" ht="14.25" customHeight="1" x14ac:dyDescent="0.25">
      <c r="A370" s="5">
        <v>46050</v>
      </c>
      <c r="B370" s="6" t="s">
        <v>92</v>
      </c>
      <c r="C370" s="6" t="s">
        <v>28</v>
      </c>
      <c r="D370" s="6" t="s">
        <v>29</v>
      </c>
      <c r="E370" s="6" t="s">
        <v>75</v>
      </c>
      <c r="F370" s="6" t="s">
        <v>78</v>
      </c>
      <c r="G370" s="7">
        <v>3</v>
      </c>
      <c r="H370" s="6" t="s">
        <v>62</v>
      </c>
    </row>
    <row r="371" spans="1:8" ht="14.25" customHeight="1" x14ac:dyDescent="0.25">
      <c r="A371" s="8">
        <v>46117</v>
      </c>
      <c r="B371" s="9" t="s">
        <v>88</v>
      </c>
      <c r="C371" s="9" t="s">
        <v>71</v>
      </c>
      <c r="D371" s="9" t="s">
        <v>34</v>
      </c>
      <c r="E371" s="9" t="s">
        <v>95</v>
      </c>
      <c r="F371" s="9" t="s">
        <v>43</v>
      </c>
      <c r="G371" s="10">
        <v>1</v>
      </c>
      <c r="H371" s="9" t="s">
        <v>36</v>
      </c>
    </row>
    <row r="372" spans="1:8" ht="14.25" customHeight="1" x14ac:dyDescent="0.25">
      <c r="A372" s="5">
        <v>46246</v>
      </c>
      <c r="B372" s="6" t="s">
        <v>9</v>
      </c>
      <c r="C372" s="6" t="s">
        <v>37</v>
      </c>
      <c r="D372" s="6" t="s">
        <v>34</v>
      </c>
      <c r="E372" s="6" t="s">
        <v>46</v>
      </c>
      <c r="F372" s="6" t="s">
        <v>64</v>
      </c>
      <c r="G372" s="7">
        <v>9</v>
      </c>
      <c r="H372" s="6" t="s">
        <v>32</v>
      </c>
    </row>
    <row r="373" spans="1:8" ht="14.25" customHeight="1" x14ac:dyDescent="0.25">
      <c r="A373" s="8">
        <v>46199</v>
      </c>
      <c r="B373" s="9" t="s">
        <v>10</v>
      </c>
      <c r="C373" s="9" t="s">
        <v>28</v>
      </c>
      <c r="D373" s="9" t="s">
        <v>29</v>
      </c>
      <c r="E373" s="9" t="s">
        <v>69</v>
      </c>
      <c r="F373" s="9" t="s">
        <v>73</v>
      </c>
      <c r="G373" s="10">
        <v>7</v>
      </c>
      <c r="H373" s="9" t="s">
        <v>36</v>
      </c>
    </row>
    <row r="374" spans="1:8" ht="14.25" customHeight="1" x14ac:dyDescent="0.25">
      <c r="A374" s="5">
        <v>46170</v>
      </c>
      <c r="B374" s="6" t="s">
        <v>27</v>
      </c>
      <c r="C374" s="6" t="s">
        <v>28</v>
      </c>
      <c r="D374" s="6" t="s">
        <v>56</v>
      </c>
      <c r="E374" s="6" t="s">
        <v>39</v>
      </c>
      <c r="F374" s="6" t="s">
        <v>66</v>
      </c>
      <c r="G374" s="7">
        <v>4</v>
      </c>
      <c r="H374" s="6" t="s">
        <v>54</v>
      </c>
    </row>
    <row r="375" spans="1:8" ht="14.25" customHeight="1" x14ac:dyDescent="0.25">
      <c r="A375" s="8">
        <v>46062</v>
      </c>
      <c r="B375" s="9" t="s">
        <v>68</v>
      </c>
      <c r="C375" s="9" t="s">
        <v>74</v>
      </c>
      <c r="D375" s="9" t="s">
        <v>56</v>
      </c>
      <c r="E375" s="9" t="s">
        <v>75</v>
      </c>
      <c r="F375" s="9" t="s">
        <v>61</v>
      </c>
      <c r="G375" s="10">
        <v>7</v>
      </c>
      <c r="H375" s="9" t="s">
        <v>36</v>
      </c>
    </row>
    <row r="376" spans="1:8" ht="14.25" customHeight="1" x14ac:dyDescent="0.25">
      <c r="A376" s="5">
        <v>46086</v>
      </c>
      <c r="B376" s="6" t="s">
        <v>44</v>
      </c>
      <c r="C376" s="6" t="s">
        <v>71</v>
      </c>
      <c r="D376" s="6" t="s">
        <v>38</v>
      </c>
      <c r="E376" s="6" t="s">
        <v>57</v>
      </c>
      <c r="F376" s="6" t="s">
        <v>91</v>
      </c>
      <c r="G376" s="7">
        <v>10</v>
      </c>
      <c r="H376" s="6" t="s">
        <v>62</v>
      </c>
    </row>
    <row r="377" spans="1:8" ht="14.25" customHeight="1" x14ac:dyDescent="0.25">
      <c r="A377" s="8">
        <v>46078</v>
      </c>
      <c r="B377" s="9" t="s">
        <v>33</v>
      </c>
      <c r="C377" s="9" t="s">
        <v>58</v>
      </c>
      <c r="D377" s="9" t="s">
        <v>56</v>
      </c>
      <c r="E377" s="9" t="s">
        <v>46</v>
      </c>
      <c r="F377" s="9" t="s">
        <v>53</v>
      </c>
      <c r="G377" s="10">
        <v>2</v>
      </c>
      <c r="H377" s="9" t="s">
        <v>62</v>
      </c>
    </row>
    <row r="378" spans="1:8" ht="14.25" customHeight="1" x14ac:dyDescent="0.25">
      <c r="A378" s="5">
        <v>46183</v>
      </c>
      <c r="B378" s="6" t="s">
        <v>85</v>
      </c>
      <c r="C378" s="6" t="s">
        <v>77</v>
      </c>
      <c r="D378" s="6" t="s">
        <v>49</v>
      </c>
      <c r="E378" s="6" t="s">
        <v>46</v>
      </c>
      <c r="F378" s="6" t="s">
        <v>47</v>
      </c>
      <c r="G378" s="7">
        <v>14</v>
      </c>
      <c r="H378" s="6" t="s">
        <v>36</v>
      </c>
    </row>
    <row r="379" spans="1:8" ht="14.25" customHeight="1" x14ac:dyDescent="0.25">
      <c r="A379" s="8">
        <v>46032</v>
      </c>
      <c r="B379" s="9" t="s">
        <v>52</v>
      </c>
      <c r="C379" s="9" t="s">
        <v>71</v>
      </c>
      <c r="D379" s="9" t="s">
        <v>49</v>
      </c>
      <c r="E379" s="9" t="s">
        <v>39</v>
      </c>
      <c r="F379" s="9" t="s">
        <v>31</v>
      </c>
      <c r="G379" s="10">
        <v>6</v>
      </c>
      <c r="H379" s="9" t="s">
        <v>62</v>
      </c>
    </row>
    <row r="380" spans="1:8" ht="14.25" customHeight="1" x14ac:dyDescent="0.25">
      <c r="A380" s="5">
        <v>46220</v>
      </c>
      <c r="B380" s="6" t="s">
        <v>60</v>
      </c>
      <c r="C380" s="6" t="s">
        <v>71</v>
      </c>
      <c r="D380" s="6" t="s">
        <v>49</v>
      </c>
      <c r="E380" s="6" t="s">
        <v>94</v>
      </c>
      <c r="F380" s="6" t="s">
        <v>31</v>
      </c>
      <c r="G380" s="7">
        <v>5</v>
      </c>
      <c r="H380" s="6" t="s">
        <v>54</v>
      </c>
    </row>
    <row r="381" spans="1:8" ht="14.25" customHeight="1" x14ac:dyDescent="0.25">
      <c r="A381" s="8">
        <v>46073</v>
      </c>
      <c r="B381" s="9" t="s">
        <v>12</v>
      </c>
      <c r="C381" s="9" t="s">
        <v>45</v>
      </c>
      <c r="D381" s="9" t="s">
        <v>38</v>
      </c>
      <c r="E381" s="9" t="s">
        <v>94</v>
      </c>
      <c r="F381" s="9" t="s">
        <v>31</v>
      </c>
      <c r="G381" s="10">
        <v>4</v>
      </c>
      <c r="H381" s="9" t="s">
        <v>32</v>
      </c>
    </row>
    <row r="382" spans="1:8" ht="14.25" customHeight="1" x14ac:dyDescent="0.25">
      <c r="A382" s="5">
        <v>46199</v>
      </c>
      <c r="B382" s="6" t="s">
        <v>41</v>
      </c>
      <c r="C382" s="6" t="s">
        <v>71</v>
      </c>
      <c r="D382" s="6" t="s">
        <v>49</v>
      </c>
      <c r="E382" s="6" t="s">
        <v>95</v>
      </c>
      <c r="F382" s="6" t="s">
        <v>40</v>
      </c>
      <c r="G382" s="7">
        <v>4</v>
      </c>
      <c r="H382" s="6" t="s">
        <v>32</v>
      </c>
    </row>
    <row r="383" spans="1:8" ht="14.25" customHeight="1" x14ac:dyDescent="0.25">
      <c r="A383" s="8">
        <v>46189</v>
      </c>
      <c r="B383" s="9" t="s">
        <v>67</v>
      </c>
      <c r="C383" s="9" t="s">
        <v>37</v>
      </c>
      <c r="D383" s="9" t="s">
        <v>49</v>
      </c>
      <c r="E383" s="9" t="s">
        <v>30</v>
      </c>
      <c r="F383" s="9" t="s">
        <v>47</v>
      </c>
      <c r="G383" s="10">
        <v>10</v>
      </c>
      <c r="H383" s="9" t="s">
        <v>54</v>
      </c>
    </row>
    <row r="384" spans="1:8" ht="14.25" customHeight="1" x14ac:dyDescent="0.25">
      <c r="A384" s="5">
        <v>46185</v>
      </c>
      <c r="B384" s="6" t="s">
        <v>5</v>
      </c>
      <c r="C384" s="6" t="s">
        <v>89</v>
      </c>
      <c r="D384" s="6" t="s">
        <v>34</v>
      </c>
      <c r="E384" s="6" t="s">
        <v>30</v>
      </c>
      <c r="F384" s="6" t="s">
        <v>61</v>
      </c>
      <c r="G384" s="7">
        <v>14</v>
      </c>
      <c r="H384" s="6" t="s">
        <v>54</v>
      </c>
    </row>
    <row r="385" spans="1:8" ht="14.25" customHeight="1" x14ac:dyDescent="0.25">
      <c r="A385" s="8">
        <v>46201</v>
      </c>
      <c r="B385" s="9" t="s">
        <v>15</v>
      </c>
      <c r="C385" s="9" t="s">
        <v>77</v>
      </c>
      <c r="D385" s="9" t="s">
        <v>38</v>
      </c>
      <c r="E385" s="9" t="s">
        <v>57</v>
      </c>
      <c r="F385" s="9" t="s">
        <v>53</v>
      </c>
      <c r="G385" s="10">
        <v>8</v>
      </c>
      <c r="H385" s="9" t="s">
        <v>62</v>
      </c>
    </row>
    <row r="386" spans="1:8" ht="14.25" customHeight="1" x14ac:dyDescent="0.25">
      <c r="A386" s="5">
        <v>46031</v>
      </c>
      <c r="B386" s="6" t="s">
        <v>92</v>
      </c>
      <c r="C386" s="6" t="s">
        <v>28</v>
      </c>
      <c r="D386" s="6" t="s">
        <v>34</v>
      </c>
      <c r="E386" s="6" t="s">
        <v>69</v>
      </c>
      <c r="F386" s="6" t="s">
        <v>66</v>
      </c>
      <c r="G386" s="7">
        <v>3</v>
      </c>
      <c r="H386" s="6" t="s">
        <v>54</v>
      </c>
    </row>
    <row r="387" spans="1:8" ht="14.25" customHeight="1" x14ac:dyDescent="0.25">
      <c r="A387" s="8">
        <v>46208</v>
      </c>
      <c r="B387" s="9" t="s">
        <v>9</v>
      </c>
      <c r="C387" s="9" t="s">
        <v>37</v>
      </c>
      <c r="D387" s="9" t="s">
        <v>34</v>
      </c>
      <c r="E387" s="9" t="s">
        <v>63</v>
      </c>
      <c r="F387" s="9" t="s">
        <v>78</v>
      </c>
      <c r="G387" s="10">
        <v>13</v>
      </c>
      <c r="H387" s="9" t="s">
        <v>32</v>
      </c>
    </row>
    <row r="388" spans="1:8" ht="14.25" customHeight="1" x14ac:dyDescent="0.25">
      <c r="A388" s="5">
        <v>46196</v>
      </c>
      <c r="B388" s="6" t="s">
        <v>70</v>
      </c>
      <c r="C388" s="6" t="s">
        <v>37</v>
      </c>
      <c r="D388" s="6" t="s">
        <v>38</v>
      </c>
      <c r="E388" s="6" t="s">
        <v>35</v>
      </c>
      <c r="F388" s="6" t="s">
        <v>40</v>
      </c>
      <c r="G388" s="7">
        <v>8</v>
      </c>
      <c r="H388" s="6" t="s">
        <v>32</v>
      </c>
    </row>
    <row r="389" spans="1:8" ht="14.25" customHeight="1" x14ac:dyDescent="0.25">
      <c r="A389" s="8">
        <v>46090</v>
      </c>
      <c r="B389" s="9" t="s">
        <v>6</v>
      </c>
      <c r="C389" s="9" t="s">
        <v>71</v>
      </c>
      <c r="D389" s="9" t="s">
        <v>38</v>
      </c>
      <c r="E389" s="9" t="s">
        <v>57</v>
      </c>
      <c r="F389" s="9" t="s">
        <v>78</v>
      </c>
      <c r="G389" s="10">
        <v>6</v>
      </c>
      <c r="H389" s="9" t="s">
        <v>32</v>
      </c>
    </row>
    <row r="390" spans="1:8" ht="14.25" customHeight="1" x14ac:dyDescent="0.25">
      <c r="A390" s="5">
        <v>46043</v>
      </c>
      <c r="B390" s="6" t="s">
        <v>10</v>
      </c>
      <c r="C390" s="6" t="s">
        <v>28</v>
      </c>
      <c r="D390" s="6" t="s">
        <v>29</v>
      </c>
      <c r="E390" s="6" t="s">
        <v>82</v>
      </c>
      <c r="F390" s="6" t="s">
        <v>59</v>
      </c>
      <c r="G390" s="7">
        <v>14</v>
      </c>
      <c r="H390" s="6" t="s">
        <v>54</v>
      </c>
    </row>
    <row r="391" spans="1:8" ht="14.25" customHeight="1" x14ac:dyDescent="0.25">
      <c r="A391" s="8">
        <v>46162</v>
      </c>
      <c r="B391" s="9" t="s">
        <v>88</v>
      </c>
      <c r="C391" s="9" t="s">
        <v>77</v>
      </c>
      <c r="D391" s="9" t="s">
        <v>49</v>
      </c>
      <c r="E391" s="9" t="s">
        <v>39</v>
      </c>
      <c r="F391" s="9" t="s">
        <v>51</v>
      </c>
      <c r="G391" s="10">
        <v>1</v>
      </c>
      <c r="H391" s="9" t="s">
        <v>36</v>
      </c>
    </row>
    <row r="392" spans="1:8" ht="14.25" customHeight="1" x14ac:dyDescent="0.25">
      <c r="A392" s="5">
        <v>46169</v>
      </c>
      <c r="B392" s="6" t="s">
        <v>9</v>
      </c>
      <c r="C392" s="6" t="s">
        <v>37</v>
      </c>
      <c r="D392" s="6" t="s">
        <v>38</v>
      </c>
      <c r="E392" s="6" t="s">
        <v>35</v>
      </c>
      <c r="F392" s="6" t="s">
        <v>91</v>
      </c>
      <c r="G392" s="7">
        <v>11</v>
      </c>
      <c r="H392" s="6" t="s">
        <v>62</v>
      </c>
    </row>
    <row r="393" spans="1:8" ht="14.25" customHeight="1" x14ac:dyDescent="0.25">
      <c r="A393" s="8">
        <v>46168</v>
      </c>
      <c r="B393" s="9" t="s">
        <v>76</v>
      </c>
      <c r="C393" s="9" t="s">
        <v>77</v>
      </c>
      <c r="D393" s="9" t="s">
        <v>34</v>
      </c>
      <c r="E393" s="9" t="s">
        <v>39</v>
      </c>
      <c r="F393" s="9" t="s">
        <v>51</v>
      </c>
      <c r="G393" s="10">
        <v>9</v>
      </c>
      <c r="H393" s="9" t="s">
        <v>32</v>
      </c>
    </row>
    <row r="394" spans="1:8" ht="14.25" customHeight="1" x14ac:dyDescent="0.25">
      <c r="A394" s="5">
        <v>46156</v>
      </c>
      <c r="B394" s="6" t="s">
        <v>12</v>
      </c>
      <c r="C394" s="6" t="s">
        <v>58</v>
      </c>
      <c r="D394" s="6" t="s">
        <v>38</v>
      </c>
      <c r="E394" s="6" t="s">
        <v>69</v>
      </c>
      <c r="F394" s="6" t="s">
        <v>91</v>
      </c>
      <c r="G394" s="7">
        <v>2</v>
      </c>
      <c r="H394" s="6" t="s">
        <v>32</v>
      </c>
    </row>
    <row r="395" spans="1:8" ht="14.25" customHeight="1" x14ac:dyDescent="0.25">
      <c r="A395" s="8">
        <v>46037</v>
      </c>
      <c r="B395" s="9" t="s">
        <v>27</v>
      </c>
      <c r="C395" s="9" t="s">
        <v>28</v>
      </c>
      <c r="D395" s="9" t="s">
        <v>56</v>
      </c>
      <c r="E395" s="9" t="s">
        <v>82</v>
      </c>
      <c r="F395" s="9" t="s">
        <v>78</v>
      </c>
      <c r="G395" s="10">
        <v>9</v>
      </c>
      <c r="H395" s="9" t="s">
        <v>36</v>
      </c>
    </row>
    <row r="396" spans="1:8" ht="14.25" customHeight="1" x14ac:dyDescent="0.25">
      <c r="A396" s="5">
        <v>46175</v>
      </c>
      <c r="B396" s="6" t="s">
        <v>88</v>
      </c>
      <c r="C396" s="6" t="s">
        <v>28</v>
      </c>
      <c r="D396" s="6" t="s">
        <v>56</v>
      </c>
      <c r="E396" s="6" t="s">
        <v>69</v>
      </c>
      <c r="F396" s="6" t="s">
        <v>91</v>
      </c>
      <c r="G396" s="7">
        <v>8</v>
      </c>
      <c r="H396" s="6" t="s">
        <v>36</v>
      </c>
    </row>
    <row r="397" spans="1:8" ht="14.25" customHeight="1" x14ac:dyDescent="0.25">
      <c r="A397" s="8">
        <v>46173</v>
      </c>
      <c r="B397" s="9" t="s">
        <v>8</v>
      </c>
      <c r="C397" s="9" t="s">
        <v>37</v>
      </c>
      <c r="D397" s="9" t="s">
        <v>38</v>
      </c>
      <c r="E397" s="9" t="s">
        <v>50</v>
      </c>
      <c r="F397" s="9" t="s">
        <v>47</v>
      </c>
      <c r="G397" s="10">
        <v>9</v>
      </c>
      <c r="H397" s="9" t="s">
        <v>32</v>
      </c>
    </row>
    <row r="398" spans="1:8" ht="14.25" customHeight="1" x14ac:dyDescent="0.25">
      <c r="A398" s="5">
        <v>46024</v>
      </c>
      <c r="B398" s="6" t="s">
        <v>44</v>
      </c>
      <c r="C398" s="6" t="s">
        <v>58</v>
      </c>
      <c r="D398" s="6" t="s">
        <v>34</v>
      </c>
      <c r="E398" s="6" t="s">
        <v>39</v>
      </c>
      <c r="F398" s="6" t="s">
        <v>43</v>
      </c>
      <c r="G398" s="7">
        <v>11</v>
      </c>
      <c r="H398" s="6" t="s">
        <v>36</v>
      </c>
    </row>
    <row r="399" spans="1:8" ht="14.25" customHeight="1" x14ac:dyDescent="0.25">
      <c r="A399" s="8">
        <v>46047</v>
      </c>
      <c r="B399" s="9" t="s">
        <v>60</v>
      </c>
      <c r="C399" s="9" t="s">
        <v>48</v>
      </c>
      <c r="D399" s="9" t="s">
        <v>34</v>
      </c>
      <c r="E399" s="9" t="s">
        <v>39</v>
      </c>
      <c r="F399" s="9" t="s">
        <v>91</v>
      </c>
      <c r="G399" s="10">
        <v>8</v>
      </c>
      <c r="H399" s="9" t="s">
        <v>32</v>
      </c>
    </row>
    <row r="400" spans="1:8" ht="14.25" customHeight="1" x14ac:dyDescent="0.25">
      <c r="A400" s="5">
        <v>46112</v>
      </c>
      <c r="B400" s="6" t="s">
        <v>7</v>
      </c>
      <c r="C400" s="6" t="s">
        <v>89</v>
      </c>
      <c r="D400" s="6" t="s">
        <v>38</v>
      </c>
      <c r="E400" s="6" t="s">
        <v>72</v>
      </c>
      <c r="F400" s="6" t="s">
        <v>64</v>
      </c>
      <c r="G400" s="7">
        <v>7</v>
      </c>
      <c r="H400" s="6" t="s">
        <v>54</v>
      </c>
    </row>
    <row r="401" spans="1:8" ht="14.25" customHeight="1" x14ac:dyDescent="0.25">
      <c r="A401" s="8">
        <v>46085</v>
      </c>
      <c r="B401" s="9" t="s">
        <v>90</v>
      </c>
      <c r="C401" s="9" t="s">
        <v>28</v>
      </c>
      <c r="D401" s="9" t="s">
        <v>29</v>
      </c>
      <c r="E401" s="9" t="s">
        <v>81</v>
      </c>
      <c r="F401" s="9" t="s">
        <v>61</v>
      </c>
      <c r="G401" s="10">
        <v>8</v>
      </c>
      <c r="H401" s="9" t="s">
        <v>54</v>
      </c>
    </row>
    <row r="402" spans="1:8" ht="14.25" customHeight="1" x14ac:dyDescent="0.25">
      <c r="A402" s="5">
        <v>46117</v>
      </c>
      <c r="B402" s="6" t="s">
        <v>5</v>
      </c>
      <c r="C402" s="6" t="s">
        <v>48</v>
      </c>
      <c r="D402" s="6" t="s">
        <v>29</v>
      </c>
      <c r="E402" s="6" t="s">
        <v>82</v>
      </c>
      <c r="F402" s="6" t="s">
        <v>91</v>
      </c>
      <c r="G402" s="7">
        <v>13</v>
      </c>
      <c r="H402" s="6" t="s">
        <v>62</v>
      </c>
    </row>
    <row r="403" spans="1:8" ht="14.25" customHeight="1" x14ac:dyDescent="0.25">
      <c r="A403" s="8">
        <v>46107</v>
      </c>
      <c r="B403" s="9" t="s">
        <v>79</v>
      </c>
      <c r="C403" s="9" t="s">
        <v>42</v>
      </c>
      <c r="D403" s="9" t="s">
        <v>56</v>
      </c>
      <c r="E403" s="9" t="s">
        <v>82</v>
      </c>
      <c r="F403" s="9" t="s">
        <v>31</v>
      </c>
      <c r="G403" s="10">
        <v>14</v>
      </c>
      <c r="H403" s="9" t="s">
        <v>36</v>
      </c>
    </row>
    <row r="404" spans="1:8" ht="14.25" customHeight="1" x14ac:dyDescent="0.25">
      <c r="A404" s="5">
        <v>46142</v>
      </c>
      <c r="B404" s="6" t="s">
        <v>83</v>
      </c>
      <c r="C404" s="6" t="s">
        <v>89</v>
      </c>
      <c r="D404" s="6" t="s">
        <v>56</v>
      </c>
      <c r="E404" s="6" t="s">
        <v>46</v>
      </c>
      <c r="F404" s="6" t="s">
        <v>61</v>
      </c>
      <c r="G404" s="7">
        <v>11</v>
      </c>
      <c r="H404" s="6" t="s">
        <v>62</v>
      </c>
    </row>
    <row r="405" spans="1:8" ht="14.25" customHeight="1" x14ac:dyDescent="0.25">
      <c r="A405" s="8">
        <v>46029</v>
      </c>
      <c r="B405" s="9" t="s">
        <v>44</v>
      </c>
      <c r="C405" s="9" t="s">
        <v>87</v>
      </c>
      <c r="D405" s="9" t="s">
        <v>38</v>
      </c>
      <c r="E405" s="9" t="s">
        <v>72</v>
      </c>
      <c r="F405" s="9" t="s">
        <v>78</v>
      </c>
      <c r="G405" s="10">
        <v>14</v>
      </c>
      <c r="H405" s="9" t="s">
        <v>36</v>
      </c>
    </row>
    <row r="406" spans="1:8" ht="14.25" customHeight="1" x14ac:dyDescent="0.25">
      <c r="A406" s="5">
        <v>46112</v>
      </c>
      <c r="B406" s="6" t="s">
        <v>52</v>
      </c>
      <c r="C406" s="6" t="s">
        <v>37</v>
      </c>
      <c r="D406" s="6" t="s">
        <v>29</v>
      </c>
      <c r="E406" s="6" t="s">
        <v>35</v>
      </c>
      <c r="F406" s="6" t="s">
        <v>61</v>
      </c>
      <c r="G406" s="7">
        <v>13</v>
      </c>
      <c r="H406" s="6" t="s">
        <v>32</v>
      </c>
    </row>
    <row r="407" spans="1:8" ht="14.25" customHeight="1" x14ac:dyDescent="0.25">
      <c r="A407" s="8">
        <v>46220</v>
      </c>
      <c r="B407" s="9" t="s">
        <v>67</v>
      </c>
      <c r="C407" s="9" t="s">
        <v>45</v>
      </c>
      <c r="D407" s="9" t="s">
        <v>34</v>
      </c>
      <c r="E407" s="9" t="s">
        <v>35</v>
      </c>
      <c r="F407" s="9" t="s">
        <v>51</v>
      </c>
      <c r="G407" s="10">
        <v>9</v>
      </c>
      <c r="H407" s="9" t="s">
        <v>62</v>
      </c>
    </row>
    <row r="408" spans="1:8" ht="14.25" customHeight="1" x14ac:dyDescent="0.25">
      <c r="A408" s="5">
        <v>46134</v>
      </c>
      <c r="B408" s="6" t="s">
        <v>67</v>
      </c>
      <c r="C408" s="6" t="s">
        <v>48</v>
      </c>
      <c r="D408" s="6" t="s">
        <v>56</v>
      </c>
      <c r="E408" s="6" t="s">
        <v>94</v>
      </c>
      <c r="F408" s="6" t="s">
        <v>78</v>
      </c>
      <c r="G408" s="7">
        <v>6</v>
      </c>
      <c r="H408" s="6" t="s">
        <v>62</v>
      </c>
    </row>
    <row r="409" spans="1:8" ht="14.25" customHeight="1" x14ac:dyDescent="0.25">
      <c r="A409" s="8">
        <v>46210</v>
      </c>
      <c r="B409" s="9" t="s">
        <v>12</v>
      </c>
      <c r="C409" s="9" t="s">
        <v>48</v>
      </c>
      <c r="D409" s="9" t="s">
        <v>49</v>
      </c>
      <c r="E409" s="9" t="s">
        <v>57</v>
      </c>
      <c r="F409" s="9" t="s">
        <v>73</v>
      </c>
      <c r="G409" s="10">
        <v>12</v>
      </c>
      <c r="H409" s="9" t="s">
        <v>54</v>
      </c>
    </row>
    <row r="410" spans="1:8" ht="14.25" customHeight="1" x14ac:dyDescent="0.25">
      <c r="A410" s="5">
        <v>46099</v>
      </c>
      <c r="B410" s="6" t="s">
        <v>9</v>
      </c>
      <c r="C410" s="6" t="s">
        <v>89</v>
      </c>
      <c r="D410" s="6" t="s">
        <v>38</v>
      </c>
      <c r="E410" s="6" t="s">
        <v>50</v>
      </c>
      <c r="F410" s="6" t="s">
        <v>43</v>
      </c>
      <c r="G410" s="7">
        <v>7</v>
      </c>
      <c r="H410" s="6" t="s">
        <v>32</v>
      </c>
    </row>
    <row r="411" spans="1:8" ht="14.25" customHeight="1" x14ac:dyDescent="0.25">
      <c r="A411" s="8">
        <v>46134</v>
      </c>
      <c r="B411" s="9" t="s">
        <v>90</v>
      </c>
      <c r="C411" s="9" t="s">
        <v>93</v>
      </c>
      <c r="D411" s="9" t="s">
        <v>49</v>
      </c>
      <c r="E411" s="9" t="s">
        <v>94</v>
      </c>
      <c r="F411" s="9" t="s">
        <v>31</v>
      </c>
      <c r="G411" s="10">
        <v>14</v>
      </c>
      <c r="H411" s="9" t="s">
        <v>62</v>
      </c>
    </row>
    <row r="412" spans="1:8" ht="14.25" customHeight="1" x14ac:dyDescent="0.25">
      <c r="A412" s="5">
        <v>46159</v>
      </c>
      <c r="B412" s="6" t="s">
        <v>8</v>
      </c>
      <c r="C412" s="6" t="s">
        <v>74</v>
      </c>
      <c r="D412" s="6" t="s">
        <v>49</v>
      </c>
      <c r="E412" s="6" t="s">
        <v>46</v>
      </c>
      <c r="F412" s="6" t="s">
        <v>78</v>
      </c>
      <c r="G412" s="7">
        <v>8</v>
      </c>
      <c r="H412" s="6" t="s">
        <v>62</v>
      </c>
    </row>
    <row r="413" spans="1:8" ht="14.25" customHeight="1" x14ac:dyDescent="0.25">
      <c r="A413" s="8">
        <v>46067</v>
      </c>
      <c r="B413" s="9" t="s">
        <v>10</v>
      </c>
      <c r="C413" s="9" t="s">
        <v>37</v>
      </c>
      <c r="D413" s="9" t="s">
        <v>29</v>
      </c>
      <c r="E413" s="9" t="s">
        <v>69</v>
      </c>
      <c r="F413" s="9" t="s">
        <v>66</v>
      </c>
      <c r="G413" s="10">
        <v>3</v>
      </c>
      <c r="H413" s="9" t="s">
        <v>32</v>
      </c>
    </row>
    <row r="414" spans="1:8" ht="14.25" customHeight="1" x14ac:dyDescent="0.25">
      <c r="A414" s="5">
        <v>46213</v>
      </c>
      <c r="B414" s="6" t="s">
        <v>44</v>
      </c>
      <c r="C414" s="6" t="s">
        <v>28</v>
      </c>
      <c r="D414" s="6" t="s">
        <v>29</v>
      </c>
      <c r="E414" s="6" t="s">
        <v>72</v>
      </c>
      <c r="F414" s="6" t="s">
        <v>59</v>
      </c>
      <c r="G414" s="7">
        <v>15</v>
      </c>
      <c r="H414" s="6" t="s">
        <v>62</v>
      </c>
    </row>
    <row r="415" spans="1:8" ht="14.25" customHeight="1" x14ac:dyDescent="0.25">
      <c r="A415" s="8">
        <v>46110</v>
      </c>
      <c r="B415" s="9" t="s">
        <v>60</v>
      </c>
      <c r="C415" s="9" t="s">
        <v>93</v>
      </c>
      <c r="D415" s="9" t="s">
        <v>56</v>
      </c>
      <c r="E415" s="9" t="s">
        <v>75</v>
      </c>
      <c r="F415" s="9" t="s">
        <v>51</v>
      </c>
      <c r="G415" s="10">
        <v>5</v>
      </c>
      <c r="H415" s="9" t="s">
        <v>36</v>
      </c>
    </row>
    <row r="416" spans="1:8" ht="14.25" customHeight="1" x14ac:dyDescent="0.25">
      <c r="A416" s="5">
        <v>46148</v>
      </c>
      <c r="B416" s="6" t="s">
        <v>60</v>
      </c>
      <c r="C416" s="6" t="s">
        <v>42</v>
      </c>
      <c r="D416" s="6" t="s">
        <v>38</v>
      </c>
      <c r="E416" s="6" t="s">
        <v>63</v>
      </c>
      <c r="F416" s="6" t="s">
        <v>47</v>
      </c>
      <c r="G416" s="7">
        <v>2</v>
      </c>
      <c r="H416" s="6" t="s">
        <v>36</v>
      </c>
    </row>
    <row r="417" spans="1:8" ht="14.25" customHeight="1" x14ac:dyDescent="0.25">
      <c r="A417" s="8">
        <v>46134</v>
      </c>
      <c r="B417" s="9" t="s">
        <v>9</v>
      </c>
      <c r="C417" s="9" t="s">
        <v>45</v>
      </c>
      <c r="D417" s="9" t="s">
        <v>34</v>
      </c>
      <c r="E417" s="9" t="s">
        <v>69</v>
      </c>
      <c r="F417" s="9" t="s">
        <v>43</v>
      </c>
      <c r="G417" s="10">
        <v>14</v>
      </c>
      <c r="H417" s="9" t="s">
        <v>54</v>
      </c>
    </row>
    <row r="418" spans="1:8" ht="14.25" customHeight="1" x14ac:dyDescent="0.25">
      <c r="A418" s="5">
        <v>46077</v>
      </c>
      <c r="B418" s="6" t="s">
        <v>52</v>
      </c>
      <c r="C418" s="6" t="s">
        <v>28</v>
      </c>
      <c r="D418" s="6" t="s">
        <v>56</v>
      </c>
      <c r="E418" s="6" t="s">
        <v>95</v>
      </c>
      <c r="F418" s="6" t="s">
        <v>40</v>
      </c>
      <c r="G418" s="7">
        <v>5</v>
      </c>
      <c r="H418" s="6" t="s">
        <v>32</v>
      </c>
    </row>
    <row r="419" spans="1:8" ht="14.25" customHeight="1" x14ac:dyDescent="0.25">
      <c r="A419" s="8">
        <v>46155</v>
      </c>
      <c r="B419" s="9" t="s">
        <v>85</v>
      </c>
      <c r="C419" s="9" t="s">
        <v>58</v>
      </c>
      <c r="D419" s="9" t="s">
        <v>49</v>
      </c>
      <c r="E419" s="9" t="s">
        <v>63</v>
      </c>
      <c r="F419" s="9" t="s">
        <v>64</v>
      </c>
      <c r="G419" s="10">
        <v>13</v>
      </c>
      <c r="H419" s="9" t="s">
        <v>62</v>
      </c>
    </row>
    <row r="420" spans="1:8" ht="14.25" customHeight="1" x14ac:dyDescent="0.25">
      <c r="A420" s="5">
        <v>46172</v>
      </c>
      <c r="B420" s="6" t="s">
        <v>92</v>
      </c>
      <c r="C420" s="6" t="s">
        <v>28</v>
      </c>
      <c r="D420" s="6" t="s">
        <v>38</v>
      </c>
      <c r="E420" s="6" t="s">
        <v>57</v>
      </c>
      <c r="F420" s="6" t="s">
        <v>47</v>
      </c>
      <c r="G420" s="7">
        <v>3</v>
      </c>
      <c r="H420" s="6" t="s">
        <v>32</v>
      </c>
    </row>
    <row r="421" spans="1:8" ht="14.25" customHeight="1" x14ac:dyDescent="0.25">
      <c r="A421" s="8">
        <v>46087</v>
      </c>
      <c r="B421" s="9" t="s">
        <v>15</v>
      </c>
      <c r="C421" s="9" t="s">
        <v>28</v>
      </c>
      <c r="D421" s="9" t="s">
        <v>38</v>
      </c>
      <c r="E421" s="9" t="s">
        <v>46</v>
      </c>
      <c r="F421" s="9" t="s">
        <v>84</v>
      </c>
      <c r="G421" s="10">
        <v>8</v>
      </c>
      <c r="H421" s="9" t="s">
        <v>36</v>
      </c>
    </row>
    <row r="422" spans="1:8" ht="14.25" customHeight="1" x14ac:dyDescent="0.25">
      <c r="A422" s="5">
        <v>46235</v>
      </c>
      <c r="B422" s="6" t="s">
        <v>88</v>
      </c>
      <c r="C422" s="6" t="s">
        <v>48</v>
      </c>
      <c r="D422" s="6" t="s">
        <v>29</v>
      </c>
      <c r="E422" s="6" t="s">
        <v>46</v>
      </c>
      <c r="F422" s="6" t="s">
        <v>84</v>
      </c>
      <c r="G422" s="7">
        <v>1</v>
      </c>
      <c r="H422" s="6" t="s">
        <v>62</v>
      </c>
    </row>
    <row r="423" spans="1:8" ht="14.25" customHeight="1" x14ac:dyDescent="0.25">
      <c r="A423" s="8">
        <v>46052</v>
      </c>
      <c r="B423" s="9" t="s">
        <v>70</v>
      </c>
      <c r="C423" s="9" t="s">
        <v>45</v>
      </c>
      <c r="D423" s="9" t="s">
        <v>49</v>
      </c>
      <c r="E423" s="9" t="s">
        <v>81</v>
      </c>
      <c r="F423" s="9" t="s">
        <v>47</v>
      </c>
      <c r="G423" s="10">
        <v>5</v>
      </c>
      <c r="H423" s="9" t="s">
        <v>54</v>
      </c>
    </row>
    <row r="424" spans="1:8" ht="14.25" customHeight="1" x14ac:dyDescent="0.25">
      <c r="A424" s="5">
        <v>46208</v>
      </c>
      <c r="B424" s="6" t="s">
        <v>15</v>
      </c>
      <c r="C424" s="6" t="s">
        <v>71</v>
      </c>
      <c r="D424" s="6" t="s">
        <v>38</v>
      </c>
      <c r="E424" s="6" t="s">
        <v>72</v>
      </c>
      <c r="F424" s="6" t="s">
        <v>64</v>
      </c>
      <c r="G424" s="7">
        <v>8</v>
      </c>
      <c r="H424" s="6" t="s">
        <v>32</v>
      </c>
    </row>
    <row r="425" spans="1:8" ht="14.25" customHeight="1" x14ac:dyDescent="0.25">
      <c r="A425" s="8">
        <v>46134</v>
      </c>
      <c r="B425" s="9" t="s">
        <v>70</v>
      </c>
      <c r="C425" s="9" t="s">
        <v>58</v>
      </c>
      <c r="D425" s="9" t="s">
        <v>49</v>
      </c>
      <c r="E425" s="9" t="s">
        <v>75</v>
      </c>
      <c r="F425" s="9" t="s">
        <v>53</v>
      </c>
      <c r="G425" s="10">
        <v>4</v>
      </c>
      <c r="H425" s="9" t="s">
        <v>36</v>
      </c>
    </row>
    <row r="426" spans="1:8" ht="14.25" customHeight="1" x14ac:dyDescent="0.25">
      <c r="A426" s="5">
        <v>46202</v>
      </c>
      <c r="B426" s="6" t="s">
        <v>83</v>
      </c>
      <c r="C426" s="6" t="s">
        <v>71</v>
      </c>
      <c r="D426" s="6" t="s">
        <v>49</v>
      </c>
      <c r="E426" s="6" t="s">
        <v>63</v>
      </c>
      <c r="F426" s="6" t="s">
        <v>47</v>
      </c>
      <c r="G426" s="7">
        <v>4</v>
      </c>
      <c r="H426" s="6" t="s">
        <v>36</v>
      </c>
    </row>
    <row r="427" spans="1:8" ht="14.25" customHeight="1" x14ac:dyDescent="0.25">
      <c r="A427" s="8">
        <v>46154</v>
      </c>
      <c r="B427" s="9" t="s">
        <v>12</v>
      </c>
      <c r="C427" s="9" t="s">
        <v>45</v>
      </c>
      <c r="D427" s="9" t="s">
        <v>34</v>
      </c>
      <c r="E427" s="9" t="s">
        <v>75</v>
      </c>
      <c r="F427" s="9" t="s">
        <v>78</v>
      </c>
      <c r="G427" s="10">
        <v>10</v>
      </c>
      <c r="H427" s="9" t="s">
        <v>36</v>
      </c>
    </row>
    <row r="428" spans="1:8" ht="14.25" customHeight="1" x14ac:dyDescent="0.25">
      <c r="A428" s="5">
        <v>46062</v>
      </c>
      <c r="B428" s="6" t="s">
        <v>12</v>
      </c>
      <c r="C428" s="6" t="s">
        <v>28</v>
      </c>
      <c r="D428" s="6" t="s">
        <v>29</v>
      </c>
      <c r="E428" s="6" t="s">
        <v>72</v>
      </c>
      <c r="F428" s="6" t="s">
        <v>31</v>
      </c>
      <c r="G428" s="7">
        <v>8</v>
      </c>
      <c r="H428" s="6" t="s">
        <v>54</v>
      </c>
    </row>
    <row r="429" spans="1:8" ht="14.25" customHeight="1" x14ac:dyDescent="0.25">
      <c r="A429" s="8">
        <v>46108</v>
      </c>
      <c r="B429" s="9" t="s">
        <v>83</v>
      </c>
      <c r="C429" s="9" t="s">
        <v>77</v>
      </c>
      <c r="D429" s="9" t="s">
        <v>38</v>
      </c>
      <c r="E429" s="9" t="s">
        <v>50</v>
      </c>
      <c r="F429" s="9" t="s">
        <v>47</v>
      </c>
      <c r="G429" s="10">
        <v>5</v>
      </c>
      <c r="H429" s="9" t="s">
        <v>32</v>
      </c>
    </row>
    <row r="430" spans="1:8" ht="14.25" customHeight="1" x14ac:dyDescent="0.25">
      <c r="A430" s="5">
        <v>46106</v>
      </c>
      <c r="B430" s="6" t="s">
        <v>12</v>
      </c>
      <c r="C430" s="6" t="s">
        <v>45</v>
      </c>
      <c r="D430" s="6" t="s">
        <v>29</v>
      </c>
      <c r="E430" s="6" t="s">
        <v>57</v>
      </c>
      <c r="F430" s="6" t="s">
        <v>91</v>
      </c>
      <c r="G430" s="7">
        <v>2</v>
      </c>
      <c r="H430" s="6" t="s">
        <v>36</v>
      </c>
    </row>
    <row r="431" spans="1:8" ht="14.25" customHeight="1" x14ac:dyDescent="0.25">
      <c r="A431" s="8">
        <v>46209</v>
      </c>
      <c r="B431" s="9" t="s">
        <v>52</v>
      </c>
      <c r="C431" s="9" t="s">
        <v>71</v>
      </c>
      <c r="D431" s="9" t="s">
        <v>29</v>
      </c>
      <c r="E431" s="9" t="s">
        <v>57</v>
      </c>
      <c r="F431" s="9" t="s">
        <v>91</v>
      </c>
      <c r="G431" s="10">
        <v>6</v>
      </c>
      <c r="H431" s="9" t="s">
        <v>62</v>
      </c>
    </row>
    <row r="432" spans="1:8" ht="14.25" customHeight="1" x14ac:dyDescent="0.25">
      <c r="A432" s="5">
        <v>46247</v>
      </c>
      <c r="B432" s="6" t="s">
        <v>79</v>
      </c>
      <c r="C432" s="6" t="s">
        <v>77</v>
      </c>
      <c r="D432" s="6" t="s">
        <v>49</v>
      </c>
      <c r="E432" s="6" t="s">
        <v>81</v>
      </c>
      <c r="F432" s="6" t="s">
        <v>66</v>
      </c>
      <c r="G432" s="7">
        <v>7</v>
      </c>
      <c r="H432" s="6" t="s">
        <v>54</v>
      </c>
    </row>
    <row r="433" spans="1:8" ht="14.25" customHeight="1" x14ac:dyDescent="0.25">
      <c r="A433" s="8">
        <v>46201</v>
      </c>
      <c r="B433" s="9" t="s">
        <v>41</v>
      </c>
      <c r="C433" s="9" t="s">
        <v>37</v>
      </c>
      <c r="D433" s="9" t="s">
        <v>38</v>
      </c>
      <c r="E433" s="9" t="s">
        <v>82</v>
      </c>
      <c r="F433" s="9" t="s">
        <v>59</v>
      </c>
      <c r="G433" s="10">
        <v>3</v>
      </c>
      <c r="H433" s="9" t="s">
        <v>36</v>
      </c>
    </row>
    <row r="434" spans="1:8" ht="14.25" customHeight="1" x14ac:dyDescent="0.25">
      <c r="A434" s="5">
        <v>46080</v>
      </c>
      <c r="B434" s="6" t="s">
        <v>27</v>
      </c>
      <c r="C434" s="6" t="s">
        <v>37</v>
      </c>
      <c r="D434" s="6" t="s">
        <v>56</v>
      </c>
      <c r="E434" s="6" t="s">
        <v>63</v>
      </c>
      <c r="F434" s="6" t="s">
        <v>91</v>
      </c>
      <c r="G434" s="7">
        <v>5</v>
      </c>
      <c r="H434" s="6" t="s">
        <v>32</v>
      </c>
    </row>
    <row r="435" spans="1:8" ht="14.25" customHeight="1" x14ac:dyDescent="0.25">
      <c r="A435" s="8">
        <v>46074</v>
      </c>
      <c r="B435" s="9" t="s">
        <v>7</v>
      </c>
      <c r="C435" s="9" t="s">
        <v>87</v>
      </c>
      <c r="D435" s="9" t="s">
        <v>38</v>
      </c>
      <c r="E435" s="9" t="s">
        <v>63</v>
      </c>
      <c r="F435" s="9" t="s">
        <v>53</v>
      </c>
      <c r="G435" s="10">
        <v>3</v>
      </c>
      <c r="H435" s="9" t="s">
        <v>32</v>
      </c>
    </row>
    <row r="436" spans="1:8" ht="14.25" customHeight="1" x14ac:dyDescent="0.25">
      <c r="A436" s="5">
        <v>46086</v>
      </c>
      <c r="B436" s="6" t="s">
        <v>85</v>
      </c>
      <c r="C436" s="6" t="s">
        <v>87</v>
      </c>
      <c r="D436" s="6" t="s">
        <v>29</v>
      </c>
      <c r="E436" s="6" t="s">
        <v>94</v>
      </c>
      <c r="F436" s="6" t="s">
        <v>66</v>
      </c>
      <c r="G436" s="7">
        <v>7</v>
      </c>
      <c r="H436" s="6" t="s">
        <v>54</v>
      </c>
    </row>
    <row r="437" spans="1:8" ht="14.25" customHeight="1" x14ac:dyDescent="0.25">
      <c r="A437" s="8">
        <v>46144</v>
      </c>
      <c r="B437" s="9" t="s">
        <v>70</v>
      </c>
      <c r="C437" s="9" t="s">
        <v>71</v>
      </c>
      <c r="D437" s="9" t="s">
        <v>56</v>
      </c>
      <c r="E437" s="9" t="s">
        <v>46</v>
      </c>
      <c r="F437" s="9" t="s">
        <v>59</v>
      </c>
      <c r="G437" s="10">
        <v>3</v>
      </c>
      <c r="H437" s="9" t="s">
        <v>32</v>
      </c>
    </row>
    <row r="438" spans="1:8" ht="14.25" customHeight="1" x14ac:dyDescent="0.25">
      <c r="A438" s="5">
        <v>46162</v>
      </c>
      <c r="B438" s="6" t="s">
        <v>92</v>
      </c>
      <c r="C438" s="6" t="s">
        <v>37</v>
      </c>
      <c r="D438" s="6" t="s">
        <v>38</v>
      </c>
      <c r="E438" s="6" t="s">
        <v>63</v>
      </c>
      <c r="F438" s="6" t="s">
        <v>66</v>
      </c>
      <c r="G438" s="7">
        <v>8</v>
      </c>
      <c r="H438" s="6" t="s">
        <v>54</v>
      </c>
    </row>
    <row r="439" spans="1:8" ht="14.25" customHeight="1" x14ac:dyDescent="0.25">
      <c r="A439" s="8">
        <v>46105</v>
      </c>
      <c r="B439" s="9" t="s">
        <v>70</v>
      </c>
      <c r="C439" s="9" t="s">
        <v>45</v>
      </c>
      <c r="D439" s="9" t="s">
        <v>29</v>
      </c>
      <c r="E439" s="9" t="s">
        <v>82</v>
      </c>
      <c r="F439" s="9" t="s">
        <v>73</v>
      </c>
      <c r="G439" s="10">
        <v>3</v>
      </c>
      <c r="H439" s="9" t="s">
        <v>36</v>
      </c>
    </row>
    <row r="440" spans="1:8" ht="14.25" customHeight="1" x14ac:dyDescent="0.25">
      <c r="A440" s="5">
        <v>46175</v>
      </c>
      <c r="B440" s="6" t="s">
        <v>68</v>
      </c>
      <c r="C440" s="6" t="s">
        <v>42</v>
      </c>
      <c r="D440" s="6" t="s">
        <v>49</v>
      </c>
      <c r="E440" s="6" t="s">
        <v>75</v>
      </c>
      <c r="F440" s="6" t="s">
        <v>53</v>
      </c>
      <c r="G440" s="7">
        <v>5</v>
      </c>
      <c r="H440" s="6" t="s">
        <v>54</v>
      </c>
    </row>
    <row r="441" spans="1:8" ht="14.25" customHeight="1" x14ac:dyDescent="0.25">
      <c r="A441" s="8">
        <v>46126</v>
      </c>
      <c r="B441" s="9" t="s">
        <v>27</v>
      </c>
      <c r="C441" s="9" t="s">
        <v>45</v>
      </c>
      <c r="D441" s="9" t="s">
        <v>29</v>
      </c>
      <c r="E441" s="9" t="s">
        <v>63</v>
      </c>
      <c r="F441" s="9" t="s">
        <v>66</v>
      </c>
      <c r="G441" s="10">
        <v>3</v>
      </c>
      <c r="H441" s="9" t="s">
        <v>62</v>
      </c>
    </row>
    <row r="442" spans="1:8" ht="14.25" customHeight="1" x14ac:dyDescent="0.25">
      <c r="A442" s="5">
        <v>46189</v>
      </c>
      <c r="B442" s="6" t="s">
        <v>10</v>
      </c>
      <c r="C442" s="6" t="s">
        <v>37</v>
      </c>
      <c r="D442" s="6" t="s">
        <v>34</v>
      </c>
      <c r="E442" s="6" t="s">
        <v>39</v>
      </c>
      <c r="F442" s="6" t="s">
        <v>91</v>
      </c>
      <c r="G442" s="7">
        <v>13</v>
      </c>
      <c r="H442" s="6" t="s">
        <v>36</v>
      </c>
    </row>
    <row r="443" spans="1:8" ht="14.25" customHeight="1" x14ac:dyDescent="0.25">
      <c r="A443" s="8">
        <v>46023</v>
      </c>
      <c r="B443" s="9" t="s">
        <v>41</v>
      </c>
      <c r="C443" s="9" t="s">
        <v>71</v>
      </c>
      <c r="D443" s="9" t="s">
        <v>29</v>
      </c>
      <c r="E443" s="9" t="s">
        <v>39</v>
      </c>
      <c r="F443" s="9" t="s">
        <v>64</v>
      </c>
      <c r="G443" s="10">
        <v>12</v>
      </c>
      <c r="H443" s="9" t="s">
        <v>54</v>
      </c>
    </row>
    <row r="444" spans="1:8" ht="14.25" customHeight="1" x14ac:dyDescent="0.25">
      <c r="A444" s="5">
        <v>46207</v>
      </c>
      <c r="B444" s="6" t="s">
        <v>83</v>
      </c>
      <c r="C444" s="6" t="s">
        <v>77</v>
      </c>
      <c r="D444" s="6" t="s">
        <v>34</v>
      </c>
      <c r="E444" s="6" t="s">
        <v>46</v>
      </c>
      <c r="F444" s="6" t="s">
        <v>53</v>
      </c>
      <c r="G444" s="7">
        <v>3</v>
      </c>
      <c r="H444" s="6" t="s">
        <v>36</v>
      </c>
    </row>
    <row r="445" spans="1:8" ht="14.25" customHeight="1" x14ac:dyDescent="0.25">
      <c r="A445" s="8">
        <v>46188</v>
      </c>
      <c r="B445" s="9" t="s">
        <v>67</v>
      </c>
      <c r="C445" s="9" t="s">
        <v>74</v>
      </c>
      <c r="D445" s="9" t="s">
        <v>56</v>
      </c>
      <c r="E445" s="9" t="s">
        <v>63</v>
      </c>
      <c r="F445" s="9" t="s">
        <v>43</v>
      </c>
      <c r="G445" s="10">
        <v>2</v>
      </c>
      <c r="H445" s="9" t="s">
        <v>54</v>
      </c>
    </row>
    <row r="446" spans="1:8" ht="14.25" customHeight="1" x14ac:dyDescent="0.25">
      <c r="A446" s="5">
        <v>46178</v>
      </c>
      <c r="B446" s="6" t="s">
        <v>9</v>
      </c>
      <c r="C446" s="6" t="s">
        <v>58</v>
      </c>
      <c r="D446" s="6" t="s">
        <v>34</v>
      </c>
      <c r="E446" s="6" t="s">
        <v>82</v>
      </c>
      <c r="F446" s="6" t="s">
        <v>61</v>
      </c>
      <c r="G446" s="7">
        <v>14</v>
      </c>
      <c r="H446" s="6" t="s">
        <v>54</v>
      </c>
    </row>
    <row r="447" spans="1:8" ht="14.25" customHeight="1" x14ac:dyDescent="0.25">
      <c r="A447" s="8">
        <v>46193</v>
      </c>
      <c r="B447" s="9" t="s">
        <v>12</v>
      </c>
      <c r="C447" s="9" t="s">
        <v>58</v>
      </c>
      <c r="D447" s="9" t="s">
        <v>29</v>
      </c>
      <c r="E447" s="9" t="s">
        <v>39</v>
      </c>
      <c r="F447" s="9" t="s">
        <v>53</v>
      </c>
      <c r="G447" s="10">
        <v>4</v>
      </c>
      <c r="H447" s="9" t="s">
        <v>62</v>
      </c>
    </row>
    <row r="448" spans="1:8" ht="14.25" customHeight="1" x14ac:dyDescent="0.25">
      <c r="A448" s="5">
        <v>46215</v>
      </c>
      <c r="B448" s="6" t="s">
        <v>33</v>
      </c>
      <c r="C448" s="6" t="s">
        <v>58</v>
      </c>
      <c r="D448" s="6" t="s">
        <v>29</v>
      </c>
      <c r="E448" s="6" t="s">
        <v>35</v>
      </c>
      <c r="F448" s="6" t="s">
        <v>31</v>
      </c>
      <c r="G448" s="7">
        <v>4</v>
      </c>
      <c r="H448" s="6" t="s">
        <v>54</v>
      </c>
    </row>
    <row r="449" spans="1:8" ht="14.25" customHeight="1" x14ac:dyDescent="0.25">
      <c r="A449" s="8">
        <v>46131</v>
      </c>
      <c r="B449" s="9" t="s">
        <v>41</v>
      </c>
      <c r="C449" s="9" t="s">
        <v>28</v>
      </c>
      <c r="D449" s="9" t="s">
        <v>56</v>
      </c>
      <c r="E449" s="9" t="s">
        <v>63</v>
      </c>
      <c r="F449" s="9" t="s">
        <v>40</v>
      </c>
      <c r="G449" s="10">
        <v>4</v>
      </c>
      <c r="H449" s="9" t="s">
        <v>36</v>
      </c>
    </row>
    <row r="450" spans="1:8" ht="14.25" customHeight="1" x14ac:dyDescent="0.25">
      <c r="A450" s="5">
        <v>46245</v>
      </c>
      <c r="B450" s="6" t="s">
        <v>88</v>
      </c>
      <c r="C450" s="6" t="s">
        <v>74</v>
      </c>
      <c r="D450" s="6" t="s">
        <v>34</v>
      </c>
      <c r="E450" s="6" t="s">
        <v>50</v>
      </c>
      <c r="F450" s="6" t="s">
        <v>31</v>
      </c>
      <c r="G450" s="7">
        <v>1</v>
      </c>
      <c r="H450" s="6" t="s">
        <v>54</v>
      </c>
    </row>
    <row r="451" spans="1:8" ht="14.25" customHeight="1" x14ac:dyDescent="0.25">
      <c r="A451" s="8">
        <v>46238</v>
      </c>
      <c r="B451" s="9" t="s">
        <v>8</v>
      </c>
      <c r="C451" s="9" t="s">
        <v>58</v>
      </c>
      <c r="D451" s="9" t="s">
        <v>29</v>
      </c>
      <c r="E451" s="9" t="s">
        <v>69</v>
      </c>
      <c r="F451" s="9" t="s">
        <v>91</v>
      </c>
      <c r="G451" s="10">
        <v>5</v>
      </c>
      <c r="H451" s="9" t="s">
        <v>54</v>
      </c>
    </row>
    <row r="452" spans="1:8" ht="14.25" customHeight="1" x14ac:dyDescent="0.25">
      <c r="A452" s="5">
        <v>46200</v>
      </c>
      <c r="B452" s="6" t="s">
        <v>79</v>
      </c>
      <c r="C452" s="6" t="s">
        <v>28</v>
      </c>
      <c r="D452" s="6" t="s">
        <v>56</v>
      </c>
      <c r="E452" s="6" t="s">
        <v>82</v>
      </c>
      <c r="F452" s="6" t="s">
        <v>59</v>
      </c>
      <c r="G452" s="7">
        <v>5</v>
      </c>
      <c r="H452" s="6" t="s">
        <v>54</v>
      </c>
    </row>
    <row r="453" spans="1:8" ht="14.25" customHeight="1" x14ac:dyDescent="0.25">
      <c r="A453" s="8">
        <v>46030</v>
      </c>
      <c r="B453" s="9" t="s">
        <v>85</v>
      </c>
      <c r="C453" s="9" t="s">
        <v>58</v>
      </c>
      <c r="D453" s="9" t="s">
        <v>49</v>
      </c>
      <c r="E453" s="9" t="s">
        <v>81</v>
      </c>
      <c r="F453" s="9" t="s">
        <v>51</v>
      </c>
      <c r="G453" s="10">
        <v>3</v>
      </c>
      <c r="H453" s="9" t="s">
        <v>54</v>
      </c>
    </row>
    <row r="454" spans="1:8" ht="14.25" customHeight="1" x14ac:dyDescent="0.25">
      <c r="A454" s="5">
        <v>46226</v>
      </c>
      <c r="B454" s="6" t="s">
        <v>12</v>
      </c>
      <c r="C454" s="6" t="s">
        <v>37</v>
      </c>
      <c r="D454" s="6" t="s">
        <v>49</v>
      </c>
      <c r="E454" s="6" t="s">
        <v>80</v>
      </c>
      <c r="F454" s="6" t="s">
        <v>66</v>
      </c>
      <c r="G454" s="7">
        <v>11</v>
      </c>
      <c r="H454" s="6" t="s">
        <v>32</v>
      </c>
    </row>
    <row r="455" spans="1:8" ht="14.25" customHeight="1" x14ac:dyDescent="0.25">
      <c r="A455" s="8">
        <v>46235</v>
      </c>
      <c r="B455" s="9" t="s">
        <v>44</v>
      </c>
      <c r="C455" s="9" t="s">
        <v>77</v>
      </c>
      <c r="D455" s="9" t="s">
        <v>34</v>
      </c>
      <c r="E455" s="9" t="s">
        <v>39</v>
      </c>
      <c r="F455" s="9" t="s">
        <v>91</v>
      </c>
      <c r="G455" s="10">
        <v>9</v>
      </c>
      <c r="H455" s="9" t="s">
        <v>62</v>
      </c>
    </row>
    <row r="456" spans="1:8" ht="14.25" customHeight="1" x14ac:dyDescent="0.25">
      <c r="A456" s="5">
        <v>46223</v>
      </c>
      <c r="B456" s="6" t="s">
        <v>10</v>
      </c>
      <c r="C456" s="6" t="s">
        <v>28</v>
      </c>
      <c r="D456" s="6" t="s">
        <v>49</v>
      </c>
      <c r="E456" s="6" t="s">
        <v>82</v>
      </c>
      <c r="F456" s="6" t="s">
        <v>53</v>
      </c>
      <c r="G456" s="7">
        <v>15</v>
      </c>
      <c r="H456" s="6" t="s">
        <v>32</v>
      </c>
    </row>
    <row r="457" spans="1:8" ht="14.25" customHeight="1" x14ac:dyDescent="0.25">
      <c r="A457" s="8">
        <v>46049</v>
      </c>
      <c r="B457" s="9" t="s">
        <v>5</v>
      </c>
      <c r="C457" s="9" t="s">
        <v>77</v>
      </c>
      <c r="D457" s="9" t="s">
        <v>49</v>
      </c>
      <c r="E457" s="9" t="s">
        <v>82</v>
      </c>
      <c r="F457" s="9" t="s">
        <v>47</v>
      </c>
      <c r="G457" s="10">
        <v>10</v>
      </c>
      <c r="H457" s="9" t="s">
        <v>54</v>
      </c>
    </row>
    <row r="458" spans="1:8" ht="14.25" customHeight="1" x14ac:dyDescent="0.25">
      <c r="A458" s="5">
        <v>46083</v>
      </c>
      <c r="B458" s="6" t="s">
        <v>15</v>
      </c>
      <c r="C458" s="6" t="s">
        <v>37</v>
      </c>
      <c r="D458" s="6" t="s">
        <v>56</v>
      </c>
      <c r="E458" s="6" t="s">
        <v>82</v>
      </c>
      <c r="F458" s="6" t="s">
        <v>61</v>
      </c>
      <c r="G458" s="7">
        <v>5</v>
      </c>
      <c r="H458" s="6" t="s">
        <v>54</v>
      </c>
    </row>
    <row r="459" spans="1:8" ht="14.25" customHeight="1" x14ac:dyDescent="0.25">
      <c r="A459" s="8">
        <v>46160</v>
      </c>
      <c r="B459" s="9" t="s">
        <v>15</v>
      </c>
      <c r="C459" s="9" t="s">
        <v>58</v>
      </c>
      <c r="D459" s="9" t="s">
        <v>38</v>
      </c>
      <c r="E459" s="9" t="s">
        <v>63</v>
      </c>
      <c r="F459" s="9" t="s">
        <v>59</v>
      </c>
      <c r="G459" s="10">
        <v>9</v>
      </c>
      <c r="H459" s="9" t="s">
        <v>54</v>
      </c>
    </row>
    <row r="460" spans="1:8" ht="14.25" customHeight="1" x14ac:dyDescent="0.25">
      <c r="A460" s="5">
        <v>46220</v>
      </c>
      <c r="B460" s="6" t="s">
        <v>83</v>
      </c>
      <c r="C460" s="6" t="s">
        <v>58</v>
      </c>
      <c r="D460" s="6" t="s">
        <v>34</v>
      </c>
      <c r="E460" s="6" t="s">
        <v>46</v>
      </c>
      <c r="F460" s="6" t="s">
        <v>84</v>
      </c>
      <c r="G460" s="7">
        <v>1</v>
      </c>
      <c r="H460" s="6" t="s">
        <v>54</v>
      </c>
    </row>
    <row r="461" spans="1:8" ht="14.25" customHeight="1" x14ac:dyDescent="0.25">
      <c r="A461" s="8">
        <v>46094</v>
      </c>
      <c r="B461" s="9" t="s">
        <v>44</v>
      </c>
      <c r="C461" s="9" t="s">
        <v>71</v>
      </c>
      <c r="D461" s="9" t="s">
        <v>49</v>
      </c>
      <c r="E461" s="9" t="s">
        <v>63</v>
      </c>
      <c r="F461" s="9" t="s">
        <v>43</v>
      </c>
      <c r="G461" s="10">
        <v>8</v>
      </c>
      <c r="H461" s="9" t="s">
        <v>36</v>
      </c>
    </row>
    <row r="462" spans="1:8" ht="14.25" customHeight="1" x14ac:dyDescent="0.25">
      <c r="A462" s="5">
        <v>46177</v>
      </c>
      <c r="B462" s="6" t="s">
        <v>10</v>
      </c>
      <c r="C462" s="6" t="s">
        <v>89</v>
      </c>
      <c r="D462" s="6" t="s">
        <v>38</v>
      </c>
      <c r="E462" s="6" t="s">
        <v>63</v>
      </c>
      <c r="F462" s="6" t="s">
        <v>64</v>
      </c>
      <c r="G462" s="7">
        <v>8</v>
      </c>
      <c r="H462" s="6" t="s">
        <v>62</v>
      </c>
    </row>
    <row r="463" spans="1:8" ht="14.25" customHeight="1" x14ac:dyDescent="0.25">
      <c r="A463" s="8">
        <v>46231</v>
      </c>
      <c r="B463" s="9" t="s">
        <v>7</v>
      </c>
      <c r="C463" s="9" t="s">
        <v>89</v>
      </c>
      <c r="D463" s="9" t="s">
        <v>29</v>
      </c>
      <c r="E463" s="9" t="s">
        <v>46</v>
      </c>
      <c r="F463" s="9" t="s">
        <v>61</v>
      </c>
      <c r="G463" s="10">
        <v>9</v>
      </c>
      <c r="H463" s="9" t="s">
        <v>36</v>
      </c>
    </row>
    <row r="464" spans="1:8" ht="14.25" customHeight="1" x14ac:dyDescent="0.25">
      <c r="A464" s="5">
        <v>46203</v>
      </c>
      <c r="B464" s="6" t="s">
        <v>79</v>
      </c>
      <c r="C464" s="6" t="s">
        <v>77</v>
      </c>
      <c r="D464" s="6" t="s">
        <v>34</v>
      </c>
      <c r="E464" s="6" t="s">
        <v>50</v>
      </c>
      <c r="F464" s="6" t="s">
        <v>73</v>
      </c>
      <c r="G464" s="7">
        <v>10</v>
      </c>
      <c r="H464" s="6" t="s">
        <v>32</v>
      </c>
    </row>
    <row r="465" spans="1:8" ht="14.25" customHeight="1" x14ac:dyDescent="0.25">
      <c r="A465" s="8">
        <v>46238</v>
      </c>
      <c r="B465" s="9" t="s">
        <v>52</v>
      </c>
      <c r="C465" s="9" t="s">
        <v>89</v>
      </c>
      <c r="D465" s="9" t="s">
        <v>38</v>
      </c>
      <c r="E465" s="9" t="s">
        <v>63</v>
      </c>
      <c r="F465" s="9" t="s">
        <v>51</v>
      </c>
      <c r="G465" s="10">
        <v>6</v>
      </c>
      <c r="H465" s="9" t="s">
        <v>36</v>
      </c>
    </row>
    <row r="466" spans="1:8" ht="14.25" customHeight="1" x14ac:dyDescent="0.25">
      <c r="A466" s="5">
        <v>46177</v>
      </c>
      <c r="B466" s="6" t="s">
        <v>9</v>
      </c>
      <c r="C466" s="6" t="s">
        <v>28</v>
      </c>
      <c r="D466" s="6" t="s">
        <v>38</v>
      </c>
      <c r="E466" s="6" t="s">
        <v>50</v>
      </c>
      <c r="F466" s="6" t="s">
        <v>51</v>
      </c>
      <c r="G466" s="7">
        <v>4</v>
      </c>
      <c r="H466" s="6" t="s">
        <v>54</v>
      </c>
    </row>
    <row r="467" spans="1:8" ht="14.25" customHeight="1" x14ac:dyDescent="0.25">
      <c r="A467" s="8">
        <v>46099</v>
      </c>
      <c r="B467" s="9" t="s">
        <v>83</v>
      </c>
      <c r="C467" s="9" t="s">
        <v>28</v>
      </c>
      <c r="D467" s="9" t="s">
        <v>34</v>
      </c>
      <c r="E467" s="9" t="s">
        <v>95</v>
      </c>
      <c r="F467" s="9" t="s">
        <v>40</v>
      </c>
      <c r="G467" s="10">
        <v>4</v>
      </c>
      <c r="H467" s="9" t="s">
        <v>32</v>
      </c>
    </row>
    <row r="468" spans="1:8" ht="14.25" customHeight="1" x14ac:dyDescent="0.25">
      <c r="A468" s="5">
        <v>46035</v>
      </c>
      <c r="B468" s="6" t="s">
        <v>41</v>
      </c>
      <c r="C468" s="6" t="s">
        <v>37</v>
      </c>
      <c r="D468" s="6" t="s">
        <v>29</v>
      </c>
      <c r="E468" s="6" t="s">
        <v>80</v>
      </c>
      <c r="F468" s="6" t="s">
        <v>53</v>
      </c>
      <c r="G468" s="7">
        <v>14</v>
      </c>
      <c r="H468" s="6" t="s">
        <v>32</v>
      </c>
    </row>
    <row r="469" spans="1:8" ht="14.25" customHeight="1" x14ac:dyDescent="0.25">
      <c r="A469" s="8">
        <v>46175</v>
      </c>
      <c r="B469" s="9" t="s">
        <v>12</v>
      </c>
      <c r="C469" s="9" t="s">
        <v>28</v>
      </c>
      <c r="D469" s="9" t="s">
        <v>38</v>
      </c>
      <c r="E469" s="9" t="s">
        <v>80</v>
      </c>
      <c r="F469" s="9" t="s">
        <v>53</v>
      </c>
      <c r="G469" s="10">
        <v>8</v>
      </c>
      <c r="H469" s="9" t="s">
        <v>36</v>
      </c>
    </row>
    <row r="470" spans="1:8" ht="14.25" customHeight="1" x14ac:dyDescent="0.25">
      <c r="A470" s="5">
        <v>46044</v>
      </c>
      <c r="B470" s="6" t="s">
        <v>44</v>
      </c>
      <c r="C470" s="6" t="s">
        <v>37</v>
      </c>
      <c r="D470" s="6" t="s">
        <v>34</v>
      </c>
      <c r="E470" s="6" t="s">
        <v>46</v>
      </c>
      <c r="F470" s="6" t="s">
        <v>53</v>
      </c>
      <c r="G470" s="7">
        <v>3</v>
      </c>
      <c r="H470" s="6" t="s">
        <v>36</v>
      </c>
    </row>
    <row r="471" spans="1:8" ht="14.25" customHeight="1" x14ac:dyDescent="0.25">
      <c r="A471" s="8">
        <v>46142</v>
      </c>
      <c r="B471" s="9" t="s">
        <v>92</v>
      </c>
      <c r="C471" s="9" t="s">
        <v>77</v>
      </c>
      <c r="D471" s="9" t="s">
        <v>29</v>
      </c>
      <c r="E471" s="9" t="s">
        <v>46</v>
      </c>
      <c r="F471" s="9" t="s">
        <v>61</v>
      </c>
      <c r="G471" s="10">
        <v>10</v>
      </c>
      <c r="H471" s="9" t="s">
        <v>32</v>
      </c>
    </row>
    <row r="472" spans="1:8" ht="14.25" customHeight="1" x14ac:dyDescent="0.25">
      <c r="A472" s="5">
        <v>46090</v>
      </c>
      <c r="B472" s="6" t="s">
        <v>33</v>
      </c>
      <c r="C472" s="6" t="s">
        <v>42</v>
      </c>
      <c r="D472" s="6" t="s">
        <v>34</v>
      </c>
      <c r="E472" s="6" t="s">
        <v>39</v>
      </c>
      <c r="F472" s="6" t="s">
        <v>51</v>
      </c>
      <c r="G472" s="7">
        <v>7</v>
      </c>
      <c r="H472" s="6" t="s">
        <v>36</v>
      </c>
    </row>
    <row r="473" spans="1:8" ht="14.25" customHeight="1" x14ac:dyDescent="0.25">
      <c r="A473" s="8">
        <v>46211</v>
      </c>
      <c r="B473" s="9" t="s">
        <v>15</v>
      </c>
      <c r="C473" s="9" t="s">
        <v>28</v>
      </c>
      <c r="D473" s="9" t="s">
        <v>34</v>
      </c>
      <c r="E473" s="9" t="s">
        <v>30</v>
      </c>
      <c r="F473" s="9" t="s">
        <v>53</v>
      </c>
      <c r="G473" s="10">
        <v>6</v>
      </c>
      <c r="H473" s="9" t="s">
        <v>62</v>
      </c>
    </row>
    <row r="474" spans="1:8" ht="14.25" customHeight="1" x14ac:dyDescent="0.25">
      <c r="A474" s="5">
        <v>46060</v>
      </c>
      <c r="B474" s="6" t="s">
        <v>7</v>
      </c>
      <c r="C474" s="6" t="s">
        <v>37</v>
      </c>
      <c r="D474" s="6" t="s">
        <v>34</v>
      </c>
      <c r="E474" s="6" t="s">
        <v>35</v>
      </c>
      <c r="F474" s="6" t="s">
        <v>64</v>
      </c>
      <c r="G474" s="7">
        <v>13</v>
      </c>
      <c r="H474" s="6" t="s">
        <v>62</v>
      </c>
    </row>
    <row r="475" spans="1:8" ht="14.25" customHeight="1" x14ac:dyDescent="0.25">
      <c r="A475" s="8">
        <v>46048</v>
      </c>
      <c r="B475" s="9" t="s">
        <v>83</v>
      </c>
      <c r="C475" s="9" t="s">
        <v>77</v>
      </c>
      <c r="D475" s="9" t="s">
        <v>34</v>
      </c>
      <c r="E475" s="9" t="s">
        <v>63</v>
      </c>
      <c r="F475" s="9" t="s">
        <v>40</v>
      </c>
      <c r="G475" s="10">
        <v>4</v>
      </c>
      <c r="H475" s="9" t="s">
        <v>32</v>
      </c>
    </row>
    <row r="476" spans="1:8" ht="14.25" customHeight="1" x14ac:dyDescent="0.25">
      <c r="A476" s="5">
        <v>46234</v>
      </c>
      <c r="B476" s="6" t="s">
        <v>15</v>
      </c>
      <c r="C476" s="6" t="s">
        <v>28</v>
      </c>
      <c r="D476" s="6" t="s">
        <v>56</v>
      </c>
      <c r="E476" s="6" t="s">
        <v>82</v>
      </c>
      <c r="F476" s="6" t="s">
        <v>78</v>
      </c>
      <c r="G476" s="7">
        <v>3</v>
      </c>
      <c r="H476" s="6" t="s">
        <v>32</v>
      </c>
    </row>
    <row r="477" spans="1:8" ht="14.25" customHeight="1" x14ac:dyDescent="0.25">
      <c r="A477" s="8">
        <v>46078</v>
      </c>
      <c r="B477" s="9" t="s">
        <v>9</v>
      </c>
      <c r="C477" s="9" t="s">
        <v>77</v>
      </c>
      <c r="D477" s="9" t="s">
        <v>56</v>
      </c>
      <c r="E477" s="9" t="s">
        <v>82</v>
      </c>
      <c r="F477" s="9" t="s">
        <v>47</v>
      </c>
      <c r="G477" s="10">
        <v>13</v>
      </c>
      <c r="H477" s="9" t="s">
        <v>62</v>
      </c>
    </row>
    <row r="478" spans="1:8" ht="14.25" customHeight="1" x14ac:dyDescent="0.25">
      <c r="A478" s="5">
        <v>46131</v>
      </c>
      <c r="B478" s="6" t="s">
        <v>41</v>
      </c>
      <c r="C478" s="6" t="s">
        <v>45</v>
      </c>
      <c r="D478" s="6" t="s">
        <v>56</v>
      </c>
      <c r="E478" s="6" t="s">
        <v>30</v>
      </c>
      <c r="F478" s="6" t="s">
        <v>91</v>
      </c>
      <c r="G478" s="7">
        <v>9</v>
      </c>
      <c r="H478" s="6" t="s">
        <v>32</v>
      </c>
    </row>
    <row r="479" spans="1:8" ht="14.25" customHeight="1" x14ac:dyDescent="0.25">
      <c r="A479" s="8">
        <v>46167</v>
      </c>
      <c r="B479" s="9" t="s">
        <v>33</v>
      </c>
      <c r="C479" s="9" t="s">
        <v>71</v>
      </c>
      <c r="D479" s="9" t="s">
        <v>34</v>
      </c>
      <c r="E479" s="9" t="s">
        <v>81</v>
      </c>
      <c r="F479" s="9" t="s">
        <v>64</v>
      </c>
      <c r="G479" s="10">
        <v>10</v>
      </c>
      <c r="H479" s="9" t="s">
        <v>32</v>
      </c>
    </row>
    <row r="480" spans="1:8" ht="14.25" customHeight="1" x14ac:dyDescent="0.25">
      <c r="A480" s="5">
        <v>46031</v>
      </c>
      <c r="B480" s="6" t="s">
        <v>15</v>
      </c>
      <c r="C480" s="6" t="s">
        <v>77</v>
      </c>
      <c r="D480" s="6" t="s">
        <v>38</v>
      </c>
      <c r="E480" s="6" t="s">
        <v>30</v>
      </c>
      <c r="F480" s="6" t="s">
        <v>53</v>
      </c>
      <c r="G480" s="7">
        <v>6</v>
      </c>
      <c r="H480" s="6" t="s">
        <v>54</v>
      </c>
    </row>
    <row r="481" spans="1:8" ht="14.25" customHeight="1" x14ac:dyDescent="0.25">
      <c r="A481" s="8">
        <v>46214</v>
      </c>
      <c r="B481" s="9" t="s">
        <v>7</v>
      </c>
      <c r="C481" s="9" t="s">
        <v>71</v>
      </c>
      <c r="D481" s="9" t="s">
        <v>34</v>
      </c>
      <c r="E481" s="9" t="s">
        <v>63</v>
      </c>
      <c r="F481" s="9" t="s">
        <v>53</v>
      </c>
      <c r="G481" s="10">
        <v>15</v>
      </c>
      <c r="H481" s="9" t="s">
        <v>36</v>
      </c>
    </row>
    <row r="482" spans="1:8" ht="14.25" customHeight="1" x14ac:dyDescent="0.25">
      <c r="A482" s="5">
        <v>46219</v>
      </c>
      <c r="B482" s="6" t="s">
        <v>15</v>
      </c>
      <c r="C482" s="6" t="s">
        <v>37</v>
      </c>
      <c r="D482" s="6" t="s">
        <v>56</v>
      </c>
      <c r="E482" s="6" t="s">
        <v>39</v>
      </c>
      <c r="F482" s="6" t="s">
        <v>43</v>
      </c>
      <c r="G482" s="7">
        <v>11</v>
      </c>
      <c r="H482" s="6" t="s">
        <v>36</v>
      </c>
    </row>
    <row r="483" spans="1:8" ht="14.25" customHeight="1" x14ac:dyDescent="0.25">
      <c r="A483" s="8">
        <v>46080</v>
      </c>
      <c r="B483" s="9" t="s">
        <v>83</v>
      </c>
      <c r="C483" s="9" t="s">
        <v>45</v>
      </c>
      <c r="D483" s="9" t="s">
        <v>56</v>
      </c>
      <c r="E483" s="9" t="s">
        <v>69</v>
      </c>
      <c r="F483" s="9" t="s">
        <v>84</v>
      </c>
      <c r="G483" s="10">
        <v>9</v>
      </c>
      <c r="H483" s="9" t="s">
        <v>54</v>
      </c>
    </row>
    <row r="484" spans="1:8" ht="14.25" customHeight="1" x14ac:dyDescent="0.25">
      <c r="A484" s="5">
        <v>46173</v>
      </c>
      <c r="B484" s="6" t="s">
        <v>70</v>
      </c>
      <c r="C484" s="6" t="s">
        <v>28</v>
      </c>
      <c r="D484" s="6" t="s">
        <v>56</v>
      </c>
      <c r="E484" s="6" t="s">
        <v>69</v>
      </c>
      <c r="F484" s="6" t="s">
        <v>73</v>
      </c>
      <c r="G484" s="7">
        <v>8</v>
      </c>
      <c r="H484" s="6" t="s">
        <v>62</v>
      </c>
    </row>
    <row r="485" spans="1:8" ht="14.25" customHeight="1" x14ac:dyDescent="0.25">
      <c r="A485" s="8">
        <v>46145</v>
      </c>
      <c r="B485" s="9" t="s">
        <v>41</v>
      </c>
      <c r="C485" s="9" t="s">
        <v>37</v>
      </c>
      <c r="D485" s="9" t="s">
        <v>29</v>
      </c>
      <c r="E485" s="9" t="s">
        <v>63</v>
      </c>
      <c r="F485" s="9" t="s">
        <v>40</v>
      </c>
      <c r="G485" s="10">
        <v>13</v>
      </c>
      <c r="H485" s="9" t="s">
        <v>62</v>
      </c>
    </row>
    <row r="486" spans="1:8" ht="14.25" customHeight="1" x14ac:dyDescent="0.25">
      <c r="A486" s="5">
        <v>46215</v>
      </c>
      <c r="B486" s="6" t="s">
        <v>9</v>
      </c>
      <c r="C486" s="6" t="s">
        <v>77</v>
      </c>
      <c r="D486" s="6" t="s">
        <v>29</v>
      </c>
      <c r="E486" s="6" t="s">
        <v>69</v>
      </c>
      <c r="F486" s="6" t="s">
        <v>61</v>
      </c>
      <c r="G486" s="7">
        <v>6</v>
      </c>
      <c r="H486" s="6" t="s">
        <v>54</v>
      </c>
    </row>
    <row r="487" spans="1:8" ht="14.25" customHeight="1" x14ac:dyDescent="0.25">
      <c r="A487" s="8">
        <v>46026</v>
      </c>
      <c r="B487" s="9" t="s">
        <v>60</v>
      </c>
      <c r="C487" s="9" t="s">
        <v>71</v>
      </c>
      <c r="D487" s="9" t="s">
        <v>56</v>
      </c>
      <c r="E487" s="9" t="s">
        <v>94</v>
      </c>
      <c r="F487" s="9" t="s">
        <v>64</v>
      </c>
      <c r="G487" s="10">
        <v>3</v>
      </c>
      <c r="H487" s="9" t="s">
        <v>62</v>
      </c>
    </row>
    <row r="488" spans="1:8" ht="14.25" customHeight="1" x14ac:dyDescent="0.25">
      <c r="A488" s="5">
        <v>46078</v>
      </c>
      <c r="B488" s="6" t="s">
        <v>76</v>
      </c>
      <c r="C488" s="6" t="s">
        <v>28</v>
      </c>
      <c r="D488" s="6" t="s">
        <v>56</v>
      </c>
      <c r="E488" s="6" t="s">
        <v>63</v>
      </c>
      <c r="F488" s="6" t="s">
        <v>66</v>
      </c>
      <c r="G488" s="7">
        <v>8</v>
      </c>
      <c r="H488" s="6" t="s">
        <v>32</v>
      </c>
    </row>
    <row r="489" spans="1:8" ht="14.25" customHeight="1" x14ac:dyDescent="0.25">
      <c r="A489" s="8">
        <v>46065</v>
      </c>
      <c r="B489" s="9" t="s">
        <v>5</v>
      </c>
      <c r="C489" s="9" t="s">
        <v>58</v>
      </c>
      <c r="D489" s="9" t="s">
        <v>34</v>
      </c>
      <c r="E489" s="9" t="s">
        <v>82</v>
      </c>
      <c r="F489" s="9" t="s">
        <v>84</v>
      </c>
      <c r="G489" s="10">
        <v>15</v>
      </c>
      <c r="H489" s="9" t="s">
        <v>62</v>
      </c>
    </row>
    <row r="490" spans="1:8" ht="14.25" customHeight="1" x14ac:dyDescent="0.25">
      <c r="A490" s="5">
        <v>46218</v>
      </c>
      <c r="B490" s="6" t="s">
        <v>27</v>
      </c>
      <c r="C490" s="6" t="s">
        <v>37</v>
      </c>
      <c r="D490" s="6" t="s">
        <v>29</v>
      </c>
      <c r="E490" s="6" t="s">
        <v>63</v>
      </c>
      <c r="F490" s="6" t="s">
        <v>47</v>
      </c>
      <c r="G490" s="7">
        <v>2</v>
      </c>
      <c r="H490" s="6" t="s">
        <v>32</v>
      </c>
    </row>
    <row r="491" spans="1:8" ht="14.25" customHeight="1" x14ac:dyDescent="0.25">
      <c r="A491" s="8">
        <v>46137</v>
      </c>
      <c r="B491" s="9" t="s">
        <v>85</v>
      </c>
      <c r="C491" s="9" t="s">
        <v>28</v>
      </c>
      <c r="D491" s="9" t="s">
        <v>29</v>
      </c>
      <c r="E491" s="9" t="s">
        <v>39</v>
      </c>
      <c r="F491" s="9" t="s">
        <v>66</v>
      </c>
      <c r="G491" s="10">
        <v>10</v>
      </c>
      <c r="H491" s="9" t="s">
        <v>62</v>
      </c>
    </row>
    <row r="492" spans="1:8" ht="14.25" customHeight="1" x14ac:dyDescent="0.25">
      <c r="A492" s="5">
        <v>46045</v>
      </c>
      <c r="B492" s="6" t="s">
        <v>6</v>
      </c>
      <c r="C492" s="6" t="s">
        <v>28</v>
      </c>
      <c r="D492" s="6" t="s">
        <v>29</v>
      </c>
      <c r="E492" s="6" t="s">
        <v>50</v>
      </c>
      <c r="F492" s="6" t="s">
        <v>64</v>
      </c>
      <c r="G492" s="7">
        <v>5</v>
      </c>
      <c r="H492" s="6" t="s">
        <v>32</v>
      </c>
    </row>
    <row r="493" spans="1:8" ht="14.25" customHeight="1" x14ac:dyDescent="0.25">
      <c r="A493" s="8">
        <v>46095</v>
      </c>
      <c r="B493" s="9" t="s">
        <v>76</v>
      </c>
      <c r="C493" s="9" t="s">
        <v>28</v>
      </c>
      <c r="D493" s="9" t="s">
        <v>56</v>
      </c>
      <c r="E493" s="9" t="s">
        <v>72</v>
      </c>
      <c r="F493" s="9" t="s">
        <v>43</v>
      </c>
      <c r="G493" s="10">
        <v>15</v>
      </c>
      <c r="H493" s="9" t="s">
        <v>54</v>
      </c>
    </row>
    <row r="494" spans="1:8" ht="14.25" customHeight="1" x14ac:dyDescent="0.25">
      <c r="A494" s="5">
        <v>46064</v>
      </c>
      <c r="B494" s="6" t="s">
        <v>9</v>
      </c>
      <c r="C494" s="6" t="s">
        <v>58</v>
      </c>
      <c r="D494" s="6" t="s">
        <v>34</v>
      </c>
      <c r="E494" s="6" t="s">
        <v>81</v>
      </c>
      <c r="F494" s="6" t="s">
        <v>78</v>
      </c>
      <c r="G494" s="7">
        <v>15</v>
      </c>
      <c r="H494" s="6" t="s">
        <v>54</v>
      </c>
    </row>
    <row r="495" spans="1:8" ht="14.25" customHeight="1" x14ac:dyDescent="0.25">
      <c r="A495" s="8">
        <v>46154</v>
      </c>
      <c r="B495" s="9" t="s">
        <v>44</v>
      </c>
      <c r="C495" s="9" t="s">
        <v>87</v>
      </c>
      <c r="D495" s="9" t="s">
        <v>29</v>
      </c>
      <c r="E495" s="9" t="s">
        <v>63</v>
      </c>
      <c r="F495" s="9" t="s">
        <v>40</v>
      </c>
      <c r="G495" s="10">
        <v>10</v>
      </c>
      <c r="H495" s="9" t="s">
        <v>36</v>
      </c>
    </row>
    <row r="496" spans="1:8" ht="14.25" customHeight="1" x14ac:dyDescent="0.25">
      <c r="A496" s="5">
        <v>46079</v>
      </c>
      <c r="B496" s="6" t="s">
        <v>9</v>
      </c>
      <c r="C496" s="6" t="s">
        <v>87</v>
      </c>
      <c r="D496" s="6" t="s">
        <v>29</v>
      </c>
      <c r="E496" s="6" t="s">
        <v>46</v>
      </c>
      <c r="F496" s="6" t="s">
        <v>43</v>
      </c>
      <c r="G496" s="7">
        <v>5</v>
      </c>
      <c r="H496" s="6" t="s">
        <v>32</v>
      </c>
    </row>
    <row r="497" spans="1:8" ht="14.25" customHeight="1" x14ac:dyDescent="0.25">
      <c r="A497" s="8">
        <v>46133</v>
      </c>
      <c r="B497" s="9" t="s">
        <v>7</v>
      </c>
      <c r="C497" s="9" t="s">
        <v>74</v>
      </c>
      <c r="D497" s="9" t="s">
        <v>56</v>
      </c>
      <c r="E497" s="9" t="s">
        <v>94</v>
      </c>
      <c r="F497" s="9" t="s">
        <v>64</v>
      </c>
      <c r="G497" s="10">
        <v>5</v>
      </c>
      <c r="H497" s="9" t="s">
        <v>54</v>
      </c>
    </row>
    <row r="498" spans="1:8" ht="14.25" customHeight="1" x14ac:dyDescent="0.25">
      <c r="A498" s="5">
        <v>46198</v>
      </c>
      <c r="B498" s="6" t="s">
        <v>33</v>
      </c>
      <c r="C498" s="6" t="s">
        <v>89</v>
      </c>
      <c r="D498" s="6" t="s">
        <v>34</v>
      </c>
      <c r="E498" s="6" t="s">
        <v>72</v>
      </c>
      <c r="F498" s="6" t="s">
        <v>31</v>
      </c>
      <c r="G498" s="7">
        <v>8</v>
      </c>
      <c r="H498" s="6" t="s">
        <v>32</v>
      </c>
    </row>
    <row r="499" spans="1:8" ht="14.25" customHeight="1" x14ac:dyDescent="0.25">
      <c r="A499" s="8">
        <v>46175</v>
      </c>
      <c r="B499" s="9" t="s">
        <v>67</v>
      </c>
      <c r="C499" s="9" t="s">
        <v>37</v>
      </c>
      <c r="D499" s="9" t="s">
        <v>38</v>
      </c>
      <c r="E499" s="9" t="s">
        <v>81</v>
      </c>
      <c r="F499" s="9" t="s">
        <v>91</v>
      </c>
      <c r="G499" s="10">
        <v>3</v>
      </c>
      <c r="H499" s="9" t="s">
        <v>32</v>
      </c>
    </row>
    <row r="500" spans="1:8" ht="14.25" customHeight="1" x14ac:dyDescent="0.25">
      <c r="A500" s="5">
        <v>46184</v>
      </c>
      <c r="B500" s="6" t="s">
        <v>52</v>
      </c>
      <c r="C500" s="6" t="s">
        <v>77</v>
      </c>
      <c r="D500" s="6" t="s">
        <v>38</v>
      </c>
      <c r="E500" s="6" t="s">
        <v>46</v>
      </c>
      <c r="F500" s="6" t="s">
        <v>40</v>
      </c>
      <c r="G500" s="7">
        <v>5</v>
      </c>
      <c r="H500" s="6" t="s">
        <v>62</v>
      </c>
    </row>
    <row r="501" spans="1:8" ht="14.25" customHeight="1" x14ac:dyDescent="0.25">
      <c r="A501" s="11">
        <v>46218</v>
      </c>
      <c r="B501" s="12" t="s">
        <v>7</v>
      </c>
      <c r="C501" s="12" t="s">
        <v>45</v>
      </c>
      <c r="D501" s="12" t="s">
        <v>29</v>
      </c>
      <c r="E501" s="12" t="s">
        <v>46</v>
      </c>
      <c r="F501" s="12" t="s">
        <v>66</v>
      </c>
      <c r="G501" s="13">
        <v>4</v>
      </c>
      <c r="H501" s="12" t="s">
        <v>32</v>
      </c>
    </row>
    <row r="502" spans="1:8" ht="14.25" customHeight="1" x14ac:dyDescent="0.25"/>
    <row r="503" spans="1:8" ht="14.25" customHeight="1" x14ac:dyDescent="0.25"/>
    <row r="504" spans="1:8" ht="14.25" customHeight="1" x14ac:dyDescent="0.25"/>
    <row r="505" spans="1:8" ht="14.25" customHeight="1" x14ac:dyDescent="0.25"/>
    <row r="506" spans="1:8" ht="14.25" customHeight="1" x14ac:dyDescent="0.25"/>
    <row r="507" spans="1:8" ht="14.25" customHeight="1" x14ac:dyDescent="0.25"/>
    <row r="508" spans="1:8" ht="14.25" customHeight="1" x14ac:dyDescent="0.25"/>
    <row r="509" spans="1:8" ht="14.25" customHeight="1" x14ac:dyDescent="0.25"/>
    <row r="510" spans="1:8" ht="14.25" customHeight="1" x14ac:dyDescent="0.25"/>
    <row r="511" spans="1:8" ht="14.25" customHeight="1" x14ac:dyDescent="0.25"/>
    <row r="512" spans="1:8"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EB7A-0A82-408D-9F40-E344416C4E25}">
  <dimension ref="A1:T1000"/>
  <sheetViews>
    <sheetView topLeftCell="N1" workbookViewId="0">
      <selection activeCell="D26" sqref="D26"/>
    </sheetView>
  </sheetViews>
  <sheetFormatPr defaultColWidth="14.42578125" defaultRowHeight="15" customHeight="1" x14ac:dyDescent="0.25"/>
  <cols>
    <col min="1" max="1" width="12" customWidth="1"/>
    <col min="2" max="2" width="16" customWidth="1"/>
    <col min="3" max="3" width="20.28515625" bestFit="1" customWidth="1"/>
    <col min="4" max="4" width="14" customWidth="1"/>
    <col min="5" max="5" width="21.28515625" bestFit="1" customWidth="1"/>
    <col min="6" max="6" width="12" customWidth="1"/>
    <col min="7" max="8" width="18" customWidth="1"/>
    <col min="9" max="9" width="14" customWidth="1"/>
    <col min="10" max="10" width="13" customWidth="1"/>
    <col min="11" max="11" width="15.7109375" customWidth="1"/>
    <col min="12" max="12" width="13.7109375" bestFit="1" customWidth="1"/>
    <col min="13" max="13" width="13.7109375" customWidth="1"/>
    <col min="14" max="14" width="14.28515625" bestFit="1" customWidth="1"/>
    <col min="15" max="15" width="14.28515625" style="20" customWidth="1"/>
    <col min="16" max="16" width="9.42578125" bestFit="1" customWidth="1"/>
    <col min="17" max="17" width="8.28515625" bestFit="1" customWidth="1"/>
    <col min="18" max="18" width="16" bestFit="1" customWidth="1"/>
    <col min="19" max="19" width="13.85546875" bestFit="1" customWidth="1"/>
    <col min="20" max="20" width="10.140625" bestFit="1" customWidth="1"/>
    <col min="21" max="23" width="8.7109375" customWidth="1"/>
  </cols>
  <sheetData>
    <row r="1" spans="1:20" s="18" customFormat="1" ht="17.25" customHeight="1" x14ac:dyDescent="0.25">
      <c r="A1" s="17" t="s">
        <v>1</v>
      </c>
      <c r="B1" s="17" t="s">
        <v>0</v>
      </c>
      <c r="C1" s="17" t="s">
        <v>96</v>
      </c>
      <c r="D1" s="17" t="s">
        <v>20</v>
      </c>
      <c r="E1" s="17" t="s">
        <v>97</v>
      </c>
      <c r="F1" s="17" t="s">
        <v>22</v>
      </c>
      <c r="G1" s="17" t="s">
        <v>23</v>
      </c>
      <c r="H1" s="17" t="s">
        <v>98</v>
      </c>
      <c r="I1" s="17" t="s">
        <v>24</v>
      </c>
      <c r="J1" s="17" t="s">
        <v>25</v>
      </c>
      <c r="K1" s="17" t="s">
        <v>26</v>
      </c>
      <c r="L1" s="21" t="s">
        <v>99</v>
      </c>
      <c r="M1" s="23" t="s">
        <v>100</v>
      </c>
      <c r="N1" s="23" t="s">
        <v>101</v>
      </c>
      <c r="O1" s="21" t="s">
        <v>102</v>
      </c>
      <c r="P1" s="23" t="s">
        <v>4</v>
      </c>
      <c r="Q1" s="17" t="s">
        <v>103</v>
      </c>
      <c r="R1" s="17" t="s">
        <v>104</v>
      </c>
      <c r="S1" s="17" t="s">
        <v>125</v>
      </c>
      <c r="T1" s="17" t="s">
        <v>121</v>
      </c>
    </row>
    <row r="2" spans="1:20" ht="14.25" customHeight="1" x14ac:dyDescent="0.25">
      <c r="A2" s="14">
        <v>46161</v>
      </c>
      <c r="B2" s="6" t="s">
        <v>27</v>
      </c>
      <c r="C2" s="16" t="str">
        <f>TRIM(PROPER(ShoeSales[[#This Row],[Product]]))</f>
        <v>Monk Straps</v>
      </c>
      <c r="D2" s="6" t="s">
        <v>28</v>
      </c>
      <c r="E2" s="44" t="str">
        <f>UPPER(ShoeSales[[#This Row],[Category]])</f>
        <v>FORMAL</v>
      </c>
      <c r="F2" s="6" t="s">
        <v>29</v>
      </c>
      <c r="G2" s="6" t="s">
        <v>30</v>
      </c>
      <c r="H2" s="16" t="str">
        <f>PROPER(ShoeSales[[#This Row],[Brand]])</f>
        <v>Nike</v>
      </c>
      <c r="I2" s="6" t="s">
        <v>31</v>
      </c>
      <c r="J2" s="7">
        <v>7</v>
      </c>
      <c r="K2" s="6" t="s">
        <v>32</v>
      </c>
      <c r="L2" s="22">
        <f>VLOOKUP(ShoeSales[[#This Row],[Product Cleaned]],Price!$A$2:$C$9,2,FALSE)</f>
        <v>89</v>
      </c>
      <c r="M2" s="19">
        <f>_xlfn.XLOOKUP(ShoeSales[[#This Row],[Product Cleaned]],Price!$A$2:$A$9,Price!$B$2:$B$9)</f>
        <v>89</v>
      </c>
      <c r="N2" s="19">
        <f>_xlfn.XLOOKUP(ShoeSales[[#This Row],[Product Cleaned]],Price!$A$2:$A$9,Price!$C$2:$C$9)</f>
        <v>47</v>
      </c>
      <c r="O2" s="22">
        <f>ShoeSales[[#This Row],[Sell Price]]*ShoeSales[[#This Row],[Quantity]]</f>
        <v>623</v>
      </c>
      <c r="P2" s="19">
        <f>ShoeSales[[#This Row],[Quantity]]*ShoeSales[[#This Row],[Cost Price]]</f>
        <v>329</v>
      </c>
      <c r="Q2" s="19">
        <f>ShoeSales[[#This Row],[Revenue]]-ShoeSales[[#This Row],[Cost]]</f>
        <v>294</v>
      </c>
      <c r="R2" s="24">
        <f>ShoeSales[[#This Row],[Profit]]/ShoeSales[[#This Row],[Revenue]]</f>
        <v>0.47191011235955055</v>
      </c>
      <c r="S2" s="19" t="s">
        <v>30</v>
      </c>
      <c r="T2" s="19" t="str">
        <f>UPPER(TEXT(ShoeSales[[#This Row],[Date]], "mmm"))</f>
        <v>MAY</v>
      </c>
    </row>
    <row r="3" spans="1:20" ht="14.25" customHeight="1" x14ac:dyDescent="0.25">
      <c r="A3" s="15">
        <v>46199</v>
      </c>
      <c r="B3" s="9" t="s">
        <v>33</v>
      </c>
      <c r="C3" s="9" t="str">
        <f>TRIM(PROPER(ShoeSales[[#This Row],[Product]]))</f>
        <v>Loafers</v>
      </c>
      <c r="D3" s="9" t="s">
        <v>28</v>
      </c>
      <c r="E3" s="45" t="str">
        <f>UPPER(ShoeSales[[#This Row],[Category]])</f>
        <v>FORMAL</v>
      </c>
      <c r="F3" s="9" t="s">
        <v>34</v>
      </c>
      <c r="G3" s="9" t="s">
        <v>35</v>
      </c>
      <c r="H3" s="9" t="str">
        <f>PROPER(ShoeSales[[#This Row],[Brand]])</f>
        <v>Nike</v>
      </c>
      <c r="I3" s="9" t="s">
        <v>31</v>
      </c>
      <c r="J3" s="10">
        <v>1</v>
      </c>
      <c r="K3" s="9" t="s">
        <v>36</v>
      </c>
      <c r="L3" s="22">
        <f>VLOOKUP(ShoeSales[[#This Row],[Product Cleaned]],Price!$A$2:$C$9,2,FALSE)</f>
        <v>54</v>
      </c>
      <c r="M3" s="19">
        <f>_xlfn.XLOOKUP(ShoeSales[[#This Row],[Product Cleaned]],Price!$A$2:$A$9,Price!$B$2:$B$9)</f>
        <v>54</v>
      </c>
      <c r="N3" s="19">
        <f>_xlfn.XLOOKUP(ShoeSales[[#This Row],[Product Cleaned]],Price!$A$2:$A$9,Price!$C$2:$C$9)</f>
        <v>28</v>
      </c>
      <c r="O3" s="22">
        <f>ShoeSales[[#This Row],[Sell Price]]*ShoeSales[[#This Row],[Quantity]]</f>
        <v>54</v>
      </c>
      <c r="P3" s="19">
        <f>ShoeSales[[#This Row],[Quantity]]*ShoeSales[[#This Row],[Cost Price]]</f>
        <v>28</v>
      </c>
      <c r="Q3" s="19">
        <f>ShoeSales[[#This Row],[Revenue]]-ShoeSales[[#This Row],[Cost]]</f>
        <v>26</v>
      </c>
      <c r="R3" s="24">
        <f>ShoeSales[[#This Row],[Profit]]/ShoeSales[[#This Row],[Revenue]]</f>
        <v>0.48148148148148145</v>
      </c>
      <c r="S3" s="19" t="s">
        <v>63</v>
      </c>
      <c r="T3" s="19" t="str">
        <f>UPPER(TEXT(ShoeSales[[#This Row],[Date]], "mmm"))</f>
        <v>JUN</v>
      </c>
    </row>
    <row r="4" spans="1:20" ht="14.25" customHeight="1" x14ac:dyDescent="0.25">
      <c r="A4" s="14">
        <v>46172</v>
      </c>
      <c r="B4" s="6" t="s">
        <v>7</v>
      </c>
      <c r="C4" s="16" t="str">
        <f>TRIM(PROPER(ShoeSales[[#This Row],[Product]]))</f>
        <v>Derby</v>
      </c>
      <c r="D4" s="6" t="s">
        <v>37</v>
      </c>
      <c r="E4" s="44" t="str">
        <f>UPPER(ShoeSales[[#This Row],[Category]])</f>
        <v>FORMAL</v>
      </c>
      <c r="F4" s="6" t="s">
        <v>38</v>
      </c>
      <c r="G4" s="6" t="s">
        <v>39</v>
      </c>
      <c r="H4" s="16" t="str">
        <f>PROPER(ShoeSales[[#This Row],[Brand]])</f>
        <v>Clarks</v>
      </c>
      <c r="I4" s="6" t="s">
        <v>40</v>
      </c>
      <c r="J4" s="7">
        <v>7</v>
      </c>
      <c r="K4" s="6" t="s">
        <v>32</v>
      </c>
      <c r="L4" s="22">
        <f>VLOOKUP(ShoeSales[[#This Row],[Product Cleaned]],Price!$A$2:$C$9,2,FALSE)</f>
        <v>32</v>
      </c>
      <c r="M4" s="19">
        <f>_xlfn.XLOOKUP(ShoeSales[[#This Row],[Product Cleaned]],Price!$A$2:$A$9,Price!$B$2:$B$9)</f>
        <v>32</v>
      </c>
      <c r="N4" s="19">
        <f>_xlfn.XLOOKUP(ShoeSales[[#This Row],[Product Cleaned]],Price!$A$2:$A$9,Price!$C$2:$C$9)</f>
        <v>14</v>
      </c>
      <c r="O4" s="22">
        <f>ShoeSales[[#This Row],[Sell Price]]*ShoeSales[[#This Row],[Quantity]]</f>
        <v>224</v>
      </c>
      <c r="P4" s="19">
        <f>ShoeSales[[#This Row],[Quantity]]*ShoeSales[[#This Row],[Cost Price]]</f>
        <v>98</v>
      </c>
      <c r="Q4" s="19">
        <f>ShoeSales[[#This Row],[Revenue]]-ShoeSales[[#This Row],[Cost]]</f>
        <v>126</v>
      </c>
      <c r="R4" s="24">
        <f>ShoeSales[[#This Row],[Profit]]/ShoeSales[[#This Row],[Revenue]]</f>
        <v>0.5625</v>
      </c>
      <c r="S4" s="19" t="s">
        <v>95</v>
      </c>
      <c r="T4" s="19" t="str">
        <f>UPPER(TEXT(ShoeSales[[#This Row],[Date]], "mmm"))</f>
        <v>MAY</v>
      </c>
    </row>
    <row r="5" spans="1:20" ht="14.25" customHeight="1" x14ac:dyDescent="0.25">
      <c r="A5" s="15">
        <v>46214</v>
      </c>
      <c r="B5" s="9" t="s">
        <v>41</v>
      </c>
      <c r="C5" s="9" t="str">
        <f>TRIM(PROPER(ShoeSales[[#This Row],[Product]]))</f>
        <v>Boots</v>
      </c>
      <c r="D5" s="9" t="s">
        <v>42</v>
      </c>
      <c r="E5" s="45" t="str">
        <f>UPPER(ShoeSales[[#This Row],[Category]])</f>
        <v>UTILITY</v>
      </c>
      <c r="F5" s="9" t="s">
        <v>34</v>
      </c>
      <c r="G5" s="9" t="s">
        <v>35</v>
      </c>
      <c r="H5" s="9" t="str">
        <f>PROPER(ShoeSales[[#This Row],[Brand]])</f>
        <v>Nike</v>
      </c>
      <c r="I5" s="9" t="s">
        <v>43</v>
      </c>
      <c r="J5" s="10">
        <v>6</v>
      </c>
      <c r="K5" s="9" t="s">
        <v>32</v>
      </c>
      <c r="L5" s="22">
        <f>VLOOKUP(ShoeSales[[#This Row],[Product Cleaned]],Price!$A$2:$C$9,2,FALSE)</f>
        <v>76</v>
      </c>
      <c r="M5" s="19">
        <f>_xlfn.XLOOKUP(ShoeSales[[#This Row],[Product Cleaned]],Price!$A$2:$A$9,Price!$B$2:$B$9)</f>
        <v>76</v>
      </c>
      <c r="N5" s="19">
        <f>_xlfn.XLOOKUP(ShoeSales[[#This Row],[Product Cleaned]],Price!$A$2:$A$9,Price!$C$2:$C$9)</f>
        <v>39</v>
      </c>
      <c r="O5" s="22">
        <f>ShoeSales[[#This Row],[Sell Price]]*ShoeSales[[#This Row],[Quantity]]</f>
        <v>456</v>
      </c>
      <c r="P5" s="19">
        <f>ShoeSales[[#This Row],[Quantity]]*ShoeSales[[#This Row],[Cost Price]]</f>
        <v>234</v>
      </c>
      <c r="Q5" s="19">
        <f>ShoeSales[[#This Row],[Revenue]]-ShoeSales[[#This Row],[Cost]]</f>
        <v>222</v>
      </c>
      <c r="R5" s="24">
        <f>ShoeSales[[#This Row],[Profit]]/ShoeSales[[#This Row],[Revenue]]</f>
        <v>0.48684210526315791</v>
      </c>
      <c r="S5" s="19" t="s">
        <v>72</v>
      </c>
      <c r="T5" s="19" t="str">
        <f>UPPER(TEXT(ShoeSales[[#This Row],[Date]], "mmm"))</f>
        <v>JUL</v>
      </c>
    </row>
    <row r="6" spans="1:20" ht="14.25" customHeight="1" x14ac:dyDescent="0.25">
      <c r="A6" s="14">
        <v>46130</v>
      </c>
      <c r="B6" s="6" t="s">
        <v>44</v>
      </c>
      <c r="C6" s="16" t="str">
        <f>TRIM(PROPER(ShoeSales[[#This Row],[Product]]))</f>
        <v>Boots</v>
      </c>
      <c r="D6" s="6" t="s">
        <v>45</v>
      </c>
      <c r="E6" s="44" t="str">
        <f>UPPER(ShoeSales[[#This Row],[Category]])</f>
        <v>CASUAL</v>
      </c>
      <c r="F6" s="6" t="s">
        <v>29</v>
      </c>
      <c r="G6" s="6" t="s">
        <v>46</v>
      </c>
      <c r="H6" s="16" t="str">
        <f>PROPER(ShoeSales[[#This Row],[Brand]])</f>
        <v>Clarks</v>
      </c>
      <c r="I6" s="6" t="s">
        <v>47</v>
      </c>
      <c r="J6" s="7">
        <v>6</v>
      </c>
      <c r="K6" s="6" t="s">
        <v>32</v>
      </c>
      <c r="L6" s="22">
        <f>VLOOKUP(ShoeSales[[#This Row],[Product Cleaned]],Price!$A$2:$C$9,2,FALSE)</f>
        <v>76</v>
      </c>
      <c r="M6" s="19">
        <f>_xlfn.XLOOKUP(ShoeSales[[#This Row],[Product Cleaned]],Price!$A$2:$A$9,Price!$B$2:$B$9)</f>
        <v>76</v>
      </c>
      <c r="N6" s="19">
        <f>_xlfn.XLOOKUP(ShoeSales[[#This Row],[Product Cleaned]],Price!$A$2:$A$9,Price!$C$2:$C$9)</f>
        <v>39</v>
      </c>
      <c r="O6" s="22">
        <f>ShoeSales[[#This Row],[Sell Price]]*ShoeSales[[#This Row],[Quantity]]</f>
        <v>456</v>
      </c>
      <c r="P6" s="19">
        <f>ShoeSales[[#This Row],[Quantity]]*ShoeSales[[#This Row],[Cost Price]]</f>
        <v>234</v>
      </c>
      <c r="Q6" s="19">
        <f>ShoeSales[[#This Row],[Revenue]]-ShoeSales[[#This Row],[Cost]]</f>
        <v>222</v>
      </c>
      <c r="R6" s="24">
        <f>ShoeSales[[#This Row],[Profit]]/ShoeSales[[#This Row],[Revenue]]</f>
        <v>0.48684210526315791</v>
      </c>
      <c r="S6" s="19" t="s">
        <v>75</v>
      </c>
      <c r="T6" s="19" t="str">
        <f>UPPER(TEXT(ShoeSales[[#This Row],[Date]], "mmm"))</f>
        <v>APR</v>
      </c>
    </row>
    <row r="7" spans="1:20" ht="14.25" customHeight="1" x14ac:dyDescent="0.25">
      <c r="A7" s="15">
        <v>46093</v>
      </c>
      <c r="B7" s="9" t="s">
        <v>9</v>
      </c>
      <c r="C7" s="9" t="str">
        <f>TRIM(PROPER(ShoeSales[[#This Row],[Product]]))</f>
        <v>Canvas</v>
      </c>
      <c r="D7" s="9" t="s">
        <v>48</v>
      </c>
      <c r="E7" s="45" t="str">
        <f>UPPER(ShoeSales[[#This Row],[Category]])</f>
        <v>UTILITY</v>
      </c>
      <c r="F7" s="9" t="s">
        <v>49</v>
      </c>
      <c r="G7" s="9" t="s">
        <v>50</v>
      </c>
      <c r="H7" s="9" t="str">
        <f>PROPER(ShoeSales[[#This Row],[Brand]])</f>
        <v>Nike</v>
      </c>
      <c r="I7" s="9" t="s">
        <v>51</v>
      </c>
      <c r="J7" s="10">
        <v>6</v>
      </c>
      <c r="K7" s="9" t="s">
        <v>36</v>
      </c>
      <c r="L7" s="22">
        <f>VLOOKUP(ShoeSales[[#This Row],[Product Cleaned]],Price!$A$2:$C$9,2,FALSE)</f>
        <v>128</v>
      </c>
      <c r="M7" s="19">
        <f>_xlfn.XLOOKUP(ShoeSales[[#This Row],[Product Cleaned]],Price!$A$2:$A$9,Price!$B$2:$B$9)</f>
        <v>128</v>
      </c>
      <c r="N7" s="19">
        <f>_xlfn.XLOOKUP(ShoeSales[[#This Row],[Product Cleaned]],Price!$A$2:$A$9,Price!$C$2:$C$9)</f>
        <v>72</v>
      </c>
      <c r="O7" s="22">
        <f>ShoeSales[[#This Row],[Sell Price]]*ShoeSales[[#This Row],[Quantity]]</f>
        <v>768</v>
      </c>
      <c r="P7" s="19">
        <f>ShoeSales[[#This Row],[Quantity]]*ShoeSales[[#This Row],[Cost Price]]</f>
        <v>432</v>
      </c>
      <c r="Q7" s="19">
        <f>ShoeSales[[#This Row],[Revenue]]-ShoeSales[[#This Row],[Cost]]</f>
        <v>336</v>
      </c>
      <c r="R7" s="24">
        <f>ShoeSales[[#This Row],[Profit]]/ShoeSales[[#This Row],[Revenue]]</f>
        <v>0.4375</v>
      </c>
      <c r="S7" s="19"/>
      <c r="T7" s="19" t="str">
        <f>UPPER(TEXT(ShoeSales[[#This Row],[Date]], "mmm"))</f>
        <v>MAR</v>
      </c>
    </row>
    <row r="8" spans="1:20" ht="14.25" customHeight="1" x14ac:dyDescent="0.25">
      <c r="A8" s="14">
        <v>46191</v>
      </c>
      <c r="B8" s="6" t="s">
        <v>52</v>
      </c>
      <c r="C8" s="16" t="str">
        <f>TRIM(PROPER(ShoeSales[[#This Row],[Product]]))</f>
        <v>Canvas</v>
      </c>
      <c r="D8" s="6" t="s">
        <v>28</v>
      </c>
      <c r="E8" s="44" t="str">
        <f>UPPER(ShoeSales[[#This Row],[Category]])</f>
        <v>FORMAL</v>
      </c>
      <c r="F8" s="6" t="s">
        <v>38</v>
      </c>
      <c r="G8" s="6" t="s">
        <v>39</v>
      </c>
      <c r="H8" s="16" t="str">
        <f>PROPER(ShoeSales[[#This Row],[Brand]])</f>
        <v>Clarks</v>
      </c>
      <c r="I8" s="6" t="s">
        <v>53</v>
      </c>
      <c r="J8" s="7">
        <v>13</v>
      </c>
      <c r="K8" s="6" t="s">
        <v>54</v>
      </c>
      <c r="L8" s="22">
        <f>VLOOKUP(ShoeSales[[#This Row],[Product Cleaned]],Price!$A$2:$C$9,2,FALSE)</f>
        <v>128</v>
      </c>
      <c r="M8" s="19">
        <f>_xlfn.XLOOKUP(ShoeSales[[#This Row],[Product Cleaned]],Price!$A$2:$A$9,Price!$B$2:$B$9)</f>
        <v>128</v>
      </c>
      <c r="N8" s="19">
        <f>_xlfn.XLOOKUP(ShoeSales[[#This Row],[Product Cleaned]],Price!$A$2:$A$9,Price!$C$2:$C$9)</f>
        <v>72</v>
      </c>
      <c r="O8" s="22">
        <f>ShoeSales[[#This Row],[Sell Price]]*ShoeSales[[#This Row],[Quantity]]</f>
        <v>1664</v>
      </c>
      <c r="P8" s="19">
        <f>ShoeSales[[#This Row],[Quantity]]*ShoeSales[[#This Row],[Cost Price]]</f>
        <v>936</v>
      </c>
      <c r="Q8" s="19">
        <f>ShoeSales[[#This Row],[Revenue]]-ShoeSales[[#This Row],[Cost]]</f>
        <v>728</v>
      </c>
      <c r="R8" s="24">
        <f>ShoeSales[[#This Row],[Profit]]/ShoeSales[[#This Row],[Revenue]]</f>
        <v>0.4375</v>
      </c>
      <c r="S8" s="19"/>
      <c r="T8" s="19" t="str">
        <f>UPPER(TEXT(ShoeSales[[#This Row],[Date]], "mmm"))</f>
        <v>JUN</v>
      </c>
    </row>
    <row r="9" spans="1:20" ht="14.25" customHeight="1" x14ac:dyDescent="0.25">
      <c r="A9" s="15">
        <v>46212</v>
      </c>
      <c r="B9" s="9" t="s">
        <v>55</v>
      </c>
      <c r="C9" s="9" t="str">
        <f>TRIM(PROPER(ShoeSales[[#This Row],[Product]]))</f>
        <v>Monk Straps</v>
      </c>
      <c r="D9" s="9" t="s">
        <v>28</v>
      </c>
      <c r="E9" s="45" t="str">
        <f>UPPER(ShoeSales[[#This Row],[Category]])</f>
        <v>FORMAL</v>
      </c>
      <c r="F9" s="9" t="s">
        <v>56</v>
      </c>
      <c r="G9" s="9" t="s">
        <v>57</v>
      </c>
      <c r="H9" s="9" t="str">
        <f>PROPER(ShoeSales[[#This Row],[Brand]])</f>
        <v>Timberland</v>
      </c>
      <c r="I9" s="9" t="s">
        <v>53</v>
      </c>
      <c r="J9" s="10">
        <v>12</v>
      </c>
      <c r="K9" s="9" t="s">
        <v>54</v>
      </c>
      <c r="L9" s="22">
        <f>VLOOKUP(ShoeSales[[#This Row],[Product Cleaned]],Price!$A$2:$C$9,2,FALSE)</f>
        <v>89</v>
      </c>
      <c r="M9" s="19">
        <f>_xlfn.XLOOKUP(ShoeSales[[#This Row],[Product Cleaned]],Price!$A$2:$A$9,Price!$B$2:$B$9)</f>
        <v>89</v>
      </c>
      <c r="N9" s="19">
        <f>_xlfn.XLOOKUP(ShoeSales[[#This Row],[Product Cleaned]],Price!$A$2:$A$9,Price!$C$2:$C$9)</f>
        <v>47</v>
      </c>
      <c r="O9" s="22">
        <f>ShoeSales[[#This Row],[Sell Price]]*ShoeSales[[#This Row],[Quantity]]</f>
        <v>1068</v>
      </c>
      <c r="P9" s="19">
        <f>ShoeSales[[#This Row],[Quantity]]*ShoeSales[[#This Row],[Cost Price]]</f>
        <v>564</v>
      </c>
      <c r="Q9" s="19">
        <f>ShoeSales[[#This Row],[Revenue]]-ShoeSales[[#This Row],[Cost]]</f>
        <v>504</v>
      </c>
      <c r="R9" s="24">
        <f>ShoeSales[[#This Row],[Profit]]/ShoeSales[[#This Row],[Revenue]]</f>
        <v>0.47191011235955055</v>
      </c>
      <c r="S9" s="19"/>
      <c r="T9" s="19" t="str">
        <f>UPPER(TEXT(ShoeSales[[#This Row],[Date]], "mmm"))</f>
        <v>JUL</v>
      </c>
    </row>
    <row r="10" spans="1:20" ht="14.25" customHeight="1" x14ac:dyDescent="0.25">
      <c r="A10" s="14">
        <v>46038</v>
      </c>
      <c r="B10" s="6" t="s">
        <v>7</v>
      </c>
      <c r="C10" s="16" t="str">
        <f>TRIM(PROPER(ShoeSales[[#This Row],[Product]]))</f>
        <v>Derby</v>
      </c>
      <c r="D10" s="6" t="s">
        <v>58</v>
      </c>
      <c r="E10" s="44" t="str">
        <f>UPPER(ShoeSales[[#This Row],[Category]])</f>
        <v>FORMAL</v>
      </c>
      <c r="F10" s="6" t="s">
        <v>38</v>
      </c>
      <c r="G10" s="6" t="s">
        <v>39</v>
      </c>
      <c r="H10" s="16" t="str">
        <f>PROPER(ShoeSales[[#This Row],[Brand]])</f>
        <v>Clarks</v>
      </c>
      <c r="I10" s="6" t="s">
        <v>59</v>
      </c>
      <c r="J10" s="7">
        <v>10</v>
      </c>
      <c r="K10" s="6" t="s">
        <v>54</v>
      </c>
      <c r="L10" s="22">
        <f>VLOOKUP(ShoeSales[[#This Row],[Product Cleaned]],Price!$A$2:$C$9,2,FALSE)</f>
        <v>32</v>
      </c>
      <c r="M10" s="19">
        <f>_xlfn.XLOOKUP(ShoeSales[[#This Row],[Product Cleaned]],Price!$A$2:$A$9,Price!$B$2:$B$9)</f>
        <v>32</v>
      </c>
      <c r="N10" s="19">
        <f>_xlfn.XLOOKUP(ShoeSales[[#This Row],[Product Cleaned]],Price!$A$2:$A$9,Price!$C$2:$C$9)</f>
        <v>14</v>
      </c>
      <c r="O10" s="22">
        <f>ShoeSales[[#This Row],[Sell Price]]*ShoeSales[[#This Row],[Quantity]]</f>
        <v>320</v>
      </c>
      <c r="P10" s="19">
        <f>ShoeSales[[#This Row],[Quantity]]*ShoeSales[[#This Row],[Cost Price]]</f>
        <v>140</v>
      </c>
      <c r="Q10" s="19">
        <f>ShoeSales[[#This Row],[Revenue]]-ShoeSales[[#This Row],[Cost]]</f>
        <v>180</v>
      </c>
      <c r="R10" s="24">
        <f>ShoeSales[[#This Row],[Profit]]/ShoeSales[[#This Row],[Revenue]]</f>
        <v>0.5625</v>
      </c>
      <c r="S10" s="19"/>
      <c r="T10" s="19" t="str">
        <f>UPPER(TEXT(ShoeSales[[#This Row],[Date]], "mmm"))</f>
        <v>JAN</v>
      </c>
    </row>
    <row r="11" spans="1:20" ht="14.25" customHeight="1" x14ac:dyDescent="0.25">
      <c r="A11" s="15">
        <v>46182</v>
      </c>
      <c r="B11" s="9" t="s">
        <v>60</v>
      </c>
      <c r="C11" s="9" t="str">
        <f>TRIM(PROPER(ShoeSales[[#This Row],[Product]]))</f>
        <v>Oxford</v>
      </c>
      <c r="D11" s="9" t="s">
        <v>28</v>
      </c>
      <c r="E11" s="45" t="str">
        <f>UPPER(ShoeSales[[#This Row],[Category]])</f>
        <v>FORMAL</v>
      </c>
      <c r="F11" s="9" t="s">
        <v>34</v>
      </c>
      <c r="G11" s="9" t="s">
        <v>39</v>
      </c>
      <c r="H11" s="9" t="str">
        <f>PROPER(ShoeSales[[#This Row],[Brand]])</f>
        <v>Clarks</v>
      </c>
      <c r="I11" s="9" t="s">
        <v>61</v>
      </c>
      <c r="J11" s="10">
        <v>15</v>
      </c>
      <c r="K11" s="9" t="s">
        <v>62</v>
      </c>
      <c r="L11" s="22">
        <f>VLOOKUP(ShoeSales[[#This Row],[Product Cleaned]],Price!$A$2:$C$9,2,FALSE)</f>
        <v>105</v>
      </c>
      <c r="M11" s="19">
        <f>_xlfn.XLOOKUP(ShoeSales[[#This Row],[Product Cleaned]],Price!$A$2:$A$9,Price!$B$2:$B$9)</f>
        <v>105</v>
      </c>
      <c r="N11" s="19">
        <f>_xlfn.XLOOKUP(ShoeSales[[#This Row],[Product Cleaned]],Price!$A$2:$A$9,Price!$C$2:$C$9)</f>
        <v>58</v>
      </c>
      <c r="O11" s="22">
        <f>ShoeSales[[#This Row],[Sell Price]]*ShoeSales[[#This Row],[Quantity]]</f>
        <v>1575</v>
      </c>
      <c r="P11" s="19">
        <f>ShoeSales[[#This Row],[Quantity]]*ShoeSales[[#This Row],[Cost Price]]</f>
        <v>870</v>
      </c>
      <c r="Q11" s="19">
        <f>ShoeSales[[#This Row],[Revenue]]-ShoeSales[[#This Row],[Cost]]</f>
        <v>705</v>
      </c>
      <c r="R11" s="24">
        <f>ShoeSales[[#This Row],[Profit]]/ShoeSales[[#This Row],[Revenue]]</f>
        <v>0.44761904761904764</v>
      </c>
      <c r="S11" s="19"/>
      <c r="T11" s="19" t="str">
        <f>UPPER(TEXT(ShoeSales[[#This Row],[Date]], "mmm"))</f>
        <v>JUN</v>
      </c>
    </row>
    <row r="12" spans="1:20" ht="14.25" customHeight="1" x14ac:dyDescent="0.25">
      <c r="A12" s="14">
        <v>46132</v>
      </c>
      <c r="B12" s="6" t="s">
        <v>44</v>
      </c>
      <c r="C12" s="16" t="str">
        <f>TRIM(PROPER(ShoeSales[[#This Row],[Product]]))</f>
        <v>Boots</v>
      </c>
      <c r="D12" s="6" t="s">
        <v>28</v>
      </c>
      <c r="E12" s="44" t="str">
        <f>UPPER(ShoeSales[[#This Row],[Category]])</f>
        <v>FORMAL</v>
      </c>
      <c r="F12" s="6" t="s">
        <v>56</v>
      </c>
      <c r="G12" s="6" t="s">
        <v>63</v>
      </c>
      <c r="H12" s="16" t="str">
        <f>PROPER(ShoeSales[[#This Row],[Brand]])</f>
        <v>Clarks</v>
      </c>
      <c r="I12" s="6" t="s">
        <v>64</v>
      </c>
      <c r="J12" s="7">
        <v>8</v>
      </c>
      <c r="K12" s="6" t="s">
        <v>32</v>
      </c>
      <c r="L12" s="22">
        <f>VLOOKUP(ShoeSales[[#This Row],[Product Cleaned]],Price!$A$2:$C$9,2,FALSE)</f>
        <v>76</v>
      </c>
      <c r="M12" s="19">
        <f>_xlfn.XLOOKUP(ShoeSales[[#This Row],[Product Cleaned]],Price!$A$2:$A$9,Price!$B$2:$B$9)</f>
        <v>76</v>
      </c>
      <c r="N12" s="19">
        <f>_xlfn.XLOOKUP(ShoeSales[[#This Row],[Product Cleaned]],Price!$A$2:$A$9,Price!$C$2:$C$9)</f>
        <v>39</v>
      </c>
      <c r="O12" s="22">
        <f>ShoeSales[[#This Row],[Sell Price]]*ShoeSales[[#This Row],[Quantity]]</f>
        <v>608</v>
      </c>
      <c r="P12" s="19">
        <f>ShoeSales[[#This Row],[Quantity]]*ShoeSales[[#This Row],[Cost Price]]</f>
        <v>312</v>
      </c>
      <c r="Q12" s="19">
        <f>ShoeSales[[#This Row],[Revenue]]-ShoeSales[[#This Row],[Cost]]</f>
        <v>296</v>
      </c>
      <c r="R12" s="24">
        <f>ShoeSales[[#This Row],[Profit]]/ShoeSales[[#This Row],[Revenue]]</f>
        <v>0.48684210526315791</v>
      </c>
      <c r="S12" s="19"/>
      <c r="T12" s="19" t="str">
        <f>UPPER(TEXT(ShoeSales[[#This Row],[Date]], "mmm"))</f>
        <v>APR</v>
      </c>
    </row>
    <row r="13" spans="1:20" ht="14.25" customHeight="1" x14ac:dyDescent="0.25">
      <c r="A13" s="15">
        <v>46097</v>
      </c>
      <c r="B13" s="9" t="s">
        <v>33</v>
      </c>
      <c r="C13" s="9" t="str">
        <f>TRIM(PROPER(ShoeSales[[#This Row],[Product]]))</f>
        <v>Loafers</v>
      </c>
      <c r="D13" s="9" t="s">
        <v>45</v>
      </c>
      <c r="E13" s="45" t="str">
        <f>UPPER(ShoeSales[[#This Row],[Category]])</f>
        <v>CASUAL</v>
      </c>
      <c r="F13" s="9" t="s">
        <v>38</v>
      </c>
      <c r="G13" s="9" t="s">
        <v>63</v>
      </c>
      <c r="H13" s="9" t="str">
        <f>PROPER(ShoeSales[[#This Row],[Brand]])</f>
        <v>Clarks</v>
      </c>
      <c r="I13" s="9" t="s">
        <v>59</v>
      </c>
      <c r="J13" s="10">
        <v>9</v>
      </c>
      <c r="K13" s="9" t="s">
        <v>54</v>
      </c>
      <c r="L13" s="22">
        <f>VLOOKUP(ShoeSales[[#This Row],[Product Cleaned]],Price!$A$2:$C$9,2,FALSE)</f>
        <v>54</v>
      </c>
      <c r="M13" s="19">
        <f>_xlfn.XLOOKUP(ShoeSales[[#This Row],[Product Cleaned]],Price!$A$2:$A$9,Price!$B$2:$B$9)</f>
        <v>54</v>
      </c>
      <c r="N13" s="19">
        <f>_xlfn.XLOOKUP(ShoeSales[[#This Row],[Product Cleaned]],Price!$A$2:$A$9,Price!$C$2:$C$9)</f>
        <v>28</v>
      </c>
      <c r="O13" s="22">
        <f>ShoeSales[[#This Row],[Sell Price]]*ShoeSales[[#This Row],[Quantity]]</f>
        <v>486</v>
      </c>
      <c r="P13" s="19">
        <f>ShoeSales[[#This Row],[Quantity]]*ShoeSales[[#This Row],[Cost Price]]</f>
        <v>252</v>
      </c>
      <c r="Q13" s="19">
        <f>ShoeSales[[#This Row],[Revenue]]-ShoeSales[[#This Row],[Cost]]</f>
        <v>234</v>
      </c>
      <c r="R13" s="24">
        <f>ShoeSales[[#This Row],[Profit]]/ShoeSales[[#This Row],[Revenue]]</f>
        <v>0.48148148148148145</v>
      </c>
      <c r="S13" s="19"/>
      <c r="T13" s="19" t="str">
        <f>UPPER(TEXT(ShoeSales[[#This Row],[Date]], "mmm"))</f>
        <v>MAR</v>
      </c>
    </row>
    <row r="14" spans="1:20" ht="14.25" customHeight="1" x14ac:dyDescent="0.25">
      <c r="A14" s="14">
        <v>46146</v>
      </c>
      <c r="B14" s="6" t="s">
        <v>65</v>
      </c>
      <c r="C14" s="16" t="str">
        <f>TRIM(PROPER(ShoeSales[[#This Row],[Product]]))</f>
        <v>Brogues</v>
      </c>
      <c r="D14" s="6" t="s">
        <v>42</v>
      </c>
      <c r="E14" s="44" t="str">
        <f>UPPER(ShoeSales[[#This Row],[Category]])</f>
        <v>UTILITY</v>
      </c>
      <c r="F14" s="6" t="s">
        <v>38</v>
      </c>
      <c r="G14" s="6" t="s">
        <v>30</v>
      </c>
      <c r="H14" s="16" t="str">
        <f>PROPER(ShoeSales[[#This Row],[Brand]])</f>
        <v>Nike</v>
      </c>
      <c r="I14" s="6" t="s">
        <v>66</v>
      </c>
      <c r="J14" s="7">
        <v>14</v>
      </c>
      <c r="K14" s="6" t="s">
        <v>32</v>
      </c>
      <c r="L14" s="22">
        <f>VLOOKUP(ShoeSales[[#This Row],[Product Cleaned]],Price!$A$2:$C$9,2,FALSE)</f>
        <v>112</v>
      </c>
      <c r="M14" s="19">
        <f>_xlfn.XLOOKUP(ShoeSales[[#This Row],[Product Cleaned]],Price!$A$2:$A$9,Price!$B$2:$B$9)</f>
        <v>112</v>
      </c>
      <c r="N14" s="19">
        <f>_xlfn.XLOOKUP(ShoeSales[[#This Row],[Product Cleaned]],Price!$A$2:$A$9,Price!$C$2:$C$9)</f>
        <v>64</v>
      </c>
      <c r="O14" s="22">
        <f>ShoeSales[[#This Row],[Sell Price]]*ShoeSales[[#This Row],[Quantity]]</f>
        <v>1568</v>
      </c>
      <c r="P14" s="19">
        <f>ShoeSales[[#This Row],[Quantity]]*ShoeSales[[#This Row],[Cost Price]]</f>
        <v>896</v>
      </c>
      <c r="Q14" s="19">
        <f>ShoeSales[[#This Row],[Revenue]]-ShoeSales[[#This Row],[Cost]]</f>
        <v>672</v>
      </c>
      <c r="R14" s="24">
        <f>ShoeSales[[#This Row],[Profit]]/ShoeSales[[#This Row],[Revenue]]</f>
        <v>0.42857142857142855</v>
      </c>
      <c r="S14" s="19"/>
      <c r="T14" s="19" t="str">
        <f>UPPER(TEXT(ShoeSales[[#This Row],[Date]], "mmm"))</f>
        <v>MAY</v>
      </c>
    </row>
    <row r="15" spans="1:20" ht="14.25" customHeight="1" x14ac:dyDescent="0.25">
      <c r="A15" s="15">
        <v>46031</v>
      </c>
      <c r="B15" s="9" t="s">
        <v>67</v>
      </c>
      <c r="C15" s="9" t="str">
        <f>TRIM(PROPER(ShoeSales[[#This Row],[Product]]))</f>
        <v>Oxford</v>
      </c>
      <c r="D15" s="9" t="s">
        <v>58</v>
      </c>
      <c r="E15" s="45" t="str">
        <f>UPPER(ShoeSales[[#This Row],[Category]])</f>
        <v>FORMAL</v>
      </c>
      <c r="F15" s="9" t="s">
        <v>38</v>
      </c>
      <c r="G15" s="9" t="s">
        <v>57</v>
      </c>
      <c r="H15" s="9" t="str">
        <f>PROPER(ShoeSales[[#This Row],[Brand]])</f>
        <v>Timberland</v>
      </c>
      <c r="I15" s="9" t="s">
        <v>40</v>
      </c>
      <c r="J15" s="10">
        <v>4</v>
      </c>
      <c r="K15" s="9" t="s">
        <v>36</v>
      </c>
      <c r="L15" s="22">
        <f>VLOOKUP(ShoeSales[[#This Row],[Product Cleaned]],Price!$A$2:$C$9,2,FALSE)</f>
        <v>105</v>
      </c>
      <c r="M15" s="19">
        <f>_xlfn.XLOOKUP(ShoeSales[[#This Row],[Product Cleaned]],Price!$A$2:$A$9,Price!$B$2:$B$9)</f>
        <v>105</v>
      </c>
      <c r="N15" s="19">
        <f>_xlfn.XLOOKUP(ShoeSales[[#This Row],[Product Cleaned]],Price!$A$2:$A$9,Price!$C$2:$C$9)</f>
        <v>58</v>
      </c>
      <c r="O15" s="22">
        <f>ShoeSales[[#This Row],[Sell Price]]*ShoeSales[[#This Row],[Quantity]]</f>
        <v>420</v>
      </c>
      <c r="P15" s="19">
        <f>ShoeSales[[#This Row],[Quantity]]*ShoeSales[[#This Row],[Cost Price]]</f>
        <v>232</v>
      </c>
      <c r="Q15" s="19">
        <f>ShoeSales[[#This Row],[Revenue]]-ShoeSales[[#This Row],[Cost]]</f>
        <v>188</v>
      </c>
      <c r="R15" s="24">
        <f>ShoeSales[[#This Row],[Profit]]/ShoeSales[[#This Row],[Revenue]]</f>
        <v>0.44761904761904764</v>
      </c>
      <c r="S15" s="19"/>
      <c r="T15" s="19" t="str">
        <f>UPPER(TEXT(ShoeSales[[#This Row],[Date]], "mmm"))</f>
        <v>JAN</v>
      </c>
    </row>
    <row r="16" spans="1:20" ht="14.25" customHeight="1" x14ac:dyDescent="0.25">
      <c r="A16" s="14">
        <v>46199</v>
      </c>
      <c r="B16" s="6" t="s">
        <v>68</v>
      </c>
      <c r="C16" s="16" t="str">
        <f>TRIM(PROPER(ShoeSales[[#This Row],[Product]]))</f>
        <v>Slippers</v>
      </c>
      <c r="D16" s="6" t="s">
        <v>37</v>
      </c>
      <c r="E16" s="44" t="str">
        <f>UPPER(ShoeSales[[#This Row],[Category]])</f>
        <v>FORMAL</v>
      </c>
      <c r="F16" s="6" t="s">
        <v>29</v>
      </c>
      <c r="G16" s="6" t="s">
        <v>69</v>
      </c>
      <c r="H16" s="16" t="str">
        <f>PROPER(ShoeSales[[#This Row],[Brand]])</f>
        <v>Zara</v>
      </c>
      <c r="I16" s="6" t="s">
        <v>31</v>
      </c>
      <c r="J16" s="7">
        <v>6</v>
      </c>
      <c r="K16" s="6" t="s">
        <v>36</v>
      </c>
      <c r="L16" s="22">
        <f>VLOOKUP(ShoeSales[[#This Row],[Product Cleaned]],Price!$A$2:$C$9,2,FALSE)</f>
        <v>119</v>
      </c>
      <c r="M16" s="19">
        <f>_xlfn.XLOOKUP(ShoeSales[[#This Row],[Product Cleaned]],Price!$A$2:$A$9,Price!$B$2:$B$9)</f>
        <v>119</v>
      </c>
      <c r="N16" s="19">
        <f>_xlfn.XLOOKUP(ShoeSales[[#This Row],[Product Cleaned]],Price!$A$2:$A$9,Price!$C$2:$C$9)</f>
        <v>67</v>
      </c>
      <c r="O16" s="22">
        <f>ShoeSales[[#This Row],[Sell Price]]*ShoeSales[[#This Row],[Quantity]]</f>
        <v>714</v>
      </c>
      <c r="P16" s="19">
        <f>ShoeSales[[#This Row],[Quantity]]*ShoeSales[[#This Row],[Cost Price]]</f>
        <v>402</v>
      </c>
      <c r="Q16" s="19">
        <f>ShoeSales[[#This Row],[Revenue]]-ShoeSales[[#This Row],[Cost]]</f>
        <v>312</v>
      </c>
      <c r="R16" s="24">
        <f>ShoeSales[[#This Row],[Profit]]/ShoeSales[[#This Row],[Revenue]]</f>
        <v>0.43697478991596639</v>
      </c>
      <c r="S16" s="19"/>
      <c r="T16" s="19" t="str">
        <f>UPPER(TEXT(ShoeSales[[#This Row],[Date]], "mmm"))</f>
        <v>JUN</v>
      </c>
    </row>
    <row r="17" spans="1:20" ht="14.25" customHeight="1" x14ac:dyDescent="0.25">
      <c r="A17" s="15">
        <v>46226</v>
      </c>
      <c r="B17" s="9" t="s">
        <v>70</v>
      </c>
      <c r="C17" s="9" t="str">
        <f>TRIM(PROPER(ShoeSales[[#This Row],[Product]]))</f>
        <v>Derby</v>
      </c>
      <c r="D17" s="9" t="s">
        <v>71</v>
      </c>
      <c r="E17" s="45" t="str">
        <f>UPPER(ShoeSales[[#This Row],[Category]])</f>
        <v>CASUAL</v>
      </c>
      <c r="F17" s="9" t="s">
        <v>38</v>
      </c>
      <c r="G17" s="9" t="s">
        <v>72</v>
      </c>
      <c r="H17" s="9" t="str">
        <f>PROPER(ShoeSales[[#This Row],[Brand]])</f>
        <v>Zara</v>
      </c>
      <c r="I17" s="9" t="s">
        <v>73</v>
      </c>
      <c r="J17" s="10">
        <v>10</v>
      </c>
      <c r="K17" s="9" t="s">
        <v>54</v>
      </c>
      <c r="L17" s="22">
        <f>VLOOKUP(ShoeSales[[#This Row],[Product Cleaned]],Price!$A$2:$C$9,2,FALSE)</f>
        <v>32</v>
      </c>
      <c r="M17" s="19">
        <f>_xlfn.XLOOKUP(ShoeSales[[#This Row],[Product Cleaned]],Price!$A$2:$A$9,Price!$B$2:$B$9)</f>
        <v>32</v>
      </c>
      <c r="N17" s="19">
        <f>_xlfn.XLOOKUP(ShoeSales[[#This Row],[Product Cleaned]],Price!$A$2:$A$9,Price!$C$2:$C$9)</f>
        <v>14</v>
      </c>
      <c r="O17" s="22">
        <f>ShoeSales[[#This Row],[Sell Price]]*ShoeSales[[#This Row],[Quantity]]</f>
        <v>320</v>
      </c>
      <c r="P17" s="19">
        <f>ShoeSales[[#This Row],[Quantity]]*ShoeSales[[#This Row],[Cost Price]]</f>
        <v>140</v>
      </c>
      <c r="Q17" s="19">
        <f>ShoeSales[[#This Row],[Revenue]]-ShoeSales[[#This Row],[Cost]]</f>
        <v>180</v>
      </c>
      <c r="R17" s="24">
        <f>ShoeSales[[#This Row],[Profit]]/ShoeSales[[#This Row],[Revenue]]</f>
        <v>0.5625</v>
      </c>
      <c r="S17" s="19"/>
      <c r="T17" s="19" t="str">
        <f>UPPER(TEXT(ShoeSales[[#This Row],[Date]], "mmm"))</f>
        <v>JUL</v>
      </c>
    </row>
    <row r="18" spans="1:20" ht="14.25" customHeight="1" x14ac:dyDescent="0.25">
      <c r="A18" s="14">
        <v>46125</v>
      </c>
      <c r="B18" s="6" t="s">
        <v>41</v>
      </c>
      <c r="C18" s="16" t="str">
        <f>TRIM(PROPER(ShoeSales[[#This Row],[Product]]))</f>
        <v>Boots</v>
      </c>
      <c r="D18" s="6" t="s">
        <v>74</v>
      </c>
      <c r="E18" s="44" t="str">
        <f>UPPER(ShoeSales[[#This Row],[Category]])</f>
        <v>OPEN</v>
      </c>
      <c r="F18" s="6" t="s">
        <v>29</v>
      </c>
      <c r="G18" s="6" t="s">
        <v>75</v>
      </c>
      <c r="H18" s="16" t="str">
        <f>PROPER(ShoeSales[[#This Row],[Brand]])</f>
        <v>Steve Madden</v>
      </c>
      <c r="I18" s="6" t="s">
        <v>40</v>
      </c>
      <c r="J18" s="7">
        <v>7</v>
      </c>
      <c r="K18" s="6" t="s">
        <v>32</v>
      </c>
      <c r="L18" s="22">
        <f>VLOOKUP(ShoeSales[[#This Row],[Product Cleaned]],Price!$A$2:$C$9,2,FALSE)</f>
        <v>76</v>
      </c>
      <c r="M18" s="19">
        <f>_xlfn.XLOOKUP(ShoeSales[[#This Row],[Product Cleaned]],Price!$A$2:$A$9,Price!$B$2:$B$9)</f>
        <v>76</v>
      </c>
      <c r="N18" s="19">
        <f>_xlfn.XLOOKUP(ShoeSales[[#This Row],[Product Cleaned]],Price!$A$2:$A$9,Price!$C$2:$C$9)</f>
        <v>39</v>
      </c>
      <c r="O18" s="22">
        <f>ShoeSales[[#This Row],[Sell Price]]*ShoeSales[[#This Row],[Quantity]]</f>
        <v>532</v>
      </c>
      <c r="P18" s="19">
        <f>ShoeSales[[#This Row],[Quantity]]*ShoeSales[[#This Row],[Cost Price]]</f>
        <v>273</v>
      </c>
      <c r="Q18" s="19">
        <f>ShoeSales[[#This Row],[Revenue]]-ShoeSales[[#This Row],[Cost]]</f>
        <v>259</v>
      </c>
      <c r="R18" s="24">
        <f>ShoeSales[[#This Row],[Profit]]/ShoeSales[[#This Row],[Revenue]]</f>
        <v>0.48684210526315791</v>
      </c>
      <c r="S18" s="19"/>
      <c r="T18" s="19" t="str">
        <f>UPPER(TEXT(ShoeSales[[#This Row],[Date]], "mmm"))</f>
        <v>APR</v>
      </c>
    </row>
    <row r="19" spans="1:20" ht="14.25" customHeight="1" x14ac:dyDescent="0.25">
      <c r="A19" s="15">
        <v>46162</v>
      </c>
      <c r="B19" s="9" t="s">
        <v>76</v>
      </c>
      <c r="C19" s="9" t="str">
        <f>TRIM(PROPER(ShoeSales[[#This Row],[Product]]))</f>
        <v>Derby</v>
      </c>
      <c r="D19" s="9" t="s">
        <v>77</v>
      </c>
      <c r="E19" s="45" t="str">
        <f>UPPER(ShoeSales[[#This Row],[Category]])</f>
        <v>CASUAL</v>
      </c>
      <c r="F19" s="9" t="s">
        <v>49</v>
      </c>
      <c r="G19" s="9" t="s">
        <v>46</v>
      </c>
      <c r="H19" s="9" t="str">
        <f>PROPER(ShoeSales[[#This Row],[Brand]])</f>
        <v>Clarks</v>
      </c>
      <c r="I19" s="9" t="s">
        <v>47</v>
      </c>
      <c r="J19" s="10">
        <v>7</v>
      </c>
      <c r="K19" s="9" t="s">
        <v>62</v>
      </c>
      <c r="L19" s="22">
        <f>VLOOKUP(ShoeSales[[#This Row],[Product Cleaned]],Price!$A$2:$C$9,2,FALSE)</f>
        <v>32</v>
      </c>
      <c r="M19" s="19">
        <f>_xlfn.XLOOKUP(ShoeSales[[#This Row],[Product Cleaned]],Price!$A$2:$A$9,Price!$B$2:$B$9)</f>
        <v>32</v>
      </c>
      <c r="N19" s="19">
        <f>_xlfn.XLOOKUP(ShoeSales[[#This Row],[Product Cleaned]],Price!$A$2:$A$9,Price!$C$2:$C$9)</f>
        <v>14</v>
      </c>
      <c r="O19" s="22">
        <f>ShoeSales[[#This Row],[Sell Price]]*ShoeSales[[#This Row],[Quantity]]</f>
        <v>224</v>
      </c>
      <c r="P19" s="19">
        <f>ShoeSales[[#This Row],[Quantity]]*ShoeSales[[#This Row],[Cost Price]]</f>
        <v>98</v>
      </c>
      <c r="Q19" s="19">
        <f>ShoeSales[[#This Row],[Revenue]]-ShoeSales[[#This Row],[Cost]]</f>
        <v>126</v>
      </c>
      <c r="R19" s="24">
        <f>ShoeSales[[#This Row],[Profit]]/ShoeSales[[#This Row],[Revenue]]</f>
        <v>0.5625</v>
      </c>
      <c r="S19" s="19"/>
      <c r="T19" s="19" t="str">
        <f>UPPER(TEXT(ShoeSales[[#This Row],[Date]], "mmm"))</f>
        <v>MAY</v>
      </c>
    </row>
    <row r="20" spans="1:20" ht="14.25" customHeight="1" x14ac:dyDescent="0.25">
      <c r="A20" s="14">
        <v>46112</v>
      </c>
      <c r="B20" s="6" t="s">
        <v>10</v>
      </c>
      <c r="C20" s="16" t="str">
        <f>TRIM(PROPER(ShoeSales[[#This Row],[Product]]))</f>
        <v>Oxford</v>
      </c>
      <c r="D20" s="6" t="s">
        <v>74</v>
      </c>
      <c r="E20" s="44" t="str">
        <f>UPPER(ShoeSales[[#This Row],[Category]])</f>
        <v>OPEN</v>
      </c>
      <c r="F20" s="6" t="s">
        <v>34</v>
      </c>
      <c r="G20" s="6" t="s">
        <v>39</v>
      </c>
      <c r="H20" s="16" t="str">
        <f>PROPER(ShoeSales[[#This Row],[Brand]])</f>
        <v>Clarks</v>
      </c>
      <c r="I20" s="6" t="s">
        <v>47</v>
      </c>
      <c r="J20" s="7">
        <v>11</v>
      </c>
      <c r="K20" s="6" t="s">
        <v>54</v>
      </c>
      <c r="L20" s="22">
        <f>VLOOKUP(ShoeSales[[#This Row],[Product Cleaned]],Price!$A$2:$C$9,2,FALSE)</f>
        <v>105</v>
      </c>
      <c r="M20" s="19">
        <f>_xlfn.XLOOKUP(ShoeSales[[#This Row],[Product Cleaned]],Price!$A$2:$A$9,Price!$B$2:$B$9)</f>
        <v>105</v>
      </c>
      <c r="N20" s="19">
        <f>_xlfn.XLOOKUP(ShoeSales[[#This Row],[Product Cleaned]],Price!$A$2:$A$9,Price!$C$2:$C$9)</f>
        <v>58</v>
      </c>
      <c r="O20" s="22">
        <f>ShoeSales[[#This Row],[Sell Price]]*ShoeSales[[#This Row],[Quantity]]</f>
        <v>1155</v>
      </c>
      <c r="P20" s="19">
        <f>ShoeSales[[#This Row],[Quantity]]*ShoeSales[[#This Row],[Cost Price]]</f>
        <v>638</v>
      </c>
      <c r="Q20" s="19">
        <f>ShoeSales[[#This Row],[Revenue]]-ShoeSales[[#This Row],[Cost]]</f>
        <v>517</v>
      </c>
      <c r="R20" s="24">
        <f>ShoeSales[[#This Row],[Profit]]/ShoeSales[[#This Row],[Revenue]]</f>
        <v>0.44761904761904764</v>
      </c>
      <c r="S20" s="19"/>
      <c r="T20" s="19" t="str">
        <f>UPPER(TEXT(ShoeSales[[#This Row],[Date]], "mmm"))</f>
        <v>MAR</v>
      </c>
    </row>
    <row r="21" spans="1:20" ht="14.25" customHeight="1" x14ac:dyDescent="0.25">
      <c r="A21" s="15">
        <v>46147</v>
      </c>
      <c r="B21" s="9" t="s">
        <v>41</v>
      </c>
      <c r="C21" s="9" t="str">
        <f>TRIM(PROPER(ShoeSales[[#This Row],[Product]]))</f>
        <v>Boots</v>
      </c>
      <c r="D21" s="9" t="s">
        <v>42</v>
      </c>
      <c r="E21" s="45" t="str">
        <f>UPPER(ShoeSales[[#This Row],[Category]])</f>
        <v>UTILITY</v>
      </c>
      <c r="F21" s="9" t="s">
        <v>29</v>
      </c>
      <c r="G21" s="9" t="s">
        <v>50</v>
      </c>
      <c r="H21" s="9" t="str">
        <f>PROPER(ShoeSales[[#This Row],[Brand]])</f>
        <v>Nike</v>
      </c>
      <c r="I21" s="9" t="s">
        <v>78</v>
      </c>
      <c r="J21" s="10">
        <v>6</v>
      </c>
      <c r="K21" s="9" t="s">
        <v>54</v>
      </c>
      <c r="L21" s="22">
        <f>VLOOKUP(ShoeSales[[#This Row],[Product Cleaned]],Price!$A$2:$C$9,2,FALSE)</f>
        <v>76</v>
      </c>
      <c r="M21" s="19">
        <f>_xlfn.XLOOKUP(ShoeSales[[#This Row],[Product Cleaned]],Price!$A$2:$A$9,Price!$B$2:$B$9)</f>
        <v>76</v>
      </c>
      <c r="N21" s="19">
        <f>_xlfn.XLOOKUP(ShoeSales[[#This Row],[Product Cleaned]],Price!$A$2:$A$9,Price!$C$2:$C$9)</f>
        <v>39</v>
      </c>
      <c r="O21" s="22">
        <f>ShoeSales[[#This Row],[Sell Price]]*ShoeSales[[#This Row],[Quantity]]</f>
        <v>456</v>
      </c>
      <c r="P21" s="19">
        <f>ShoeSales[[#This Row],[Quantity]]*ShoeSales[[#This Row],[Cost Price]]</f>
        <v>234</v>
      </c>
      <c r="Q21" s="19">
        <f>ShoeSales[[#This Row],[Revenue]]-ShoeSales[[#This Row],[Cost]]</f>
        <v>222</v>
      </c>
      <c r="R21" s="24">
        <f>ShoeSales[[#This Row],[Profit]]/ShoeSales[[#This Row],[Revenue]]</f>
        <v>0.48684210526315791</v>
      </c>
      <c r="S21" s="19"/>
      <c r="T21" s="19" t="str">
        <f>UPPER(TEXT(ShoeSales[[#This Row],[Date]], "mmm"))</f>
        <v>MAY</v>
      </c>
    </row>
    <row r="22" spans="1:20" ht="14.25" customHeight="1" x14ac:dyDescent="0.25">
      <c r="A22" s="14">
        <v>46241</v>
      </c>
      <c r="B22" s="6" t="s">
        <v>5</v>
      </c>
      <c r="C22" s="16" t="str">
        <f>TRIM(PROPER(ShoeSales[[#This Row],[Product]]))</f>
        <v>Monk Straps</v>
      </c>
      <c r="D22" s="6" t="s">
        <v>28</v>
      </c>
      <c r="E22" s="44" t="str">
        <f>UPPER(ShoeSales[[#This Row],[Category]])</f>
        <v>FORMAL</v>
      </c>
      <c r="F22" s="6" t="s">
        <v>29</v>
      </c>
      <c r="G22" s="6" t="s">
        <v>46</v>
      </c>
      <c r="H22" s="16" t="str">
        <f>PROPER(ShoeSales[[#This Row],[Brand]])</f>
        <v>Clarks</v>
      </c>
      <c r="I22" s="6" t="s">
        <v>66</v>
      </c>
      <c r="J22" s="7">
        <v>8</v>
      </c>
      <c r="K22" s="6" t="s">
        <v>36</v>
      </c>
      <c r="L22" s="22">
        <f>VLOOKUP(ShoeSales[[#This Row],[Product Cleaned]],Price!$A$2:$C$9,2,FALSE)</f>
        <v>89</v>
      </c>
      <c r="M22" s="19">
        <f>_xlfn.XLOOKUP(ShoeSales[[#This Row],[Product Cleaned]],Price!$A$2:$A$9,Price!$B$2:$B$9)</f>
        <v>89</v>
      </c>
      <c r="N22" s="19">
        <f>_xlfn.XLOOKUP(ShoeSales[[#This Row],[Product Cleaned]],Price!$A$2:$A$9,Price!$C$2:$C$9)</f>
        <v>47</v>
      </c>
      <c r="O22" s="22">
        <f>ShoeSales[[#This Row],[Sell Price]]*ShoeSales[[#This Row],[Quantity]]</f>
        <v>712</v>
      </c>
      <c r="P22" s="19">
        <f>ShoeSales[[#This Row],[Quantity]]*ShoeSales[[#This Row],[Cost Price]]</f>
        <v>376</v>
      </c>
      <c r="Q22" s="19">
        <f>ShoeSales[[#This Row],[Revenue]]-ShoeSales[[#This Row],[Cost]]</f>
        <v>336</v>
      </c>
      <c r="R22" s="24">
        <f>ShoeSales[[#This Row],[Profit]]/ShoeSales[[#This Row],[Revenue]]</f>
        <v>0.47191011235955055</v>
      </c>
      <c r="S22" s="19"/>
      <c r="T22" s="19" t="str">
        <f>UPPER(TEXT(ShoeSales[[#This Row],[Date]], "mmm"))</f>
        <v>AUG</v>
      </c>
    </row>
    <row r="23" spans="1:20" ht="14.25" customHeight="1" x14ac:dyDescent="0.25">
      <c r="A23" s="15">
        <v>46217</v>
      </c>
      <c r="B23" s="9" t="s">
        <v>79</v>
      </c>
      <c r="C23" s="9" t="str">
        <f>TRIM(PROPER(ShoeSales[[#This Row],[Product]]))</f>
        <v>Brogues</v>
      </c>
      <c r="D23" s="9" t="s">
        <v>71</v>
      </c>
      <c r="E23" s="45" t="str">
        <f>UPPER(ShoeSales[[#This Row],[Category]])</f>
        <v>CASUAL</v>
      </c>
      <c r="F23" s="9" t="s">
        <v>38</v>
      </c>
      <c r="G23" s="9" t="s">
        <v>75</v>
      </c>
      <c r="H23" s="9" t="str">
        <f>PROPER(ShoeSales[[#This Row],[Brand]])</f>
        <v>Steve Madden</v>
      </c>
      <c r="I23" s="9" t="s">
        <v>59</v>
      </c>
      <c r="J23" s="10">
        <v>5</v>
      </c>
      <c r="K23" s="9" t="s">
        <v>62</v>
      </c>
      <c r="L23" s="22">
        <f>VLOOKUP(ShoeSales[[#This Row],[Product Cleaned]],Price!$A$2:$C$9,2,FALSE)</f>
        <v>112</v>
      </c>
      <c r="M23" s="19">
        <f>_xlfn.XLOOKUP(ShoeSales[[#This Row],[Product Cleaned]],Price!$A$2:$A$9,Price!$B$2:$B$9)</f>
        <v>112</v>
      </c>
      <c r="N23" s="19">
        <f>_xlfn.XLOOKUP(ShoeSales[[#This Row],[Product Cleaned]],Price!$A$2:$A$9,Price!$C$2:$C$9)</f>
        <v>64</v>
      </c>
      <c r="O23" s="22">
        <f>ShoeSales[[#This Row],[Sell Price]]*ShoeSales[[#This Row],[Quantity]]</f>
        <v>560</v>
      </c>
      <c r="P23" s="19">
        <f>ShoeSales[[#This Row],[Quantity]]*ShoeSales[[#This Row],[Cost Price]]</f>
        <v>320</v>
      </c>
      <c r="Q23" s="19">
        <f>ShoeSales[[#This Row],[Revenue]]-ShoeSales[[#This Row],[Cost]]</f>
        <v>240</v>
      </c>
      <c r="R23" s="24">
        <f>ShoeSales[[#This Row],[Profit]]/ShoeSales[[#This Row],[Revenue]]</f>
        <v>0.42857142857142855</v>
      </c>
      <c r="S23" s="19"/>
      <c r="T23" s="19" t="str">
        <f>UPPER(TEXT(ShoeSales[[#This Row],[Date]], "mmm"))</f>
        <v>JUL</v>
      </c>
    </row>
    <row r="24" spans="1:20" ht="14.25" customHeight="1" x14ac:dyDescent="0.25">
      <c r="A24" s="14">
        <v>46034</v>
      </c>
      <c r="B24" s="6" t="s">
        <v>60</v>
      </c>
      <c r="C24" s="16" t="str">
        <f>TRIM(PROPER(ShoeSales[[#This Row],[Product]]))</f>
        <v>Oxford</v>
      </c>
      <c r="D24" s="6" t="s">
        <v>58</v>
      </c>
      <c r="E24" s="44" t="str">
        <f>UPPER(ShoeSales[[#This Row],[Category]])</f>
        <v>FORMAL</v>
      </c>
      <c r="F24" s="6" t="s">
        <v>38</v>
      </c>
      <c r="G24" s="6" t="s">
        <v>80</v>
      </c>
      <c r="H24" s="16" t="str">
        <f>PROPER(ShoeSales[[#This Row],[Brand]])</f>
        <v>Steve Madden</v>
      </c>
      <c r="I24" s="6" t="s">
        <v>78</v>
      </c>
      <c r="J24" s="7">
        <v>15</v>
      </c>
      <c r="K24" s="6" t="s">
        <v>36</v>
      </c>
      <c r="L24" s="22">
        <f>VLOOKUP(ShoeSales[[#This Row],[Product Cleaned]],Price!$A$2:$C$9,2,FALSE)</f>
        <v>105</v>
      </c>
      <c r="M24" s="19">
        <f>_xlfn.XLOOKUP(ShoeSales[[#This Row],[Product Cleaned]],Price!$A$2:$A$9,Price!$B$2:$B$9)</f>
        <v>105</v>
      </c>
      <c r="N24" s="19">
        <f>_xlfn.XLOOKUP(ShoeSales[[#This Row],[Product Cleaned]],Price!$A$2:$A$9,Price!$C$2:$C$9)</f>
        <v>58</v>
      </c>
      <c r="O24" s="22">
        <f>ShoeSales[[#This Row],[Sell Price]]*ShoeSales[[#This Row],[Quantity]]</f>
        <v>1575</v>
      </c>
      <c r="P24" s="19">
        <f>ShoeSales[[#This Row],[Quantity]]*ShoeSales[[#This Row],[Cost Price]]</f>
        <v>870</v>
      </c>
      <c r="Q24" s="19">
        <f>ShoeSales[[#This Row],[Revenue]]-ShoeSales[[#This Row],[Cost]]</f>
        <v>705</v>
      </c>
      <c r="R24" s="24">
        <f>ShoeSales[[#This Row],[Profit]]/ShoeSales[[#This Row],[Revenue]]</f>
        <v>0.44761904761904764</v>
      </c>
      <c r="S24" s="19"/>
      <c r="T24" s="19" t="str">
        <f>UPPER(TEXT(ShoeSales[[#This Row],[Date]], "mmm"))</f>
        <v>JAN</v>
      </c>
    </row>
    <row r="25" spans="1:20" ht="14.25" customHeight="1" x14ac:dyDescent="0.25">
      <c r="A25" s="15">
        <v>46050</v>
      </c>
      <c r="B25" s="9" t="s">
        <v>9</v>
      </c>
      <c r="C25" s="9" t="str">
        <f>TRIM(PROPER(ShoeSales[[#This Row],[Product]]))</f>
        <v>Canvas</v>
      </c>
      <c r="D25" s="9" t="s">
        <v>37</v>
      </c>
      <c r="E25" s="45" t="str">
        <f>UPPER(ShoeSales[[#This Row],[Category]])</f>
        <v>FORMAL</v>
      </c>
      <c r="F25" s="9" t="s">
        <v>38</v>
      </c>
      <c r="G25" s="9" t="s">
        <v>81</v>
      </c>
      <c r="H25" s="9" t="str">
        <f>PROPER(ShoeSales[[#This Row],[Brand]])</f>
        <v>Steve Madden</v>
      </c>
      <c r="I25" s="9" t="s">
        <v>61</v>
      </c>
      <c r="J25" s="10">
        <v>1</v>
      </c>
      <c r="K25" s="9" t="s">
        <v>36</v>
      </c>
      <c r="L25" s="22">
        <f>VLOOKUP(ShoeSales[[#This Row],[Product Cleaned]],Price!$A$2:$C$9,2,FALSE)</f>
        <v>128</v>
      </c>
      <c r="M25" s="19">
        <f>_xlfn.XLOOKUP(ShoeSales[[#This Row],[Product Cleaned]],Price!$A$2:$A$9,Price!$B$2:$B$9)</f>
        <v>128</v>
      </c>
      <c r="N25" s="19">
        <f>_xlfn.XLOOKUP(ShoeSales[[#This Row],[Product Cleaned]],Price!$A$2:$A$9,Price!$C$2:$C$9)</f>
        <v>72</v>
      </c>
      <c r="O25" s="22">
        <f>ShoeSales[[#This Row],[Sell Price]]*ShoeSales[[#This Row],[Quantity]]</f>
        <v>128</v>
      </c>
      <c r="P25" s="19">
        <f>ShoeSales[[#This Row],[Quantity]]*ShoeSales[[#This Row],[Cost Price]]</f>
        <v>72</v>
      </c>
      <c r="Q25" s="19">
        <f>ShoeSales[[#This Row],[Revenue]]-ShoeSales[[#This Row],[Cost]]</f>
        <v>56</v>
      </c>
      <c r="R25" s="24">
        <f>ShoeSales[[#This Row],[Profit]]/ShoeSales[[#This Row],[Revenue]]</f>
        <v>0.4375</v>
      </c>
      <c r="S25" s="19"/>
      <c r="T25" s="19" t="str">
        <f>UPPER(TEXT(ShoeSales[[#This Row],[Date]], "mmm"))</f>
        <v>JAN</v>
      </c>
    </row>
    <row r="26" spans="1:20" ht="14.25" customHeight="1" x14ac:dyDescent="0.25">
      <c r="A26" s="14">
        <v>46035</v>
      </c>
      <c r="B26" s="6" t="s">
        <v>8</v>
      </c>
      <c r="C26" s="16" t="str">
        <f>TRIM(PROPER(ShoeSales[[#This Row],[Product]]))</f>
        <v>Boots</v>
      </c>
      <c r="D26" s="6" t="s">
        <v>77</v>
      </c>
      <c r="E26" s="44" t="str">
        <f>UPPER(ShoeSales[[#This Row],[Category]])</f>
        <v>CASUAL</v>
      </c>
      <c r="F26" s="6" t="s">
        <v>49</v>
      </c>
      <c r="G26" s="6" t="s">
        <v>63</v>
      </c>
      <c r="H26" s="16" t="str">
        <f>PROPER(ShoeSales[[#This Row],[Brand]])</f>
        <v>Clarks</v>
      </c>
      <c r="I26" s="6" t="s">
        <v>51</v>
      </c>
      <c r="J26" s="7">
        <v>12</v>
      </c>
      <c r="K26" s="6" t="s">
        <v>54</v>
      </c>
      <c r="L26" s="22">
        <f>VLOOKUP(ShoeSales[[#This Row],[Product Cleaned]],Price!$A$2:$C$9,2,FALSE)</f>
        <v>76</v>
      </c>
      <c r="M26" s="19">
        <f>_xlfn.XLOOKUP(ShoeSales[[#This Row],[Product Cleaned]],Price!$A$2:$A$9,Price!$B$2:$B$9)</f>
        <v>76</v>
      </c>
      <c r="N26" s="19">
        <f>_xlfn.XLOOKUP(ShoeSales[[#This Row],[Product Cleaned]],Price!$A$2:$A$9,Price!$C$2:$C$9)</f>
        <v>39</v>
      </c>
      <c r="O26" s="22">
        <f>ShoeSales[[#This Row],[Sell Price]]*ShoeSales[[#This Row],[Quantity]]</f>
        <v>912</v>
      </c>
      <c r="P26" s="19">
        <f>ShoeSales[[#This Row],[Quantity]]*ShoeSales[[#This Row],[Cost Price]]</f>
        <v>468</v>
      </c>
      <c r="Q26" s="19">
        <f>ShoeSales[[#This Row],[Revenue]]-ShoeSales[[#This Row],[Cost]]</f>
        <v>444</v>
      </c>
      <c r="R26" s="24">
        <f>ShoeSales[[#This Row],[Profit]]/ShoeSales[[#This Row],[Revenue]]</f>
        <v>0.48684210526315791</v>
      </c>
      <c r="S26" s="19"/>
      <c r="T26" s="19" t="str">
        <f>UPPER(TEXT(ShoeSales[[#This Row],[Date]], "mmm"))</f>
        <v>JAN</v>
      </c>
    </row>
    <row r="27" spans="1:20" ht="14.25" customHeight="1" x14ac:dyDescent="0.25">
      <c r="A27" s="15">
        <v>46094</v>
      </c>
      <c r="B27" s="9" t="s">
        <v>33</v>
      </c>
      <c r="C27" s="9" t="str">
        <f>TRIM(PROPER(ShoeSales[[#This Row],[Product]]))</f>
        <v>Loafers</v>
      </c>
      <c r="D27" s="9" t="s">
        <v>42</v>
      </c>
      <c r="E27" s="45" t="str">
        <f>UPPER(ShoeSales[[#This Row],[Category]])</f>
        <v>UTILITY</v>
      </c>
      <c r="F27" s="9" t="s">
        <v>38</v>
      </c>
      <c r="G27" s="9" t="s">
        <v>75</v>
      </c>
      <c r="H27" s="9" t="str">
        <f>PROPER(ShoeSales[[#This Row],[Brand]])</f>
        <v>Steve Madden</v>
      </c>
      <c r="I27" s="9" t="s">
        <v>64</v>
      </c>
      <c r="J27" s="10">
        <v>9</v>
      </c>
      <c r="K27" s="9" t="s">
        <v>62</v>
      </c>
      <c r="L27" s="22">
        <f>VLOOKUP(ShoeSales[[#This Row],[Product Cleaned]],Price!$A$2:$C$9,2,FALSE)</f>
        <v>54</v>
      </c>
      <c r="M27" s="19">
        <f>_xlfn.XLOOKUP(ShoeSales[[#This Row],[Product Cleaned]],Price!$A$2:$A$9,Price!$B$2:$B$9)</f>
        <v>54</v>
      </c>
      <c r="N27" s="19">
        <f>_xlfn.XLOOKUP(ShoeSales[[#This Row],[Product Cleaned]],Price!$A$2:$A$9,Price!$C$2:$C$9)</f>
        <v>28</v>
      </c>
      <c r="O27" s="22">
        <f>ShoeSales[[#This Row],[Sell Price]]*ShoeSales[[#This Row],[Quantity]]</f>
        <v>486</v>
      </c>
      <c r="P27" s="19">
        <f>ShoeSales[[#This Row],[Quantity]]*ShoeSales[[#This Row],[Cost Price]]</f>
        <v>252</v>
      </c>
      <c r="Q27" s="19">
        <f>ShoeSales[[#This Row],[Revenue]]-ShoeSales[[#This Row],[Cost]]</f>
        <v>234</v>
      </c>
      <c r="R27" s="24">
        <f>ShoeSales[[#This Row],[Profit]]/ShoeSales[[#This Row],[Revenue]]</f>
        <v>0.48148148148148145</v>
      </c>
      <c r="S27" s="19"/>
      <c r="T27" s="19" t="str">
        <f>UPPER(TEXT(ShoeSales[[#This Row],[Date]], "mmm"))</f>
        <v>MAR</v>
      </c>
    </row>
    <row r="28" spans="1:20" ht="14.25" customHeight="1" x14ac:dyDescent="0.25">
      <c r="A28" s="14">
        <v>46214</v>
      </c>
      <c r="B28" s="6" t="s">
        <v>67</v>
      </c>
      <c r="C28" s="16" t="str">
        <f>TRIM(PROPER(ShoeSales[[#This Row],[Product]]))</f>
        <v>Oxford</v>
      </c>
      <c r="D28" s="6" t="s">
        <v>28</v>
      </c>
      <c r="E28" s="44" t="str">
        <f>UPPER(ShoeSales[[#This Row],[Category]])</f>
        <v>FORMAL</v>
      </c>
      <c r="F28" s="6" t="s">
        <v>38</v>
      </c>
      <c r="G28" s="6" t="s">
        <v>39</v>
      </c>
      <c r="H28" s="16" t="str">
        <f>PROPER(ShoeSales[[#This Row],[Brand]])</f>
        <v>Clarks</v>
      </c>
      <c r="I28" s="6" t="s">
        <v>51</v>
      </c>
      <c r="J28" s="7">
        <v>5</v>
      </c>
      <c r="K28" s="6" t="s">
        <v>62</v>
      </c>
      <c r="L28" s="22">
        <f>VLOOKUP(ShoeSales[[#This Row],[Product Cleaned]],Price!$A$2:$C$9,2,FALSE)</f>
        <v>105</v>
      </c>
      <c r="M28" s="19">
        <f>_xlfn.XLOOKUP(ShoeSales[[#This Row],[Product Cleaned]],Price!$A$2:$A$9,Price!$B$2:$B$9)</f>
        <v>105</v>
      </c>
      <c r="N28" s="19">
        <f>_xlfn.XLOOKUP(ShoeSales[[#This Row],[Product Cleaned]],Price!$A$2:$A$9,Price!$C$2:$C$9)</f>
        <v>58</v>
      </c>
      <c r="O28" s="22">
        <f>ShoeSales[[#This Row],[Sell Price]]*ShoeSales[[#This Row],[Quantity]]</f>
        <v>525</v>
      </c>
      <c r="P28" s="19">
        <f>ShoeSales[[#This Row],[Quantity]]*ShoeSales[[#This Row],[Cost Price]]</f>
        <v>290</v>
      </c>
      <c r="Q28" s="19">
        <f>ShoeSales[[#This Row],[Revenue]]-ShoeSales[[#This Row],[Cost]]</f>
        <v>235</v>
      </c>
      <c r="R28" s="24">
        <f>ShoeSales[[#This Row],[Profit]]/ShoeSales[[#This Row],[Revenue]]</f>
        <v>0.44761904761904764</v>
      </c>
      <c r="S28" s="19"/>
      <c r="T28" s="19" t="str">
        <f>UPPER(TEXT(ShoeSales[[#This Row],[Date]], "mmm"))</f>
        <v>JUL</v>
      </c>
    </row>
    <row r="29" spans="1:20" ht="14.25" customHeight="1" x14ac:dyDescent="0.25">
      <c r="A29" s="15">
        <v>46091</v>
      </c>
      <c r="B29" s="9" t="s">
        <v>33</v>
      </c>
      <c r="C29" s="9" t="str">
        <f>TRIM(PROPER(ShoeSales[[#This Row],[Product]]))</f>
        <v>Loafers</v>
      </c>
      <c r="D29" s="9" t="s">
        <v>77</v>
      </c>
      <c r="E29" s="45" t="str">
        <f>UPPER(ShoeSales[[#This Row],[Category]])</f>
        <v>CASUAL</v>
      </c>
      <c r="F29" s="9" t="s">
        <v>38</v>
      </c>
      <c r="G29" s="9" t="s">
        <v>63</v>
      </c>
      <c r="H29" s="9" t="str">
        <f>PROPER(ShoeSales[[#This Row],[Brand]])</f>
        <v>Clarks</v>
      </c>
      <c r="I29" s="9" t="s">
        <v>78</v>
      </c>
      <c r="J29" s="10">
        <v>8</v>
      </c>
      <c r="K29" s="9" t="s">
        <v>32</v>
      </c>
      <c r="L29" s="22">
        <f>VLOOKUP(ShoeSales[[#This Row],[Product Cleaned]],Price!$A$2:$C$9,2,FALSE)</f>
        <v>54</v>
      </c>
      <c r="M29" s="19">
        <f>_xlfn.XLOOKUP(ShoeSales[[#This Row],[Product Cleaned]],Price!$A$2:$A$9,Price!$B$2:$B$9)</f>
        <v>54</v>
      </c>
      <c r="N29" s="19">
        <f>_xlfn.XLOOKUP(ShoeSales[[#This Row],[Product Cleaned]],Price!$A$2:$A$9,Price!$C$2:$C$9)</f>
        <v>28</v>
      </c>
      <c r="O29" s="22">
        <f>ShoeSales[[#This Row],[Sell Price]]*ShoeSales[[#This Row],[Quantity]]</f>
        <v>432</v>
      </c>
      <c r="P29" s="19">
        <f>ShoeSales[[#This Row],[Quantity]]*ShoeSales[[#This Row],[Cost Price]]</f>
        <v>224</v>
      </c>
      <c r="Q29" s="19">
        <f>ShoeSales[[#This Row],[Revenue]]-ShoeSales[[#This Row],[Cost]]</f>
        <v>208</v>
      </c>
      <c r="R29" s="24">
        <f>ShoeSales[[#This Row],[Profit]]/ShoeSales[[#This Row],[Revenue]]</f>
        <v>0.48148148148148145</v>
      </c>
      <c r="S29" s="19"/>
      <c r="T29" s="19" t="str">
        <f>UPPER(TEXT(ShoeSales[[#This Row],[Date]], "mmm"))</f>
        <v>MAR</v>
      </c>
    </row>
    <row r="30" spans="1:20" ht="14.25" customHeight="1" x14ac:dyDescent="0.25">
      <c r="A30" s="14">
        <v>46142</v>
      </c>
      <c r="B30" s="6" t="s">
        <v>60</v>
      </c>
      <c r="C30" s="16" t="str">
        <f>TRIM(PROPER(ShoeSales[[#This Row],[Product]]))</f>
        <v>Oxford</v>
      </c>
      <c r="D30" s="6" t="s">
        <v>58</v>
      </c>
      <c r="E30" s="44" t="str">
        <f>UPPER(ShoeSales[[#This Row],[Category]])</f>
        <v>FORMAL</v>
      </c>
      <c r="F30" s="6" t="s">
        <v>29</v>
      </c>
      <c r="G30" s="6" t="s">
        <v>82</v>
      </c>
      <c r="H30" s="16" t="str">
        <f>PROPER(ShoeSales[[#This Row],[Brand]])</f>
        <v>Zara</v>
      </c>
      <c r="I30" s="6" t="s">
        <v>40</v>
      </c>
      <c r="J30" s="7">
        <v>2</v>
      </c>
      <c r="K30" s="6" t="s">
        <v>32</v>
      </c>
      <c r="L30" s="22">
        <f>VLOOKUP(ShoeSales[[#This Row],[Product Cleaned]],Price!$A$2:$C$9,2,FALSE)</f>
        <v>105</v>
      </c>
      <c r="M30" s="19">
        <f>_xlfn.XLOOKUP(ShoeSales[[#This Row],[Product Cleaned]],Price!$A$2:$A$9,Price!$B$2:$B$9)</f>
        <v>105</v>
      </c>
      <c r="N30" s="19">
        <f>_xlfn.XLOOKUP(ShoeSales[[#This Row],[Product Cleaned]],Price!$A$2:$A$9,Price!$C$2:$C$9)</f>
        <v>58</v>
      </c>
      <c r="O30" s="22">
        <f>ShoeSales[[#This Row],[Sell Price]]*ShoeSales[[#This Row],[Quantity]]</f>
        <v>210</v>
      </c>
      <c r="P30" s="19">
        <f>ShoeSales[[#This Row],[Quantity]]*ShoeSales[[#This Row],[Cost Price]]</f>
        <v>116</v>
      </c>
      <c r="Q30" s="19">
        <f>ShoeSales[[#This Row],[Revenue]]-ShoeSales[[#This Row],[Cost]]</f>
        <v>94</v>
      </c>
      <c r="R30" s="24">
        <f>ShoeSales[[#This Row],[Profit]]/ShoeSales[[#This Row],[Revenue]]</f>
        <v>0.44761904761904764</v>
      </c>
      <c r="S30" s="19"/>
      <c r="T30" s="19" t="str">
        <f>UPPER(TEXT(ShoeSales[[#This Row],[Date]], "mmm"))</f>
        <v>APR</v>
      </c>
    </row>
    <row r="31" spans="1:20" ht="14.25" customHeight="1" x14ac:dyDescent="0.25">
      <c r="A31" s="15">
        <v>46068</v>
      </c>
      <c r="B31" s="9" t="s">
        <v>83</v>
      </c>
      <c r="C31" s="9" t="str">
        <f>TRIM(PROPER(ShoeSales[[#This Row],[Product]]))</f>
        <v>Monk Straps</v>
      </c>
      <c r="D31" s="9" t="s">
        <v>28</v>
      </c>
      <c r="E31" s="45" t="str">
        <f>UPPER(ShoeSales[[#This Row],[Category]])</f>
        <v>FORMAL</v>
      </c>
      <c r="F31" s="9" t="s">
        <v>49</v>
      </c>
      <c r="G31" s="9" t="s">
        <v>69</v>
      </c>
      <c r="H31" s="9" t="str">
        <f>PROPER(ShoeSales[[#This Row],[Brand]])</f>
        <v>Zara</v>
      </c>
      <c r="I31" s="9" t="s">
        <v>84</v>
      </c>
      <c r="J31" s="10">
        <v>7</v>
      </c>
      <c r="K31" s="9" t="s">
        <v>54</v>
      </c>
      <c r="L31" s="22">
        <f>VLOOKUP(ShoeSales[[#This Row],[Product Cleaned]],Price!$A$2:$C$9,2,FALSE)</f>
        <v>89</v>
      </c>
      <c r="M31" s="19">
        <f>_xlfn.XLOOKUP(ShoeSales[[#This Row],[Product Cleaned]],Price!$A$2:$A$9,Price!$B$2:$B$9)</f>
        <v>89</v>
      </c>
      <c r="N31" s="19">
        <f>_xlfn.XLOOKUP(ShoeSales[[#This Row],[Product Cleaned]],Price!$A$2:$A$9,Price!$C$2:$C$9)</f>
        <v>47</v>
      </c>
      <c r="O31" s="22">
        <f>ShoeSales[[#This Row],[Sell Price]]*ShoeSales[[#This Row],[Quantity]]</f>
        <v>623</v>
      </c>
      <c r="P31" s="19">
        <f>ShoeSales[[#This Row],[Quantity]]*ShoeSales[[#This Row],[Cost Price]]</f>
        <v>329</v>
      </c>
      <c r="Q31" s="19">
        <f>ShoeSales[[#This Row],[Revenue]]-ShoeSales[[#This Row],[Cost]]</f>
        <v>294</v>
      </c>
      <c r="R31" s="24">
        <f>ShoeSales[[#This Row],[Profit]]/ShoeSales[[#This Row],[Revenue]]</f>
        <v>0.47191011235955055</v>
      </c>
      <c r="S31" s="19"/>
      <c r="T31" s="19" t="str">
        <f>UPPER(TEXT(ShoeSales[[#This Row],[Date]], "mmm"))</f>
        <v>FEB</v>
      </c>
    </row>
    <row r="32" spans="1:20" ht="14.25" customHeight="1" x14ac:dyDescent="0.25">
      <c r="A32" s="14">
        <v>46219</v>
      </c>
      <c r="B32" s="6" t="s">
        <v>85</v>
      </c>
      <c r="C32" s="16" t="str">
        <f>TRIM(PROPER(ShoeSales[[#This Row],[Product]]))</f>
        <v>Brogues</v>
      </c>
      <c r="D32" s="6" t="s">
        <v>58</v>
      </c>
      <c r="E32" s="44" t="str">
        <f>UPPER(ShoeSales[[#This Row],[Category]])</f>
        <v>FORMAL</v>
      </c>
      <c r="F32" s="6" t="s">
        <v>29</v>
      </c>
      <c r="G32" s="6" t="s">
        <v>80</v>
      </c>
      <c r="H32" s="16" t="str">
        <f>PROPER(ShoeSales[[#This Row],[Brand]])</f>
        <v>Steve Madden</v>
      </c>
      <c r="I32" s="6" t="s">
        <v>66</v>
      </c>
      <c r="J32" s="7">
        <v>12</v>
      </c>
      <c r="K32" s="6" t="s">
        <v>62</v>
      </c>
      <c r="L32" s="22">
        <f>VLOOKUP(ShoeSales[[#This Row],[Product Cleaned]],Price!$A$2:$C$9,2,FALSE)</f>
        <v>112</v>
      </c>
      <c r="M32" s="19">
        <f>_xlfn.XLOOKUP(ShoeSales[[#This Row],[Product Cleaned]],Price!$A$2:$A$9,Price!$B$2:$B$9)</f>
        <v>112</v>
      </c>
      <c r="N32" s="19">
        <f>_xlfn.XLOOKUP(ShoeSales[[#This Row],[Product Cleaned]],Price!$A$2:$A$9,Price!$C$2:$C$9)</f>
        <v>64</v>
      </c>
      <c r="O32" s="22">
        <f>ShoeSales[[#This Row],[Sell Price]]*ShoeSales[[#This Row],[Quantity]]</f>
        <v>1344</v>
      </c>
      <c r="P32" s="19">
        <f>ShoeSales[[#This Row],[Quantity]]*ShoeSales[[#This Row],[Cost Price]]</f>
        <v>768</v>
      </c>
      <c r="Q32" s="19">
        <f>ShoeSales[[#This Row],[Revenue]]-ShoeSales[[#This Row],[Cost]]</f>
        <v>576</v>
      </c>
      <c r="R32" s="24">
        <f>ShoeSales[[#This Row],[Profit]]/ShoeSales[[#This Row],[Revenue]]</f>
        <v>0.42857142857142855</v>
      </c>
      <c r="S32" s="19"/>
      <c r="T32" s="19" t="str">
        <f>UPPER(TEXT(ShoeSales[[#This Row],[Date]], "mmm"))</f>
        <v>JUL</v>
      </c>
    </row>
    <row r="33" spans="1:20" ht="14.25" customHeight="1" x14ac:dyDescent="0.25">
      <c r="A33" s="15">
        <v>46185</v>
      </c>
      <c r="B33" s="9" t="s">
        <v>86</v>
      </c>
      <c r="C33" s="9" t="str">
        <f>TRIM(PROPER(ShoeSales[[#This Row],[Product]]))</f>
        <v>Canvas</v>
      </c>
      <c r="D33" s="9" t="s">
        <v>58</v>
      </c>
      <c r="E33" s="45" t="str">
        <f>UPPER(ShoeSales[[#This Row],[Category]])</f>
        <v>FORMAL</v>
      </c>
      <c r="F33" s="9" t="s">
        <v>49</v>
      </c>
      <c r="G33" s="9" t="s">
        <v>46</v>
      </c>
      <c r="H33" s="9" t="str">
        <f>PROPER(ShoeSales[[#This Row],[Brand]])</f>
        <v>Clarks</v>
      </c>
      <c r="I33" s="9" t="s">
        <v>78</v>
      </c>
      <c r="J33" s="10">
        <v>15</v>
      </c>
      <c r="K33" s="9" t="s">
        <v>36</v>
      </c>
      <c r="L33" s="22">
        <f>VLOOKUP(ShoeSales[[#This Row],[Product Cleaned]],Price!$A$2:$C$9,2,FALSE)</f>
        <v>128</v>
      </c>
      <c r="M33" s="19">
        <f>_xlfn.XLOOKUP(ShoeSales[[#This Row],[Product Cleaned]],Price!$A$2:$A$9,Price!$B$2:$B$9)</f>
        <v>128</v>
      </c>
      <c r="N33" s="19">
        <f>_xlfn.XLOOKUP(ShoeSales[[#This Row],[Product Cleaned]],Price!$A$2:$A$9,Price!$C$2:$C$9)</f>
        <v>72</v>
      </c>
      <c r="O33" s="22">
        <f>ShoeSales[[#This Row],[Sell Price]]*ShoeSales[[#This Row],[Quantity]]</f>
        <v>1920</v>
      </c>
      <c r="P33" s="19">
        <f>ShoeSales[[#This Row],[Quantity]]*ShoeSales[[#This Row],[Cost Price]]</f>
        <v>1080</v>
      </c>
      <c r="Q33" s="19">
        <f>ShoeSales[[#This Row],[Revenue]]-ShoeSales[[#This Row],[Cost]]</f>
        <v>840</v>
      </c>
      <c r="R33" s="24">
        <f>ShoeSales[[#This Row],[Profit]]/ShoeSales[[#This Row],[Revenue]]</f>
        <v>0.4375</v>
      </c>
      <c r="S33" s="19"/>
      <c r="T33" s="19" t="str">
        <f>UPPER(TEXT(ShoeSales[[#This Row],[Date]], "mmm"))</f>
        <v>JUN</v>
      </c>
    </row>
    <row r="34" spans="1:20" ht="14.25" customHeight="1" x14ac:dyDescent="0.25">
      <c r="A34" s="14">
        <v>46236</v>
      </c>
      <c r="B34" s="6" t="s">
        <v>41</v>
      </c>
      <c r="C34" s="16" t="str">
        <f>TRIM(PROPER(ShoeSales[[#This Row],[Product]]))</f>
        <v>Boots</v>
      </c>
      <c r="D34" s="6" t="s">
        <v>37</v>
      </c>
      <c r="E34" s="44" t="str">
        <f>UPPER(ShoeSales[[#This Row],[Category]])</f>
        <v>FORMAL</v>
      </c>
      <c r="F34" s="6" t="s">
        <v>29</v>
      </c>
      <c r="G34" s="6" t="s">
        <v>72</v>
      </c>
      <c r="H34" s="16" t="str">
        <f>PROPER(ShoeSales[[#This Row],[Brand]])</f>
        <v>Zara</v>
      </c>
      <c r="I34" s="6" t="s">
        <v>31</v>
      </c>
      <c r="J34" s="7">
        <v>7</v>
      </c>
      <c r="K34" s="6" t="s">
        <v>62</v>
      </c>
      <c r="L34" s="22">
        <f>VLOOKUP(ShoeSales[[#This Row],[Product Cleaned]],Price!$A$2:$C$9,2,FALSE)</f>
        <v>76</v>
      </c>
      <c r="M34" s="19">
        <f>_xlfn.XLOOKUP(ShoeSales[[#This Row],[Product Cleaned]],Price!$A$2:$A$9,Price!$B$2:$B$9)</f>
        <v>76</v>
      </c>
      <c r="N34" s="19">
        <f>_xlfn.XLOOKUP(ShoeSales[[#This Row],[Product Cleaned]],Price!$A$2:$A$9,Price!$C$2:$C$9)</f>
        <v>39</v>
      </c>
      <c r="O34" s="22">
        <f>ShoeSales[[#This Row],[Sell Price]]*ShoeSales[[#This Row],[Quantity]]</f>
        <v>532</v>
      </c>
      <c r="P34" s="19">
        <f>ShoeSales[[#This Row],[Quantity]]*ShoeSales[[#This Row],[Cost Price]]</f>
        <v>273</v>
      </c>
      <c r="Q34" s="19">
        <f>ShoeSales[[#This Row],[Revenue]]-ShoeSales[[#This Row],[Cost]]</f>
        <v>259</v>
      </c>
      <c r="R34" s="24">
        <f>ShoeSales[[#This Row],[Profit]]/ShoeSales[[#This Row],[Revenue]]</f>
        <v>0.48684210526315791</v>
      </c>
      <c r="S34" s="19"/>
      <c r="T34" s="19" t="str">
        <f>UPPER(TEXT(ShoeSales[[#This Row],[Date]], "mmm"))</f>
        <v>AUG</v>
      </c>
    </row>
    <row r="35" spans="1:20" ht="14.25" customHeight="1" x14ac:dyDescent="0.25">
      <c r="A35" s="15">
        <v>46111</v>
      </c>
      <c r="B35" s="9" t="s">
        <v>79</v>
      </c>
      <c r="C35" s="9" t="str">
        <f>TRIM(PROPER(ShoeSales[[#This Row],[Product]]))</f>
        <v>Brogues</v>
      </c>
      <c r="D35" s="9" t="s">
        <v>58</v>
      </c>
      <c r="E35" s="45" t="str">
        <f>UPPER(ShoeSales[[#This Row],[Category]])</f>
        <v>FORMAL</v>
      </c>
      <c r="F35" s="9" t="s">
        <v>34</v>
      </c>
      <c r="G35" s="9" t="s">
        <v>35</v>
      </c>
      <c r="H35" s="9" t="str">
        <f>PROPER(ShoeSales[[#This Row],[Brand]])</f>
        <v>Nike</v>
      </c>
      <c r="I35" s="9" t="s">
        <v>61</v>
      </c>
      <c r="J35" s="10">
        <v>10</v>
      </c>
      <c r="K35" s="9" t="s">
        <v>32</v>
      </c>
      <c r="L35" s="22">
        <f>VLOOKUP(ShoeSales[[#This Row],[Product Cleaned]],Price!$A$2:$C$9,2,FALSE)</f>
        <v>112</v>
      </c>
      <c r="M35" s="19">
        <f>_xlfn.XLOOKUP(ShoeSales[[#This Row],[Product Cleaned]],Price!$A$2:$A$9,Price!$B$2:$B$9)</f>
        <v>112</v>
      </c>
      <c r="N35" s="19">
        <f>_xlfn.XLOOKUP(ShoeSales[[#This Row],[Product Cleaned]],Price!$A$2:$A$9,Price!$C$2:$C$9)</f>
        <v>64</v>
      </c>
      <c r="O35" s="22">
        <f>ShoeSales[[#This Row],[Sell Price]]*ShoeSales[[#This Row],[Quantity]]</f>
        <v>1120</v>
      </c>
      <c r="P35" s="19">
        <f>ShoeSales[[#This Row],[Quantity]]*ShoeSales[[#This Row],[Cost Price]]</f>
        <v>640</v>
      </c>
      <c r="Q35" s="19">
        <f>ShoeSales[[#This Row],[Revenue]]-ShoeSales[[#This Row],[Cost]]</f>
        <v>480</v>
      </c>
      <c r="R35" s="24">
        <f>ShoeSales[[#This Row],[Profit]]/ShoeSales[[#This Row],[Revenue]]</f>
        <v>0.42857142857142855</v>
      </c>
      <c r="S35" s="19"/>
      <c r="T35" s="19" t="str">
        <f>UPPER(TEXT(ShoeSales[[#This Row],[Date]], "mmm"))</f>
        <v>MAR</v>
      </c>
    </row>
    <row r="36" spans="1:20" ht="14.25" customHeight="1" x14ac:dyDescent="0.25">
      <c r="A36" s="14">
        <v>46132</v>
      </c>
      <c r="B36" s="6" t="s">
        <v>27</v>
      </c>
      <c r="C36" s="16" t="str">
        <f>TRIM(PROPER(ShoeSales[[#This Row],[Product]]))</f>
        <v>Monk Straps</v>
      </c>
      <c r="D36" s="6" t="s">
        <v>87</v>
      </c>
      <c r="E36" s="44" t="str">
        <f>UPPER(ShoeSales[[#This Row],[Category]])</f>
        <v>OPEN</v>
      </c>
      <c r="F36" s="6" t="s">
        <v>38</v>
      </c>
      <c r="G36" s="6" t="s">
        <v>35</v>
      </c>
      <c r="H36" s="16" t="str">
        <f>PROPER(ShoeSales[[#This Row],[Brand]])</f>
        <v>Nike</v>
      </c>
      <c r="I36" s="6" t="s">
        <v>73</v>
      </c>
      <c r="J36" s="7">
        <v>7</v>
      </c>
      <c r="K36" s="6" t="s">
        <v>32</v>
      </c>
      <c r="L36" s="22">
        <f>VLOOKUP(ShoeSales[[#This Row],[Product Cleaned]],Price!$A$2:$C$9,2,FALSE)</f>
        <v>89</v>
      </c>
      <c r="M36" s="19">
        <f>_xlfn.XLOOKUP(ShoeSales[[#This Row],[Product Cleaned]],Price!$A$2:$A$9,Price!$B$2:$B$9)</f>
        <v>89</v>
      </c>
      <c r="N36" s="19">
        <f>_xlfn.XLOOKUP(ShoeSales[[#This Row],[Product Cleaned]],Price!$A$2:$A$9,Price!$C$2:$C$9)</f>
        <v>47</v>
      </c>
      <c r="O36" s="22">
        <f>ShoeSales[[#This Row],[Sell Price]]*ShoeSales[[#This Row],[Quantity]]</f>
        <v>623</v>
      </c>
      <c r="P36" s="19">
        <f>ShoeSales[[#This Row],[Quantity]]*ShoeSales[[#This Row],[Cost Price]]</f>
        <v>329</v>
      </c>
      <c r="Q36" s="19">
        <f>ShoeSales[[#This Row],[Revenue]]-ShoeSales[[#This Row],[Cost]]</f>
        <v>294</v>
      </c>
      <c r="R36" s="24">
        <f>ShoeSales[[#This Row],[Profit]]/ShoeSales[[#This Row],[Revenue]]</f>
        <v>0.47191011235955055</v>
      </c>
      <c r="S36" s="19"/>
      <c r="T36" s="19" t="str">
        <f>UPPER(TEXT(ShoeSales[[#This Row],[Date]], "mmm"))</f>
        <v>APR</v>
      </c>
    </row>
    <row r="37" spans="1:20" ht="14.25" customHeight="1" x14ac:dyDescent="0.25">
      <c r="A37" s="15">
        <v>46228</v>
      </c>
      <c r="B37" s="9" t="s">
        <v>41</v>
      </c>
      <c r="C37" s="9" t="str">
        <f>TRIM(PROPER(ShoeSales[[#This Row],[Product]]))</f>
        <v>Boots</v>
      </c>
      <c r="D37" s="9" t="s">
        <v>58</v>
      </c>
      <c r="E37" s="45" t="str">
        <f>UPPER(ShoeSales[[#This Row],[Category]])</f>
        <v>FORMAL</v>
      </c>
      <c r="F37" s="9" t="s">
        <v>29</v>
      </c>
      <c r="G37" s="9" t="s">
        <v>57</v>
      </c>
      <c r="H37" s="9" t="str">
        <f>PROPER(ShoeSales[[#This Row],[Brand]])</f>
        <v>Timberland</v>
      </c>
      <c r="I37" s="9" t="s">
        <v>43</v>
      </c>
      <c r="J37" s="10">
        <v>5</v>
      </c>
      <c r="K37" s="9" t="s">
        <v>36</v>
      </c>
      <c r="L37" s="22">
        <f>VLOOKUP(ShoeSales[[#This Row],[Product Cleaned]],Price!$A$2:$C$9,2,FALSE)</f>
        <v>76</v>
      </c>
      <c r="M37" s="19">
        <f>_xlfn.XLOOKUP(ShoeSales[[#This Row],[Product Cleaned]],Price!$A$2:$A$9,Price!$B$2:$B$9)</f>
        <v>76</v>
      </c>
      <c r="N37" s="19">
        <f>_xlfn.XLOOKUP(ShoeSales[[#This Row],[Product Cleaned]],Price!$A$2:$A$9,Price!$C$2:$C$9)</f>
        <v>39</v>
      </c>
      <c r="O37" s="22">
        <f>ShoeSales[[#This Row],[Sell Price]]*ShoeSales[[#This Row],[Quantity]]</f>
        <v>380</v>
      </c>
      <c r="P37" s="19">
        <f>ShoeSales[[#This Row],[Quantity]]*ShoeSales[[#This Row],[Cost Price]]</f>
        <v>195</v>
      </c>
      <c r="Q37" s="19">
        <f>ShoeSales[[#This Row],[Revenue]]-ShoeSales[[#This Row],[Cost]]</f>
        <v>185</v>
      </c>
      <c r="R37" s="24">
        <f>ShoeSales[[#This Row],[Profit]]/ShoeSales[[#This Row],[Revenue]]</f>
        <v>0.48684210526315791</v>
      </c>
      <c r="S37" s="19"/>
      <c r="T37" s="19" t="str">
        <f>UPPER(TEXT(ShoeSales[[#This Row],[Date]], "mmm"))</f>
        <v>JUL</v>
      </c>
    </row>
    <row r="38" spans="1:20" ht="14.25" customHeight="1" x14ac:dyDescent="0.25">
      <c r="A38" s="14">
        <v>46176</v>
      </c>
      <c r="B38" s="6" t="s">
        <v>8</v>
      </c>
      <c r="C38" s="16" t="str">
        <f>TRIM(PROPER(ShoeSales[[#This Row],[Product]]))</f>
        <v>Boots</v>
      </c>
      <c r="D38" s="6" t="s">
        <v>37</v>
      </c>
      <c r="E38" s="44" t="str">
        <f>UPPER(ShoeSales[[#This Row],[Category]])</f>
        <v>FORMAL</v>
      </c>
      <c r="F38" s="6" t="s">
        <v>29</v>
      </c>
      <c r="G38" s="6" t="s">
        <v>63</v>
      </c>
      <c r="H38" s="16" t="str">
        <f>PROPER(ShoeSales[[#This Row],[Brand]])</f>
        <v>Clarks</v>
      </c>
      <c r="I38" s="6" t="s">
        <v>64</v>
      </c>
      <c r="J38" s="7">
        <v>11</v>
      </c>
      <c r="K38" s="6" t="s">
        <v>32</v>
      </c>
      <c r="L38" s="22">
        <f>VLOOKUP(ShoeSales[[#This Row],[Product Cleaned]],Price!$A$2:$C$9,2,FALSE)</f>
        <v>76</v>
      </c>
      <c r="M38" s="19">
        <f>_xlfn.XLOOKUP(ShoeSales[[#This Row],[Product Cleaned]],Price!$A$2:$A$9,Price!$B$2:$B$9)</f>
        <v>76</v>
      </c>
      <c r="N38" s="19">
        <f>_xlfn.XLOOKUP(ShoeSales[[#This Row],[Product Cleaned]],Price!$A$2:$A$9,Price!$C$2:$C$9)</f>
        <v>39</v>
      </c>
      <c r="O38" s="22">
        <f>ShoeSales[[#This Row],[Sell Price]]*ShoeSales[[#This Row],[Quantity]]</f>
        <v>836</v>
      </c>
      <c r="P38" s="19">
        <f>ShoeSales[[#This Row],[Quantity]]*ShoeSales[[#This Row],[Cost Price]]</f>
        <v>429</v>
      </c>
      <c r="Q38" s="19">
        <f>ShoeSales[[#This Row],[Revenue]]-ShoeSales[[#This Row],[Cost]]</f>
        <v>407</v>
      </c>
      <c r="R38" s="24">
        <f>ShoeSales[[#This Row],[Profit]]/ShoeSales[[#This Row],[Revenue]]</f>
        <v>0.48684210526315791</v>
      </c>
      <c r="S38" s="19"/>
      <c r="T38" s="19" t="str">
        <f>UPPER(TEXT(ShoeSales[[#This Row],[Date]], "mmm"))</f>
        <v>JUN</v>
      </c>
    </row>
    <row r="39" spans="1:20" ht="14.25" customHeight="1" x14ac:dyDescent="0.25">
      <c r="A39" s="15">
        <v>46226</v>
      </c>
      <c r="B39" s="9" t="s">
        <v>88</v>
      </c>
      <c r="C39" s="9" t="str">
        <f>TRIM(PROPER(ShoeSales[[#This Row],[Product]]))</f>
        <v>Slippers</v>
      </c>
      <c r="D39" s="9" t="s">
        <v>77</v>
      </c>
      <c r="E39" s="45" t="str">
        <f>UPPER(ShoeSales[[#This Row],[Category]])</f>
        <v>CASUAL</v>
      </c>
      <c r="F39" s="9" t="s">
        <v>29</v>
      </c>
      <c r="G39" s="9" t="s">
        <v>82</v>
      </c>
      <c r="H39" s="9" t="str">
        <f>PROPER(ShoeSales[[#This Row],[Brand]])</f>
        <v>Zara</v>
      </c>
      <c r="I39" s="9" t="s">
        <v>78</v>
      </c>
      <c r="J39" s="10">
        <v>10</v>
      </c>
      <c r="K39" s="9" t="s">
        <v>32</v>
      </c>
      <c r="L39" s="22">
        <f>VLOOKUP(ShoeSales[[#This Row],[Product Cleaned]],Price!$A$2:$C$9,2,FALSE)</f>
        <v>119</v>
      </c>
      <c r="M39" s="19">
        <f>_xlfn.XLOOKUP(ShoeSales[[#This Row],[Product Cleaned]],Price!$A$2:$A$9,Price!$B$2:$B$9)</f>
        <v>119</v>
      </c>
      <c r="N39" s="19">
        <f>_xlfn.XLOOKUP(ShoeSales[[#This Row],[Product Cleaned]],Price!$A$2:$A$9,Price!$C$2:$C$9)</f>
        <v>67</v>
      </c>
      <c r="O39" s="22">
        <f>ShoeSales[[#This Row],[Sell Price]]*ShoeSales[[#This Row],[Quantity]]</f>
        <v>1190</v>
      </c>
      <c r="P39" s="19">
        <f>ShoeSales[[#This Row],[Quantity]]*ShoeSales[[#This Row],[Cost Price]]</f>
        <v>670</v>
      </c>
      <c r="Q39" s="19">
        <f>ShoeSales[[#This Row],[Revenue]]-ShoeSales[[#This Row],[Cost]]</f>
        <v>520</v>
      </c>
      <c r="R39" s="24">
        <f>ShoeSales[[#This Row],[Profit]]/ShoeSales[[#This Row],[Revenue]]</f>
        <v>0.43697478991596639</v>
      </c>
      <c r="S39" s="19"/>
      <c r="T39" s="19" t="str">
        <f>UPPER(TEXT(ShoeSales[[#This Row],[Date]], "mmm"))</f>
        <v>JUL</v>
      </c>
    </row>
    <row r="40" spans="1:20" ht="14.25" customHeight="1" x14ac:dyDescent="0.25">
      <c r="A40" s="14">
        <v>46228</v>
      </c>
      <c r="B40" s="6" t="s">
        <v>33</v>
      </c>
      <c r="C40" s="16" t="str">
        <f>TRIM(PROPER(ShoeSales[[#This Row],[Product]]))</f>
        <v>Loafers</v>
      </c>
      <c r="D40" s="6" t="s">
        <v>87</v>
      </c>
      <c r="E40" s="44" t="str">
        <f>UPPER(ShoeSales[[#This Row],[Category]])</f>
        <v>OPEN</v>
      </c>
      <c r="F40" s="6" t="s">
        <v>38</v>
      </c>
      <c r="G40" s="6" t="s">
        <v>46</v>
      </c>
      <c r="H40" s="16" t="str">
        <f>PROPER(ShoeSales[[#This Row],[Brand]])</f>
        <v>Clarks</v>
      </c>
      <c r="I40" s="6" t="s">
        <v>53</v>
      </c>
      <c r="J40" s="7">
        <v>10</v>
      </c>
      <c r="K40" s="6" t="s">
        <v>62</v>
      </c>
      <c r="L40" s="22">
        <f>VLOOKUP(ShoeSales[[#This Row],[Product Cleaned]],Price!$A$2:$C$9,2,FALSE)</f>
        <v>54</v>
      </c>
      <c r="M40" s="19">
        <f>_xlfn.XLOOKUP(ShoeSales[[#This Row],[Product Cleaned]],Price!$A$2:$A$9,Price!$B$2:$B$9)</f>
        <v>54</v>
      </c>
      <c r="N40" s="19">
        <f>_xlfn.XLOOKUP(ShoeSales[[#This Row],[Product Cleaned]],Price!$A$2:$A$9,Price!$C$2:$C$9)</f>
        <v>28</v>
      </c>
      <c r="O40" s="22">
        <f>ShoeSales[[#This Row],[Sell Price]]*ShoeSales[[#This Row],[Quantity]]</f>
        <v>540</v>
      </c>
      <c r="P40" s="19">
        <f>ShoeSales[[#This Row],[Quantity]]*ShoeSales[[#This Row],[Cost Price]]</f>
        <v>280</v>
      </c>
      <c r="Q40" s="19">
        <f>ShoeSales[[#This Row],[Revenue]]-ShoeSales[[#This Row],[Cost]]</f>
        <v>260</v>
      </c>
      <c r="R40" s="24">
        <f>ShoeSales[[#This Row],[Profit]]/ShoeSales[[#This Row],[Revenue]]</f>
        <v>0.48148148148148145</v>
      </c>
      <c r="S40" s="19"/>
      <c r="T40" s="19" t="str">
        <f>UPPER(TEXT(ShoeSales[[#This Row],[Date]], "mmm"))</f>
        <v>JUL</v>
      </c>
    </row>
    <row r="41" spans="1:20" ht="14.25" customHeight="1" x14ac:dyDescent="0.25">
      <c r="A41" s="15">
        <v>46176</v>
      </c>
      <c r="B41" s="9" t="s">
        <v>60</v>
      </c>
      <c r="C41" s="9" t="str">
        <f>TRIM(PROPER(ShoeSales[[#This Row],[Product]]))</f>
        <v>Oxford</v>
      </c>
      <c r="D41" s="9" t="s">
        <v>28</v>
      </c>
      <c r="E41" s="45" t="str">
        <f>UPPER(ShoeSales[[#This Row],[Category]])</f>
        <v>FORMAL</v>
      </c>
      <c r="F41" s="9" t="s">
        <v>29</v>
      </c>
      <c r="G41" s="9" t="s">
        <v>80</v>
      </c>
      <c r="H41" s="9" t="str">
        <f>PROPER(ShoeSales[[#This Row],[Brand]])</f>
        <v>Steve Madden</v>
      </c>
      <c r="I41" s="9" t="s">
        <v>66</v>
      </c>
      <c r="J41" s="10">
        <v>13</v>
      </c>
      <c r="K41" s="9" t="s">
        <v>32</v>
      </c>
      <c r="L41" s="22">
        <f>VLOOKUP(ShoeSales[[#This Row],[Product Cleaned]],Price!$A$2:$C$9,2,FALSE)</f>
        <v>105</v>
      </c>
      <c r="M41" s="19">
        <f>_xlfn.XLOOKUP(ShoeSales[[#This Row],[Product Cleaned]],Price!$A$2:$A$9,Price!$B$2:$B$9)</f>
        <v>105</v>
      </c>
      <c r="N41" s="19">
        <f>_xlfn.XLOOKUP(ShoeSales[[#This Row],[Product Cleaned]],Price!$A$2:$A$9,Price!$C$2:$C$9)</f>
        <v>58</v>
      </c>
      <c r="O41" s="22">
        <f>ShoeSales[[#This Row],[Sell Price]]*ShoeSales[[#This Row],[Quantity]]</f>
        <v>1365</v>
      </c>
      <c r="P41" s="19">
        <f>ShoeSales[[#This Row],[Quantity]]*ShoeSales[[#This Row],[Cost Price]]</f>
        <v>754</v>
      </c>
      <c r="Q41" s="19">
        <f>ShoeSales[[#This Row],[Revenue]]-ShoeSales[[#This Row],[Cost]]</f>
        <v>611</v>
      </c>
      <c r="R41" s="24">
        <f>ShoeSales[[#This Row],[Profit]]/ShoeSales[[#This Row],[Revenue]]</f>
        <v>0.44761904761904764</v>
      </c>
      <c r="S41" s="19"/>
      <c r="T41" s="19" t="str">
        <f>UPPER(TEXT(ShoeSales[[#This Row],[Date]], "mmm"))</f>
        <v>JUN</v>
      </c>
    </row>
    <row r="42" spans="1:20" ht="14.25" customHeight="1" x14ac:dyDescent="0.25">
      <c r="A42" s="14">
        <v>46090</v>
      </c>
      <c r="B42" s="6" t="s">
        <v>85</v>
      </c>
      <c r="C42" s="16" t="str">
        <f>TRIM(PROPER(ShoeSales[[#This Row],[Product]]))</f>
        <v>Brogues</v>
      </c>
      <c r="D42" s="6" t="s">
        <v>58</v>
      </c>
      <c r="E42" s="44" t="str">
        <f>UPPER(ShoeSales[[#This Row],[Category]])</f>
        <v>FORMAL</v>
      </c>
      <c r="F42" s="6" t="s">
        <v>49</v>
      </c>
      <c r="G42" s="6" t="s">
        <v>39</v>
      </c>
      <c r="H42" s="16" t="str">
        <f>PROPER(ShoeSales[[#This Row],[Brand]])</f>
        <v>Clarks</v>
      </c>
      <c r="I42" s="6" t="s">
        <v>53</v>
      </c>
      <c r="J42" s="7">
        <v>7</v>
      </c>
      <c r="K42" s="6" t="s">
        <v>54</v>
      </c>
      <c r="L42" s="22">
        <f>VLOOKUP(ShoeSales[[#This Row],[Product Cleaned]],Price!$A$2:$C$9,2,FALSE)</f>
        <v>112</v>
      </c>
      <c r="M42" s="19">
        <f>_xlfn.XLOOKUP(ShoeSales[[#This Row],[Product Cleaned]],Price!$A$2:$A$9,Price!$B$2:$B$9)</f>
        <v>112</v>
      </c>
      <c r="N42" s="19">
        <f>_xlfn.XLOOKUP(ShoeSales[[#This Row],[Product Cleaned]],Price!$A$2:$A$9,Price!$C$2:$C$9)</f>
        <v>64</v>
      </c>
      <c r="O42" s="22">
        <f>ShoeSales[[#This Row],[Sell Price]]*ShoeSales[[#This Row],[Quantity]]</f>
        <v>784</v>
      </c>
      <c r="P42" s="19">
        <f>ShoeSales[[#This Row],[Quantity]]*ShoeSales[[#This Row],[Cost Price]]</f>
        <v>448</v>
      </c>
      <c r="Q42" s="19">
        <f>ShoeSales[[#This Row],[Revenue]]-ShoeSales[[#This Row],[Cost]]</f>
        <v>336</v>
      </c>
      <c r="R42" s="24">
        <f>ShoeSales[[#This Row],[Profit]]/ShoeSales[[#This Row],[Revenue]]</f>
        <v>0.42857142857142855</v>
      </c>
      <c r="S42" s="19"/>
      <c r="T42" s="19" t="str">
        <f>UPPER(TEXT(ShoeSales[[#This Row],[Date]], "mmm"))</f>
        <v>MAR</v>
      </c>
    </row>
    <row r="43" spans="1:20" ht="14.25" customHeight="1" x14ac:dyDescent="0.25">
      <c r="A43" s="15">
        <v>46072</v>
      </c>
      <c r="B43" s="9" t="s">
        <v>8</v>
      </c>
      <c r="C43" s="9" t="str">
        <f>TRIM(PROPER(ShoeSales[[#This Row],[Product]]))</f>
        <v>Boots</v>
      </c>
      <c r="D43" s="9" t="s">
        <v>89</v>
      </c>
      <c r="E43" s="45" t="str">
        <f>UPPER(ShoeSales[[#This Row],[Category]])</f>
        <v>OPEN</v>
      </c>
      <c r="F43" s="9" t="s">
        <v>38</v>
      </c>
      <c r="G43" s="9" t="s">
        <v>30</v>
      </c>
      <c r="H43" s="9" t="str">
        <f>PROPER(ShoeSales[[#This Row],[Brand]])</f>
        <v>Nike</v>
      </c>
      <c r="I43" s="9" t="s">
        <v>40</v>
      </c>
      <c r="J43" s="10">
        <v>14</v>
      </c>
      <c r="K43" s="9" t="s">
        <v>54</v>
      </c>
      <c r="L43" s="22">
        <f>VLOOKUP(ShoeSales[[#This Row],[Product Cleaned]],Price!$A$2:$C$9,2,FALSE)</f>
        <v>76</v>
      </c>
      <c r="M43" s="19">
        <f>_xlfn.XLOOKUP(ShoeSales[[#This Row],[Product Cleaned]],Price!$A$2:$A$9,Price!$B$2:$B$9)</f>
        <v>76</v>
      </c>
      <c r="N43" s="19">
        <f>_xlfn.XLOOKUP(ShoeSales[[#This Row],[Product Cleaned]],Price!$A$2:$A$9,Price!$C$2:$C$9)</f>
        <v>39</v>
      </c>
      <c r="O43" s="22">
        <f>ShoeSales[[#This Row],[Sell Price]]*ShoeSales[[#This Row],[Quantity]]</f>
        <v>1064</v>
      </c>
      <c r="P43" s="19">
        <f>ShoeSales[[#This Row],[Quantity]]*ShoeSales[[#This Row],[Cost Price]]</f>
        <v>546</v>
      </c>
      <c r="Q43" s="19">
        <f>ShoeSales[[#This Row],[Revenue]]-ShoeSales[[#This Row],[Cost]]</f>
        <v>518</v>
      </c>
      <c r="R43" s="24">
        <f>ShoeSales[[#This Row],[Profit]]/ShoeSales[[#This Row],[Revenue]]</f>
        <v>0.48684210526315791</v>
      </c>
      <c r="S43" s="19"/>
      <c r="T43" s="19" t="str">
        <f>UPPER(TEXT(ShoeSales[[#This Row],[Date]], "mmm"))</f>
        <v>FEB</v>
      </c>
    </row>
    <row r="44" spans="1:20" ht="14.25" customHeight="1" x14ac:dyDescent="0.25">
      <c r="A44" s="14">
        <v>46220</v>
      </c>
      <c r="B44" s="6" t="s">
        <v>60</v>
      </c>
      <c r="C44" s="16" t="str">
        <f>TRIM(PROPER(ShoeSales[[#This Row],[Product]]))</f>
        <v>Oxford</v>
      </c>
      <c r="D44" s="6" t="s">
        <v>74</v>
      </c>
      <c r="E44" s="44" t="str">
        <f>UPPER(ShoeSales[[#This Row],[Category]])</f>
        <v>OPEN</v>
      </c>
      <c r="F44" s="6" t="s">
        <v>38</v>
      </c>
      <c r="G44" s="6" t="s">
        <v>46</v>
      </c>
      <c r="H44" s="16" t="str">
        <f>PROPER(ShoeSales[[#This Row],[Brand]])</f>
        <v>Clarks</v>
      </c>
      <c r="I44" s="6" t="s">
        <v>51</v>
      </c>
      <c r="J44" s="7">
        <v>13</v>
      </c>
      <c r="K44" s="6" t="s">
        <v>62</v>
      </c>
      <c r="L44" s="22">
        <f>VLOOKUP(ShoeSales[[#This Row],[Product Cleaned]],Price!$A$2:$C$9,2,FALSE)</f>
        <v>105</v>
      </c>
      <c r="M44" s="19">
        <f>_xlfn.XLOOKUP(ShoeSales[[#This Row],[Product Cleaned]],Price!$A$2:$A$9,Price!$B$2:$B$9)</f>
        <v>105</v>
      </c>
      <c r="N44" s="19">
        <f>_xlfn.XLOOKUP(ShoeSales[[#This Row],[Product Cleaned]],Price!$A$2:$A$9,Price!$C$2:$C$9)</f>
        <v>58</v>
      </c>
      <c r="O44" s="22">
        <f>ShoeSales[[#This Row],[Sell Price]]*ShoeSales[[#This Row],[Quantity]]</f>
        <v>1365</v>
      </c>
      <c r="P44" s="19">
        <f>ShoeSales[[#This Row],[Quantity]]*ShoeSales[[#This Row],[Cost Price]]</f>
        <v>754</v>
      </c>
      <c r="Q44" s="19">
        <f>ShoeSales[[#This Row],[Revenue]]-ShoeSales[[#This Row],[Cost]]</f>
        <v>611</v>
      </c>
      <c r="R44" s="24">
        <f>ShoeSales[[#This Row],[Profit]]/ShoeSales[[#This Row],[Revenue]]</f>
        <v>0.44761904761904764</v>
      </c>
      <c r="S44" s="19"/>
      <c r="T44" s="19" t="str">
        <f>UPPER(TEXT(ShoeSales[[#This Row],[Date]], "mmm"))</f>
        <v>JUL</v>
      </c>
    </row>
    <row r="45" spans="1:20" ht="14.25" customHeight="1" x14ac:dyDescent="0.25">
      <c r="A45" s="15">
        <v>46127</v>
      </c>
      <c r="B45" s="9" t="s">
        <v>6</v>
      </c>
      <c r="C45" s="9" t="str">
        <f>TRIM(PROPER(ShoeSales[[#This Row],[Product]]))</f>
        <v>Loafers</v>
      </c>
      <c r="D45" s="9" t="s">
        <v>87</v>
      </c>
      <c r="E45" s="45" t="str">
        <f>UPPER(ShoeSales[[#This Row],[Category]])</f>
        <v>OPEN</v>
      </c>
      <c r="F45" s="9" t="s">
        <v>29</v>
      </c>
      <c r="G45" s="9" t="s">
        <v>30</v>
      </c>
      <c r="H45" s="9" t="str">
        <f>PROPER(ShoeSales[[#This Row],[Brand]])</f>
        <v>Nike</v>
      </c>
      <c r="I45" s="9" t="s">
        <v>73</v>
      </c>
      <c r="J45" s="10">
        <v>3</v>
      </c>
      <c r="K45" s="9" t="s">
        <v>36</v>
      </c>
      <c r="L45" s="22">
        <f>VLOOKUP(ShoeSales[[#This Row],[Product Cleaned]],Price!$A$2:$C$9,2,FALSE)</f>
        <v>54</v>
      </c>
      <c r="M45" s="19">
        <f>_xlfn.XLOOKUP(ShoeSales[[#This Row],[Product Cleaned]],Price!$A$2:$A$9,Price!$B$2:$B$9)</f>
        <v>54</v>
      </c>
      <c r="N45" s="19">
        <f>_xlfn.XLOOKUP(ShoeSales[[#This Row],[Product Cleaned]],Price!$A$2:$A$9,Price!$C$2:$C$9)</f>
        <v>28</v>
      </c>
      <c r="O45" s="22">
        <f>ShoeSales[[#This Row],[Sell Price]]*ShoeSales[[#This Row],[Quantity]]</f>
        <v>162</v>
      </c>
      <c r="P45" s="19">
        <f>ShoeSales[[#This Row],[Quantity]]*ShoeSales[[#This Row],[Cost Price]]</f>
        <v>84</v>
      </c>
      <c r="Q45" s="19">
        <f>ShoeSales[[#This Row],[Revenue]]-ShoeSales[[#This Row],[Cost]]</f>
        <v>78</v>
      </c>
      <c r="R45" s="24">
        <f>ShoeSales[[#This Row],[Profit]]/ShoeSales[[#This Row],[Revenue]]</f>
        <v>0.48148148148148145</v>
      </c>
      <c r="S45" s="19"/>
      <c r="T45" s="19" t="str">
        <f>UPPER(TEXT(ShoeSales[[#This Row],[Date]], "mmm"))</f>
        <v>APR</v>
      </c>
    </row>
    <row r="46" spans="1:20" ht="14.25" customHeight="1" x14ac:dyDescent="0.25">
      <c r="A46" s="14">
        <v>46131</v>
      </c>
      <c r="B46" s="6" t="s">
        <v>8</v>
      </c>
      <c r="C46" s="16" t="str">
        <f>TRIM(PROPER(ShoeSales[[#This Row],[Product]]))</f>
        <v>Boots</v>
      </c>
      <c r="D46" s="6" t="s">
        <v>58</v>
      </c>
      <c r="E46" s="44" t="str">
        <f>UPPER(ShoeSales[[#This Row],[Category]])</f>
        <v>FORMAL</v>
      </c>
      <c r="F46" s="6" t="s">
        <v>38</v>
      </c>
      <c r="G46" s="6" t="s">
        <v>81</v>
      </c>
      <c r="H46" s="16" t="str">
        <f>PROPER(ShoeSales[[#This Row],[Brand]])</f>
        <v>Steve Madden</v>
      </c>
      <c r="I46" s="6" t="s">
        <v>47</v>
      </c>
      <c r="J46" s="7">
        <v>1</v>
      </c>
      <c r="K46" s="6" t="s">
        <v>32</v>
      </c>
      <c r="L46" s="22">
        <f>VLOOKUP(ShoeSales[[#This Row],[Product Cleaned]],Price!$A$2:$C$9,2,FALSE)</f>
        <v>76</v>
      </c>
      <c r="M46" s="19">
        <f>_xlfn.XLOOKUP(ShoeSales[[#This Row],[Product Cleaned]],Price!$A$2:$A$9,Price!$B$2:$B$9)</f>
        <v>76</v>
      </c>
      <c r="N46" s="19">
        <f>_xlfn.XLOOKUP(ShoeSales[[#This Row],[Product Cleaned]],Price!$A$2:$A$9,Price!$C$2:$C$9)</f>
        <v>39</v>
      </c>
      <c r="O46" s="22">
        <f>ShoeSales[[#This Row],[Sell Price]]*ShoeSales[[#This Row],[Quantity]]</f>
        <v>76</v>
      </c>
      <c r="P46" s="19">
        <f>ShoeSales[[#This Row],[Quantity]]*ShoeSales[[#This Row],[Cost Price]]</f>
        <v>39</v>
      </c>
      <c r="Q46" s="19">
        <f>ShoeSales[[#This Row],[Revenue]]-ShoeSales[[#This Row],[Cost]]</f>
        <v>37</v>
      </c>
      <c r="R46" s="24">
        <f>ShoeSales[[#This Row],[Profit]]/ShoeSales[[#This Row],[Revenue]]</f>
        <v>0.48684210526315791</v>
      </c>
      <c r="S46" s="19"/>
      <c r="T46" s="19" t="str">
        <f>UPPER(TEXT(ShoeSales[[#This Row],[Date]], "mmm"))</f>
        <v>APR</v>
      </c>
    </row>
    <row r="47" spans="1:20" ht="14.25" customHeight="1" x14ac:dyDescent="0.25">
      <c r="A47" s="15">
        <v>46165</v>
      </c>
      <c r="B47" s="9" t="s">
        <v>79</v>
      </c>
      <c r="C47" s="9" t="str">
        <f>TRIM(PROPER(ShoeSales[[#This Row],[Product]]))</f>
        <v>Brogues</v>
      </c>
      <c r="D47" s="9" t="s">
        <v>28</v>
      </c>
      <c r="E47" s="45" t="str">
        <f>UPPER(ShoeSales[[#This Row],[Category]])</f>
        <v>FORMAL</v>
      </c>
      <c r="F47" s="9" t="s">
        <v>29</v>
      </c>
      <c r="G47" s="9" t="s">
        <v>46</v>
      </c>
      <c r="H47" s="9" t="str">
        <f>PROPER(ShoeSales[[#This Row],[Brand]])</f>
        <v>Clarks</v>
      </c>
      <c r="I47" s="9" t="s">
        <v>66</v>
      </c>
      <c r="J47" s="10">
        <v>9</v>
      </c>
      <c r="K47" s="9" t="s">
        <v>62</v>
      </c>
      <c r="L47" s="22">
        <f>VLOOKUP(ShoeSales[[#This Row],[Product Cleaned]],Price!$A$2:$C$9,2,FALSE)</f>
        <v>112</v>
      </c>
      <c r="M47" s="19">
        <f>_xlfn.XLOOKUP(ShoeSales[[#This Row],[Product Cleaned]],Price!$A$2:$A$9,Price!$B$2:$B$9)</f>
        <v>112</v>
      </c>
      <c r="N47" s="19">
        <f>_xlfn.XLOOKUP(ShoeSales[[#This Row],[Product Cleaned]],Price!$A$2:$A$9,Price!$C$2:$C$9)</f>
        <v>64</v>
      </c>
      <c r="O47" s="22">
        <f>ShoeSales[[#This Row],[Sell Price]]*ShoeSales[[#This Row],[Quantity]]</f>
        <v>1008</v>
      </c>
      <c r="P47" s="19">
        <f>ShoeSales[[#This Row],[Quantity]]*ShoeSales[[#This Row],[Cost Price]]</f>
        <v>576</v>
      </c>
      <c r="Q47" s="19">
        <f>ShoeSales[[#This Row],[Revenue]]-ShoeSales[[#This Row],[Cost]]</f>
        <v>432</v>
      </c>
      <c r="R47" s="24">
        <f>ShoeSales[[#This Row],[Profit]]/ShoeSales[[#This Row],[Revenue]]</f>
        <v>0.42857142857142855</v>
      </c>
      <c r="S47" s="19"/>
      <c r="T47" s="19" t="str">
        <f>UPPER(TEXT(ShoeSales[[#This Row],[Date]], "mmm"))</f>
        <v>MAY</v>
      </c>
    </row>
    <row r="48" spans="1:20" ht="14.25" customHeight="1" x14ac:dyDescent="0.25">
      <c r="A48" s="14">
        <v>46237</v>
      </c>
      <c r="B48" s="6" t="s">
        <v>8</v>
      </c>
      <c r="C48" s="16" t="str">
        <f>TRIM(PROPER(ShoeSales[[#This Row],[Product]]))</f>
        <v>Boots</v>
      </c>
      <c r="D48" s="6" t="s">
        <v>37</v>
      </c>
      <c r="E48" s="44" t="str">
        <f>UPPER(ShoeSales[[#This Row],[Category]])</f>
        <v>FORMAL</v>
      </c>
      <c r="F48" s="6" t="s">
        <v>38</v>
      </c>
      <c r="G48" s="6" t="s">
        <v>82</v>
      </c>
      <c r="H48" s="16" t="str">
        <f>PROPER(ShoeSales[[#This Row],[Brand]])</f>
        <v>Zara</v>
      </c>
      <c r="I48" s="6" t="s">
        <v>84</v>
      </c>
      <c r="J48" s="7">
        <v>5</v>
      </c>
      <c r="K48" s="6" t="s">
        <v>62</v>
      </c>
      <c r="L48" s="22">
        <f>VLOOKUP(ShoeSales[[#This Row],[Product Cleaned]],Price!$A$2:$C$9,2,FALSE)</f>
        <v>76</v>
      </c>
      <c r="M48" s="19">
        <f>_xlfn.XLOOKUP(ShoeSales[[#This Row],[Product Cleaned]],Price!$A$2:$A$9,Price!$B$2:$B$9)</f>
        <v>76</v>
      </c>
      <c r="N48" s="19">
        <f>_xlfn.XLOOKUP(ShoeSales[[#This Row],[Product Cleaned]],Price!$A$2:$A$9,Price!$C$2:$C$9)</f>
        <v>39</v>
      </c>
      <c r="O48" s="22">
        <f>ShoeSales[[#This Row],[Sell Price]]*ShoeSales[[#This Row],[Quantity]]</f>
        <v>380</v>
      </c>
      <c r="P48" s="19">
        <f>ShoeSales[[#This Row],[Quantity]]*ShoeSales[[#This Row],[Cost Price]]</f>
        <v>195</v>
      </c>
      <c r="Q48" s="19">
        <f>ShoeSales[[#This Row],[Revenue]]-ShoeSales[[#This Row],[Cost]]</f>
        <v>185</v>
      </c>
      <c r="R48" s="24">
        <f>ShoeSales[[#This Row],[Profit]]/ShoeSales[[#This Row],[Revenue]]</f>
        <v>0.48684210526315791</v>
      </c>
      <c r="S48" s="19"/>
      <c r="T48" s="19" t="str">
        <f>UPPER(TEXT(ShoeSales[[#This Row],[Date]], "mmm"))</f>
        <v>AUG</v>
      </c>
    </row>
    <row r="49" spans="1:20" ht="14.25" customHeight="1" x14ac:dyDescent="0.25">
      <c r="A49" s="15">
        <v>46086</v>
      </c>
      <c r="B49" s="9" t="s">
        <v>60</v>
      </c>
      <c r="C49" s="9" t="str">
        <f>TRIM(PROPER(ShoeSales[[#This Row],[Product]]))</f>
        <v>Oxford</v>
      </c>
      <c r="D49" s="9" t="s">
        <v>77</v>
      </c>
      <c r="E49" s="45" t="str">
        <f>UPPER(ShoeSales[[#This Row],[Category]])</f>
        <v>CASUAL</v>
      </c>
      <c r="F49" s="9" t="s">
        <v>34</v>
      </c>
      <c r="G49" s="9" t="s">
        <v>50</v>
      </c>
      <c r="H49" s="9" t="str">
        <f>PROPER(ShoeSales[[#This Row],[Brand]])</f>
        <v>Nike</v>
      </c>
      <c r="I49" s="9" t="s">
        <v>53</v>
      </c>
      <c r="J49" s="10">
        <v>11</v>
      </c>
      <c r="K49" s="9" t="s">
        <v>62</v>
      </c>
      <c r="L49" s="22">
        <f>VLOOKUP(ShoeSales[[#This Row],[Product Cleaned]],Price!$A$2:$C$9,2,FALSE)</f>
        <v>105</v>
      </c>
      <c r="M49" s="19">
        <f>_xlfn.XLOOKUP(ShoeSales[[#This Row],[Product Cleaned]],Price!$A$2:$A$9,Price!$B$2:$B$9)</f>
        <v>105</v>
      </c>
      <c r="N49" s="19">
        <f>_xlfn.XLOOKUP(ShoeSales[[#This Row],[Product Cleaned]],Price!$A$2:$A$9,Price!$C$2:$C$9)</f>
        <v>58</v>
      </c>
      <c r="O49" s="22">
        <f>ShoeSales[[#This Row],[Sell Price]]*ShoeSales[[#This Row],[Quantity]]</f>
        <v>1155</v>
      </c>
      <c r="P49" s="19">
        <f>ShoeSales[[#This Row],[Quantity]]*ShoeSales[[#This Row],[Cost Price]]</f>
        <v>638</v>
      </c>
      <c r="Q49" s="19">
        <f>ShoeSales[[#This Row],[Revenue]]-ShoeSales[[#This Row],[Cost]]</f>
        <v>517</v>
      </c>
      <c r="R49" s="24">
        <f>ShoeSales[[#This Row],[Profit]]/ShoeSales[[#This Row],[Revenue]]</f>
        <v>0.44761904761904764</v>
      </c>
      <c r="S49" s="19"/>
      <c r="T49" s="19" t="str">
        <f>UPPER(TEXT(ShoeSales[[#This Row],[Date]], "mmm"))</f>
        <v>MAR</v>
      </c>
    </row>
    <row r="50" spans="1:20" ht="14.25" customHeight="1" x14ac:dyDescent="0.25">
      <c r="A50" s="14">
        <v>46110</v>
      </c>
      <c r="B50" s="6" t="s">
        <v>90</v>
      </c>
      <c r="C50" s="16" t="str">
        <f>TRIM(PROPER(ShoeSales[[#This Row],[Product]]))</f>
        <v>Loafers</v>
      </c>
      <c r="D50" s="6" t="s">
        <v>58</v>
      </c>
      <c r="E50" s="44" t="str">
        <f>UPPER(ShoeSales[[#This Row],[Category]])</f>
        <v>FORMAL</v>
      </c>
      <c r="F50" s="6" t="s">
        <v>34</v>
      </c>
      <c r="G50" s="6" t="s">
        <v>82</v>
      </c>
      <c r="H50" s="16" t="str">
        <f>PROPER(ShoeSales[[#This Row],[Brand]])</f>
        <v>Zara</v>
      </c>
      <c r="I50" s="6" t="s">
        <v>53</v>
      </c>
      <c r="J50" s="7">
        <v>6</v>
      </c>
      <c r="K50" s="6" t="s">
        <v>36</v>
      </c>
      <c r="L50" s="22">
        <f>VLOOKUP(ShoeSales[[#This Row],[Product Cleaned]],Price!$A$2:$C$9,2,FALSE)</f>
        <v>54</v>
      </c>
      <c r="M50" s="19">
        <f>_xlfn.XLOOKUP(ShoeSales[[#This Row],[Product Cleaned]],Price!$A$2:$A$9,Price!$B$2:$B$9)</f>
        <v>54</v>
      </c>
      <c r="N50" s="19">
        <f>_xlfn.XLOOKUP(ShoeSales[[#This Row],[Product Cleaned]],Price!$A$2:$A$9,Price!$C$2:$C$9)</f>
        <v>28</v>
      </c>
      <c r="O50" s="22">
        <f>ShoeSales[[#This Row],[Sell Price]]*ShoeSales[[#This Row],[Quantity]]</f>
        <v>324</v>
      </c>
      <c r="P50" s="19">
        <f>ShoeSales[[#This Row],[Quantity]]*ShoeSales[[#This Row],[Cost Price]]</f>
        <v>168</v>
      </c>
      <c r="Q50" s="19">
        <f>ShoeSales[[#This Row],[Revenue]]-ShoeSales[[#This Row],[Cost]]</f>
        <v>156</v>
      </c>
      <c r="R50" s="24">
        <f>ShoeSales[[#This Row],[Profit]]/ShoeSales[[#This Row],[Revenue]]</f>
        <v>0.48148148148148145</v>
      </c>
      <c r="S50" s="19"/>
      <c r="T50" s="19" t="str">
        <f>UPPER(TEXT(ShoeSales[[#This Row],[Date]], "mmm"))</f>
        <v>MAR</v>
      </c>
    </row>
    <row r="51" spans="1:20" ht="14.25" customHeight="1" x14ac:dyDescent="0.25">
      <c r="A51" s="15">
        <v>46200</v>
      </c>
      <c r="B51" s="9" t="s">
        <v>44</v>
      </c>
      <c r="C51" s="9" t="str">
        <f>TRIM(PROPER(ShoeSales[[#This Row],[Product]]))</f>
        <v>Boots</v>
      </c>
      <c r="D51" s="9" t="s">
        <v>42</v>
      </c>
      <c r="E51" s="45" t="str">
        <f>UPPER(ShoeSales[[#This Row],[Category]])</f>
        <v>UTILITY</v>
      </c>
      <c r="F51" s="9" t="s">
        <v>49</v>
      </c>
      <c r="G51" s="9" t="s">
        <v>82</v>
      </c>
      <c r="H51" s="9" t="str">
        <f>PROPER(ShoeSales[[#This Row],[Brand]])</f>
        <v>Zara</v>
      </c>
      <c r="I51" s="9" t="s">
        <v>91</v>
      </c>
      <c r="J51" s="10">
        <v>1</v>
      </c>
      <c r="K51" s="9" t="s">
        <v>62</v>
      </c>
      <c r="L51" s="22">
        <f>VLOOKUP(ShoeSales[[#This Row],[Product Cleaned]],Price!$A$2:$C$9,2,FALSE)</f>
        <v>76</v>
      </c>
      <c r="M51" s="19">
        <f>_xlfn.XLOOKUP(ShoeSales[[#This Row],[Product Cleaned]],Price!$A$2:$A$9,Price!$B$2:$B$9)</f>
        <v>76</v>
      </c>
      <c r="N51" s="19">
        <f>_xlfn.XLOOKUP(ShoeSales[[#This Row],[Product Cleaned]],Price!$A$2:$A$9,Price!$C$2:$C$9)</f>
        <v>39</v>
      </c>
      <c r="O51" s="22">
        <f>ShoeSales[[#This Row],[Sell Price]]*ShoeSales[[#This Row],[Quantity]]</f>
        <v>76</v>
      </c>
      <c r="P51" s="19">
        <f>ShoeSales[[#This Row],[Quantity]]*ShoeSales[[#This Row],[Cost Price]]</f>
        <v>39</v>
      </c>
      <c r="Q51" s="19">
        <f>ShoeSales[[#This Row],[Revenue]]-ShoeSales[[#This Row],[Cost]]</f>
        <v>37</v>
      </c>
      <c r="R51" s="24">
        <f>ShoeSales[[#This Row],[Profit]]/ShoeSales[[#This Row],[Revenue]]</f>
        <v>0.48684210526315791</v>
      </c>
      <c r="S51" s="19"/>
      <c r="T51" s="19" t="str">
        <f>UPPER(TEXT(ShoeSales[[#This Row],[Date]], "mmm"))</f>
        <v>JUN</v>
      </c>
    </row>
    <row r="52" spans="1:20" ht="14.25" customHeight="1" x14ac:dyDescent="0.25">
      <c r="A52" s="14">
        <v>46240</v>
      </c>
      <c r="B52" s="6" t="s">
        <v>86</v>
      </c>
      <c r="C52" s="16" t="str">
        <f>TRIM(PROPER(ShoeSales[[#This Row],[Product]]))</f>
        <v>Canvas</v>
      </c>
      <c r="D52" s="6" t="s">
        <v>71</v>
      </c>
      <c r="E52" s="44" t="str">
        <f>UPPER(ShoeSales[[#This Row],[Category]])</f>
        <v>CASUAL</v>
      </c>
      <c r="F52" s="6" t="s">
        <v>29</v>
      </c>
      <c r="G52" s="6" t="s">
        <v>39</v>
      </c>
      <c r="H52" s="16" t="str">
        <f>PROPER(ShoeSales[[#This Row],[Brand]])</f>
        <v>Clarks</v>
      </c>
      <c r="I52" s="6" t="s">
        <v>84</v>
      </c>
      <c r="J52" s="7">
        <v>4</v>
      </c>
      <c r="K52" s="6" t="s">
        <v>32</v>
      </c>
      <c r="L52" s="22">
        <f>VLOOKUP(ShoeSales[[#This Row],[Product Cleaned]],Price!$A$2:$C$9,2,FALSE)</f>
        <v>128</v>
      </c>
      <c r="M52" s="19">
        <f>_xlfn.XLOOKUP(ShoeSales[[#This Row],[Product Cleaned]],Price!$A$2:$A$9,Price!$B$2:$B$9)</f>
        <v>128</v>
      </c>
      <c r="N52" s="19">
        <f>_xlfn.XLOOKUP(ShoeSales[[#This Row],[Product Cleaned]],Price!$A$2:$A$9,Price!$C$2:$C$9)</f>
        <v>72</v>
      </c>
      <c r="O52" s="22">
        <f>ShoeSales[[#This Row],[Sell Price]]*ShoeSales[[#This Row],[Quantity]]</f>
        <v>512</v>
      </c>
      <c r="P52" s="19">
        <f>ShoeSales[[#This Row],[Quantity]]*ShoeSales[[#This Row],[Cost Price]]</f>
        <v>288</v>
      </c>
      <c r="Q52" s="19">
        <f>ShoeSales[[#This Row],[Revenue]]-ShoeSales[[#This Row],[Cost]]</f>
        <v>224</v>
      </c>
      <c r="R52" s="24">
        <f>ShoeSales[[#This Row],[Profit]]/ShoeSales[[#This Row],[Revenue]]</f>
        <v>0.4375</v>
      </c>
      <c r="S52" s="19"/>
      <c r="T52" s="19" t="str">
        <f>UPPER(TEXT(ShoeSales[[#This Row],[Date]], "mmm"))</f>
        <v>AUG</v>
      </c>
    </row>
    <row r="53" spans="1:20" ht="14.25" customHeight="1" x14ac:dyDescent="0.25">
      <c r="A53" s="15">
        <v>46051</v>
      </c>
      <c r="B53" s="9" t="s">
        <v>67</v>
      </c>
      <c r="C53" s="9" t="str">
        <f>TRIM(PROPER(ShoeSales[[#This Row],[Product]]))</f>
        <v>Oxford</v>
      </c>
      <c r="D53" s="9" t="s">
        <v>42</v>
      </c>
      <c r="E53" s="45" t="str">
        <f>UPPER(ShoeSales[[#This Row],[Category]])</f>
        <v>UTILITY</v>
      </c>
      <c r="F53" s="9" t="s">
        <v>34</v>
      </c>
      <c r="G53" s="9" t="s">
        <v>39</v>
      </c>
      <c r="H53" s="9" t="str">
        <f>PROPER(ShoeSales[[#This Row],[Brand]])</f>
        <v>Clarks</v>
      </c>
      <c r="I53" s="9" t="s">
        <v>64</v>
      </c>
      <c r="J53" s="10">
        <v>5</v>
      </c>
      <c r="K53" s="9" t="s">
        <v>54</v>
      </c>
      <c r="L53" s="22">
        <f>VLOOKUP(ShoeSales[[#This Row],[Product Cleaned]],Price!$A$2:$C$9,2,FALSE)</f>
        <v>105</v>
      </c>
      <c r="M53" s="19">
        <f>_xlfn.XLOOKUP(ShoeSales[[#This Row],[Product Cleaned]],Price!$A$2:$A$9,Price!$B$2:$B$9)</f>
        <v>105</v>
      </c>
      <c r="N53" s="19">
        <f>_xlfn.XLOOKUP(ShoeSales[[#This Row],[Product Cleaned]],Price!$A$2:$A$9,Price!$C$2:$C$9)</f>
        <v>58</v>
      </c>
      <c r="O53" s="22">
        <f>ShoeSales[[#This Row],[Sell Price]]*ShoeSales[[#This Row],[Quantity]]</f>
        <v>525</v>
      </c>
      <c r="P53" s="19">
        <f>ShoeSales[[#This Row],[Quantity]]*ShoeSales[[#This Row],[Cost Price]]</f>
        <v>290</v>
      </c>
      <c r="Q53" s="19">
        <f>ShoeSales[[#This Row],[Revenue]]-ShoeSales[[#This Row],[Cost]]</f>
        <v>235</v>
      </c>
      <c r="R53" s="24">
        <f>ShoeSales[[#This Row],[Profit]]/ShoeSales[[#This Row],[Revenue]]</f>
        <v>0.44761904761904764</v>
      </c>
      <c r="S53" s="19"/>
      <c r="T53" s="19" t="str">
        <f>UPPER(TEXT(ShoeSales[[#This Row],[Date]], "mmm"))</f>
        <v>JAN</v>
      </c>
    </row>
    <row r="54" spans="1:20" ht="14.25" customHeight="1" x14ac:dyDescent="0.25">
      <c r="A54" s="14">
        <v>46086</v>
      </c>
      <c r="B54" s="6" t="s">
        <v>27</v>
      </c>
      <c r="C54" s="16" t="str">
        <f>TRIM(PROPER(ShoeSales[[#This Row],[Product]]))</f>
        <v>Monk Straps</v>
      </c>
      <c r="D54" s="6" t="s">
        <v>28</v>
      </c>
      <c r="E54" s="44" t="str">
        <f>UPPER(ShoeSales[[#This Row],[Category]])</f>
        <v>FORMAL</v>
      </c>
      <c r="F54" s="6" t="s">
        <v>34</v>
      </c>
      <c r="G54" s="6" t="s">
        <v>82</v>
      </c>
      <c r="H54" s="16" t="str">
        <f>PROPER(ShoeSales[[#This Row],[Brand]])</f>
        <v>Zara</v>
      </c>
      <c r="I54" s="6" t="s">
        <v>31</v>
      </c>
      <c r="J54" s="7">
        <v>4</v>
      </c>
      <c r="K54" s="6" t="s">
        <v>36</v>
      </c>
      <c r="L54" s="22">
        <f>VLOOKUP(ShoeSales[[#This Row],[Product Cleaned]],Price!$A$2:$C$9,2,FALSE)</f>
        <v>89</v>
      </c>
      <c r="M54" s="19">
        <f>_xlfn.XLOOKUP(ShoeSales[[#This Row],[Product Cleaned]],Price!$A$2:$A$9,Price!$B$2:$B$9)</f>
        <v>89</v>
      </c>
      <c r="N54" s="19">
        <f>_xlfn.XLOOKUP(ShoeSales[[#This Row],[Product Cleaned]],Price!$A$2:$A$9,Price!$C$2:$C$9)</f>
        <v>47</v>
      </c>
      <c r="O54" s="22">
        <f>ShoeSales[[#This Row],[Sell Price]]*ShoeSales[[#This Row],[Quantity]]</f>
        <v>356</v>
      </c>
      <c r="P54" s="19">
        <f>ShoeSales[[#This Row],[Quantity]]*ShoeSales[[#This Row],[Cost Price]]</f>
        <v>188</v>
      </c>
      <c r="Q54" s="19">
        <f>ShoeSales[[#This Row],[Revenue]]-ShoeSales[[#This Row],[Cost]]</f>
        <v>168</v>
      </c>
      <c r="R54" s="24">
        <f>ShoeSales[[#This Row],[Profit]]/ShoeSales[[#This Row],[Revenue]]</f>
        <v>0.47191011235955055</v>
      </c>
      <c r="S54" s="19"/>
      <c r="T54" s="19" t="str">
        <f>UPPER(TEXT(ShoeSales[[#This Row],[Date]], "mmm"))</f>
        <v>MAR</v>
      </c>
    </row>
    <row r="55" spans="1:20" ht="14.25" customHeight="1" x14ac:dyDescent="0.25">
      <c r="A55" s="15">
        <v>46069</v>
      </c>
      <c r="B55" s="9" t="s">
        <v>85</v>
      </c>
      <c r="C55" s="9" t="str">
        <f>TRIM(PROPER(ShoeSales[[#This Row],[Product]]))</f>
        <v>Brogues</v>
      </c>
      <c r="D55" s="9" t="s">
        <v>58</v>
      </c>
      <c r="E55" s="45" t="str">
        <f>UPPER(ShoeSales[[#This Row],[Category]])</f>
        <v>FORMAL</v>
      </c>
      <c r="F55" s="9" t="s">
        <v>34</v>
      </c>
      <c r="G55" s="9" t="s">
        <v>72</v>
      </c>
      <c r="H55" s="9" t="str">
        <f>PROPER(ShoeSales[[#This Row],[Brand]])</f>
        <v>Zara</v>
      </c>
      <c r="I55" s="9" t="s">
        <v>40</v>
      </c>
      <c r="J55" s="10">
        <v>1</v>
      </c>
      <c r="K55" s="9" t="s">
        <v>62</v>
      </c>
      <c r="L55" s="22">
        <f>VLOOKUP(ShoeSales[[#This Row],[Product Cleaned]],Price!$A$2:$C$9,2,FALSE)</f>
        <v>112</v>
      </c>
      <c r="M55" s="19">
        <f>_xlfn.XLOOKUP(ShoeSales[[#This Row],[Product Cleaned]],Price!$A$2:$A$9,Price!$B$2:$B$9)</f>
        <v>112</v>
      </c>
      <c r="N55" s="19">
        <f>_xlfn.XLOOKUP(ShoeSales[[#This Row],[Product Cleaned]],Price!$A$2:$A$9,Price!$C$2:$C$9)</f>
        <v>64</v>
      </c>
      <c r="O55" s="22">
        <f>ShoeSales[[#This Row],[Sell Price]]*ShoeSales[[#This Row],[Quantity]]</f>
        <v>112</v>
      </c>
      <c r="P55" s="19">
        <f>ShoeSales[[#This Row],[Quantity]]*ShoeSales[[#This Row],[Cost Price]]</f>
        <v>64</v>
      </c>
      <c r="Q55" s="19">
        <f>ShoeSales[[#This Row],[Revenue]]-ShoeSales[[#This Row],[Cost]]</f>
        <v>48</v>
      </c>
      <c r="R55" s="24">
        <f>ShoeSales[[#This Row],[Profit]]/ShoeSales[[#This Row],[Revenue]]</f>
        <v>0.42857142857142855</v>
      </c>
      <c r="S55" s="19"/>
      <c r="T55" s="19" t="str">
        <f>UPPER(TEXT(ShoeSales[[#This Row],[Date]], "mmm"))</f>
        <v>FEB</v>
      </c>
    </row>
    <row r="56" spans="1:20" ht="14.25" customHeight="1" x14ac:dyDescent="0.25">
      <c r="A56" s="14">
        <v>46109</v>
      </c>
      <c r="B56" s="6" t="s">
        <v>9</v>
      </c>
      <c r="C56" s="16" t="str">
        <f>TRIM(PROPER(ShoeSales[[#This Row],[Product]]))</f>
        <v>Canvas</v>
      </c>
      <c r="D56" s="6" t="s">
        <v>58</v>
      </c>
      <c r="E56" s="44" t="str">
        <f>UPPER(ShoeSales[[#This Row],[Category]])</f>
        <v>FORMAL</v>
      </c>
      <c r="F56" s="6" t="s">
        <v>29</v>
      </c>
      <c r="G56" s="6" t="s">
        <v>35</v>
      </c>
      <c r="H56" s="16" t="str">
        <f>PROPER(ShoeSales[[#This Row],[Brand]])</f>
        <v>Nike</v>
      </c>
      <c r="I56" s="6" t="s">
        <v>78</v>
      </c>
      <c r="J56" s="7">
        <v>4</v>
      </c>
      <c r="K56" s="6" t="s">
        <v>32</v>
      </c>
      <c r="L56" s="22">
        <f>VLOOKUP(ShoeSales[[#This Row],[Product Cleaned]],Price!$A$2:$C$9,2,FALSE)</f>
        <v>128</v>
      </c>
      <c r="M56" s="19">
        <f>_xlfn.XLOOKUP(ShoeSales[[#This Row],[Product Cleaned]],Price!$A$2:$A$9,Price!$B$2:$B$9)</f>
        <v>128</v>
      </c>
      <c r="N56" s="19">
        <f>_xlfn.XLOOKUP(ShoeSales[[#This Row],[Product Cleaned]],Price!$A$2:$A$9,Price!$C$2:$C$9)</f>
        <v>72</v>
      </c>
      <c r="O56" s="22">
        <f>ShoeSales[[#This Row],[Sell Price]]*ShoeSales[[#This Row],[Quantity]]</f>
        <v>512</v>
      </c>
      <c r="P56" s="19">
        <f>ShoeSales[[#This Row],[Quantity]]*ShoeSales[[#This Row],[Cost Price]]</f>
        <v>288</v>
      </c>
      <c r="Q56" s="19">
        <f>ShoeSales[[#This Row],[Revenue]]-ShoeSales[[#This Row],[Cost]]</f>
        <v>224</v>
      </c>
      <c r="R56" s="24">
        <f>ShoeSales[[#This Row],[Profit]]/ShoeSales[[#This Row],[Revenue]]</f>
        <v>0.4375</v>
      </c>
      <c r="S56" s="19"/>
      <c r="T56" s="19" t="str">
        <f>UPPER(TEXT(ShoeSales[[#This Row],[Date]], "mmm"))</f>
        <v>MAR</v>
      </c>
    </row>
    <row r="57" spans="1:20" ht="14.25" customHeight="1" x14ac:dyDescent="0.25">
      <c r="A57" s="15">
        <v>46114</v>
      </c>
      <c r="B57" s="9" t="s">
        <v>5</v>
      </c>
      <c r="C57" s="9" t="str">
        <f>TRIM(PROPER(ShoeSales[[#This Row],[Product]]))</f>
        <v>Monk Straps</v>
      </c>
      <c r="D57" s="9" t="s">
        <v>77</v>
      </c>
      <c r="E57" s="45" t="str">
        <f>UPPER(ShoeSales[[#This Row],[Category]])</f>
        <v>CASUAL</v>
      </c>
      <c r="F57" s="9" t="s">
        <v>34</v>
      </c>
      <c r="G57" s="9" t="s">
        <v>46</v>
      </c>
      <c r="H57" s="9" t="str">
        <f>PROPER(ShoeSales[[#This Row],[Brand]])</f>
        <v>Clarks</v>
      </c>
      <c r="I57" s="9" t="s">
        <v>43</v>
      </c>
      <c r="J57" s="10">
        <v>5</v>
      </c>
      <c r="K57" s="9" t="s">
        <v>36</v>
      </c>
      <c r="L57" s="22">
        <f>VLOOKUP(ShoeSales[[#This Row],[Product Cleaned]],Price!$A$2:$C$9,2,FALSE)</f>
        <v>89</v>
      </c>
      <c r="M57" s="19">
        <f>_xlfn.XLOOKUP(ShoeSales[[#This Row],[Product Cleaned]],Price!$A$2:$A$9,Price!$B$2:$B$9)</f>
        <v>89</v>
      </c>
      <c r="N57" s="19">
        <f>_xlfn.XLOOKUP(ShoeSales[[#This Row],[Product Cleaned]],Price!$A$2:$A$9,Price!$C$2:$C$9)</f>
        <v>47</v>
      </c>
      <c r="O57" s="22">
        <f>ShoeSales[[#This Row],[Sell Price]]*ShoeSales[[#This Row],[Quantity]]</f>
        <v>445</v>
      </c>
      <c r="P57" s="19">
        <f>ShoeSales[[#This Row],[Quantity]]*ShoeSales[[#This Row],[Cost Price]]</f>
        <v>235</v>
      </c>
      <c r="Q57" s="19">
        <f>ShoeSales[[#This Row],[Revenue]]-ShoeSales[[#This Row],[Cost]]</f>
        <v>210</v>
      </c>
      <c r="R57" s="24">
        <f>ShoeSales[[#This Row],[Profit]]/ShoeSales[[#This Row],[Revenue]]</f>
        <v>0.47191011235955055</v>
      </c>
      <c r="S57" s="19"/>
      <c r="T57" s="19" t="str">
        <f>UPPER(TEXT(ShoeSales[[#This Row],[Date]], "mmm"))</f>
        <v>APR</v>
      </c>
    </row>
    <row r="58" spans="1:20" ht="14.25" customHeight="1" x14ac:dyDescent="0.25">
      <c r="A58" s="14">
        <v>46175</v>
      </c>
      <c r="B58" s="6" t="s">
        <v>92</v>
      </c>
      <c r="C58" s="16" t="str">
        <f>TRIM(PROPER(ShoeSales[[#This Row],[Product]]))</f>
        <v>Canvas</v>
      </c>
      <c r="D58" s="6" t="s">
        <v>74</v>
      </c>
      <c r="E58" s="44" t="str">
        <f>UPPER(ShoeSales[[#This Row],[Category]])</f>
        <v>OPEN</v>
      </c>
      <c r="F58" s="6" t="s">
        <v>34</v>
      </c>
      <c r="G58" s="6" t="s">
        <v>80</v>
      </c>
      <c r="H58" s="16" t="str">
        <f>PROPER(ShoeSales[[#This Row],[Brand]])</f>
        <v>Steve Madden</v>
      </c>
      <c r="I58" s="6" t="s">
        <v>61</v>
      </c>
      <c r="J58" s="7">
        <v>2</v>
      </c>
      <c r="K58" s="6" t="s">
        <v>54</v>
      </c>
      <c r="L58" s="22">
        <f>VLOOKUP(ShoeSales[[#This Row],[Product Cleaned]],Price!$A$2:$C$9,2,FALSE)</f>
        <v>128</v>
      </c>
      <c r="M58" s="19">
        <f>_xlfn.XLOOKUP(ShoeSales[[#This Row],[Product Cleaned]],Price!$A$2:$A$9,Price!$B$2:$B$9)</f>
        <v>128</v>
      </c>
      <c r="N58" s="19">
        <f>_xlfn.XLOOKUP(ShoeSales[[#This Row],[Product Cleaned]],Price!$A$2:$A$9,Price!$C$2:$C$9)</f>
        <v>72</v>
      </c>
      <c r="O58" s="22">
        <f>ShoeSales[[#This Row],[Sell Price]]*ShoeSales[[#This Row],[Quantity]]</f>
        <v>256</v>
      </c>
      <c r="P58" s="19">
        <f>ShoeSales[[#This Row],[Quantity]]*ShoeSales[[#This Row],[Cost Price]]</f>
        <v>144</v>
      </c>
      <c r="Q58" s="19">
        <f>ShoeSales[[#This Row],[Revenue]]-ShoeSales[[#This Row],[Cost]]</f>
        <v>112</v>
      </c>
      <c r="R58" s="24">
        <f>ShoeSales[[#This Row],[Profit]]/ShoeSales[[#This Row],[Revenue]]</f>
        <v>0.4375</v>
      </c>
      <c r="S58" s="19"/>
      <c r="T58" s="19" t="str">
        <f>UPPER(TEXT(ShoeSales[[#This Row],[Date]], "mmm"))</f>
        <v>JUN</v>
      </c>
    </row>
    <row r="59" spans="1:20" ht="14.25" customHeight="1" x14ac:dyDescent="0.25">
      <c r="A59" s="15">
        <v>46045</v>
      </c>
      <c r="B59" s="9" t="s">
        <v>68</v>
      </c>
      <c r="C59" s="9" t="str">
        <f>TRIM(PROPER(ShoeSales[[#This Row],[Product]]))</f>
        <v>Slippers</v>
      </c>
      <c r="D59" s="9" t="s">
        <v>58</v>
      </c>
      <c r="E59" s="45" t="str">
        <f>UPPER(ShoeSales[[#This Row],[Category]])</f>
        <v>FORMAL</v>
      </c>
      <c r="F59" s="9" t="s">
        <v>29</v>
      </c>
      <c r="G59" s="9" t="s">
        <v>50</v>
      </c>
      <c r="H59" s="9" t="str">
        <f>PROPER(ShoeSales[[#This Row],[Brand]])</f>
        <v>Nike</v>
      </c>
      <c r="I59" s="9" t="s">
        <v>40</v>
      </c>
      <c r="J59" s="10">
        <v>1</v>
      </c>
      <c r="K59" s="9" t="s">
        <v>32</v>
      </c>
      <c r="L59" s="22">
        <f>VLOOKUP(ShoeSales[[#This Row],[Product Cleaned]],Price!$A$2:$C$9,2,FALSE)</f>
        <v>119</v>
      </c>
      <c r="M59" s="19">
        <f>_xlfn.XLOOKUP(ShoeSales[[#This Row],[Product Cleaned]],Price!$A$2:$A$9,Price!$B$2:$B$9)</f>
        <v>119</v>
      </c>
      <c r="N59" s="19">
        <f>_xlfn.XLOOKUP(ShoeSales[[#This Row],[Product Cleaned]],Price!$A$2:$A$9,Price!$C$2:$C$9)</f>
        <v>67</v>
      </c>
      <c r="O59" s="22">
        <f>ShoeSales[[#This Row],[Sell Price]]*ShoeSales[[#This Row],[Quantity]]</f>
        <v>119</v>
      </c>
      <c r="P59" s="19">
        <f>ShoeSales[[#This Row],[Quantity]]*ShoeSales[[#This Row],[Cost Price]]</f>
        <v>67</v>
      </c>
      <c r="Q59" s="19">
        <f>ShoeSales[[#This Row],[Revenue]]-ShoeSales[[#This Row],[Cost]]</f>
        <v>52</v>
      </c>
      <c r="R59" s="24">
        <f>ShoeSales[[#This Row],[Profit]]/ShoeSales[[#This Row],[Revenue]]</f>
        <v>0.43697478991596639</v>
      </c>
      <c r="S59" s="19"/>
      <c r="T59" s="19" t="str">
        <f>UPPER(TEXT(ShoeSales[[#This Row],[Date]], "mmm"))</f>
        <v>JAN</v>
      </c>
    </row>
    <row r="60" spans="1:20" ht="14.25" customHeight="1" x14ac:dyDescent="0.25">
      <c r="A60" s="14">
        <v>46230</v>
      </c>
      <c r="B60" s="6" t="s">
        <v>79</v>
      </c>
      <c r="C60" s="16" t="str">
        <f>TRIM(PROPER(ShoeSales[[#This Row],[Product]]))</f>
        <v>Brogues</v>
      </c>
      <c r="D60" s="6" t="s">
        <v>71</v>
      </c>
      <c r="E60" s="44" t="str">
        <f>UPPER(ShoeSales[[#This Row],[Category]])</f>
        <v>CASUAL</v>
      </c>
      <c r="F60" s="6" t="s">
        <v>38</v>
      </c>
      <c r="G60" s="6" t="s">
        <v>30</v>
      </c>
      <c r="H60" s="16" t="str">
        <f>PROPER(ShoeSales[[#This Row],[Brand]])</f>
        <v>Nike</v>
      </c>
      <c r="I60" s="6" t="s">
        <v>31</v>
      </c>
      <c r="J60" s="7">
        <v>15</v>
      </c>
      <c r="K60" s="6" t="s">
        <v>32</v>
      </c>
      <c r="L60" s="22">
        <f>VLOOKUP(ShoeSales[[#This Row],[Product Cleaned]],Price!$A$2:$C$9,2,FALSE)</f>
        <v>112</v>
      </c>
      <c r="M60" s="19">
        <f>_xlfn.XLOOKUP(ShoeSales[[#This Row],[Product Cleaned]],Price!$A$2:$A$9,Price!$B$2:$B$9)</f>
        <v>112</v>
      </c>
      <c r="N60" s="19">
        <f>_xlfn.XLOOKUP(ShoeSales[[#This Row],[Product Cleaned]],Price!$A$2:$A$9,Price!$C$2:$C$9)</f>
        <v>64</v>
      </c>
      <c r="O60" s="22">
        <f>ShoeSales[[#This Row],[Sell Price]]*ShoeSales[[#This Row],[Quantity]]</f>
        <v>1680</v>
      </c>
      <c r="P60" s="19">
        <f>ShoeSales[[#This Row],[Quantity]]*ShoeSales[[#This Row],[Cost Price]]</f>
        <v>960</v>
      </c>
      <c r="Q60" s="19">
        <f>ShoeSales[[#This Row],[Revenue]]-ShoeSales[[#This Row],[Cost]]</f>
        <v>720</v>
      </c>
      <c r="R60" s="24">
        <f>ShoeSales[[#This Row],[Profit]]/ShoeSales[[#This Row],[Revenue]]</f>
        <v>0.42857142857142855</v>
      </c>
      <c r="S60" s="19"/>
      <c r="T60" s="19" t="str">
        <f>UPPER(TEXT(ShoeSales[[#This Row],[Date]], "mmm"))</f>
        <v>JUL</v>
      </c>
    </row>
    <row r="61" spans="1:20" ht="14.25" customHeight="1" x14ac:dyDescent="0.25">
      <c r="A61" s="15">
        <v>46196</v>
      </c>
      <c r="B61" s="9" t="s">
        <v>41</v>
      </c>
      <c r="C61" s="9" t="str">
        <f>TRIM(PROPER(ShoeSales[[#This Row],[Product]]))</f>
        <v>Boots</v>
      </c>
      <c r="D61" s="9" t="s">
        <v>58</v>
      </c>
      <c r="E61" s="45" t="str">
        <f>UPPER(ShoeSales[[#This Row],[Category]])</f>
        <v>FORMAL</v>
      </c>
      <c r="F61" s="9" t="s">
        <v>38</v>
      </c>
      <c r="G61" s="9" t="s">
        <v>80</v>
      </c>
      <c r="H61" s="9" t="str">
        <f>PROPER(ShoeSales[[#This Row],[Brand]])</f>
        <v>Steve Madden</v>
      </c>
      <c r="I61" s="9" t="s">
        <v>47</v>
      </c>
      <c r="J61" s="10">
        <v>11</v>
      </c>
      <c r="K61" s="9" t="s">
        <v>62</v>
      </c>
      <c r="L61" s="22">
        <f>VLOOKUP(ShoeSales[[#This Row],[Product Cleaned]],Price!$A$2:$C$9,2,FALSE)</f>
        <v>76</v>
      </c>
      <c r="M61" s="19">
        <f>_xlfn.XLOOKUP(ShoeSales[[#This Row],[Product Cleaned]],Price!$A$2:$A$9,Price!$B$2:$B$9)</f>
        <v>76</v>
      </c>
      <c r="N61" s="19">
        <f>_xlfn.XLOOKUP(ShoeSales[[#This Row],[Product Cleaned]],Price!$A$2:$A$9,Price!$C$2:$C$9)</f>
        <v>39</v>
      </c>
      <c r="O61" s="22">
        <f>ShoeSales[[#This Row],[Sell Price]]*ShoeSales[[#This Row],[Quantity]]</f>
        <v>836</v>
      </c>
      <c r="P61" s="19">
        <f>ShoeSales[[#This Row],[Quantity]]*ShoeSales[[#This Row],[Cost Price]]</f>
        <v>429</v>
      </c>
      <c r="Q61" s="19">
        <f>ShoeSales[[#This Row],[Revenue]]-ShoeSales[[#This Row],[Cost]]</f>
        <v>407</v>
      </c>
      <c r="R61" s="24">
        <f>ShoeSales[[#This Row],[Profit]]/ShoeSales[[#This Row],[Revenue]]</f>
        <v>0.48684210526315791</v>
      </c>
      <c r="S61" s="19"/>
      <c r="T61" s="19" t="str">
        <f>UPPER(TEXT(ShoeSales[[#This Row],[Date]], "mmm"))</f>
        <v>JUN</v>
      </c>
    </row>
    <row r="62" spans="1:20" ht="14.25" customHeight="1" x14ac:dyDescent="0.25">
      <c r="A62" s="14">
        <v>46121</v>
      </c>
      <c r="B62" s="6" t="s">
        <v>10</v>
      </c>
      <c r="C62" s="16" t="str">
        <f>TRIM(PROPER(ShoeSales[[#This Row],[Product]]))</f>
        <v>Oxford</v>
      </c>
      <c r="D62" s="6" t="s">
        <v>93</v>
      </c>
      <c r="E62" s="44" t="str">
        <f>UPPER(ShoeSales[[#This Row],[Category]])</f>
        <v>UTILITY</v>
      </c>
      <c r="F62" s="6" t="s">
        <v>29</v>
      </c>
      <c r="G62" s="6" t="s">
        <v>63</v>
      </c>
      <c r="H62" s="16" t="str">
        <f>PROPER(ShoeSales[[#This Row],[Brand]])</f>
        <v>Clarks</v>
      </c>
      <c r="I62" s="6" t="s">
        <v>51</v>
      </c>
      <c r="J62" s="7">
        <v>10</v>
      </c>
      <c r="K62" s="6" t="s">
        <v>36</v>
      </c>
      <c r="L62" s="22">
        <f>VLOOKUP(ShoeSales[[#This Row],[Product Cleaned]],Price!$A$2:$C$9,2,FALSE)</f>
        <v>105</v>
      </c>
      <c r="M62" s="19">
        <f>_xlfn.XLOOKUP(ShoeSales[[#This Row],[Product Cleaned]],Price!$A$2:$A$9,Price!$B$2:$B$9)</f>
        <v>105</v>
      </c>
      <c r="N62" s="19">
        <f>_xlfn.XLOOKUP(ShoeSales[[#This Row],[Product Cleaned]],Price!$A$2:$A$9,Price!$C$2:$C$9)</f>
        <v>58</v>
      </c>
      <c r="O62" s="22">
        <f>ShoeSales[[#This Row],[Sell Price]]*ShoeSales[[#This Row],[Quantity]]</f>
        <v>1050</v>
      </c>
      <c r="P62" s="19">
        <f>ShoeSales[[#This Row],[Quantity]]*ShoeSales[[#This Row],[Cost Price]]</f>
        <v>580</v>
      </c>
      <c r="Q62" s="19">
        <f>ShoeSales[[#This Row],[Revenue]]-ShoeSales[[#This Row],[Cost]]</f>
        <v>470</v>
      </c>
      <c r="R62" s="24">
        <f>ShoeSales[[#This Row],[Profit]]/ShoeSales[[#This Row],[Revenue]]</f>
        <v>0.44761904761904764</v>
      </c>
      <c r="S62" s="19"/>
      <c r="T62" s="19" t="str">
        <f>UPPER(TEXT(ShoeSales[[#This Row],[Date]], "mmm"))</f>
        <v>APR</v>
      </c>
    </row>
    <row r="63" spans="1:20" ht="14.25" customHeight="1" x14ac:dyDescent="0.25">
      <c r="A63" s="15">
        <v>46194</v>
      </c>
      <c r="B63" s="9" t="s">
        <v>52</v>
      </c>
      <c r="C63" s="9" t="str">
        <f>TRIM(PROPER(ShoeSales[[#This Row],[Product]]))</f>
        <v>Canvas</v>
      </c>
      <c r="D63" s="9" t="s">
        <v>37</v>
      </c>
      <c r="E63" s="45" t="str">
        <f>UPPER(ShoeSales[[#This Row],[Category]])</f>
        <v>FORMAL</v>
      </c>
      <c r="F63" s="9" t="s">
        <v>56</v>
      </c>
      <c r="G63" s="9" t="s">
        <v>80</v>
      </c>
      <c r="H63" s="9" t="str">
        <f>PROPER(ShoeSales[[#This Row],[Brand]])</f>
        <v>Steve Madden</v>
      </c>
      <c r="I63" s="9" t="s">
        <v>43</v>
      </c>
      <c r="J63" s="10">
        <v>9</v>
      </c>
      <c r="K63" s="9" t="s">
        <v>36</v>
      </c>
      <c r="L63" s="22">
        <f>VLOOKUP(ShoeSales[[#This Row],[Product Cleaned]],Price!$A$2:$C$9,2,FALSE)</f>
        <v>128</v>
      </c>
      <c r="M63" s="19">
        <f>_xlfn.XLOOKUP(ShoeSales[[#This Row],[Product Cleaned]],Price!$A$2:$A$9,Price!$B$2:$B$9)</f>
        <v>128</v>
      </c>
      <c r="N63" s="19">
        <f>_xlfn.XLOOKUP(ShoeSales[[#This Row],[Product Cleaned]],Price!$A$2:$A$9,Price!$C$2:$C$9)</f>
        <v>72</v>
      </c>
      <c r="O63" s="22">
        <f>ShoeSales[[#This Row],[Sell Price]]*ShoeSales[[#This Row],[Quantity]]</f>
        <v>1152</v>
      </c>
      <c r="P63" s="19">
        <f>ShoeSales[[#This Row],[Quantity]]*ShoeSales[[#This Row],[Cost Price]]</f>
        <v>648</v>
      </c>
      <c r="Q63" s="19">
        <f>ShoeSales[[#This Row],[Revenue]]-ShoeSales[[#This Row],[Cost]]</f>
        <v>504</v>
      </c>
      <c r="R63" s="24">
        <f>ShoeSales[[#This Row],[Profit]]/ShoeSales[[#This Row],[Revenue]]</f>
        <v>0.4375</v>
      </c>
      <c r="S63" s="19"/>
      <c r="T63" s="19" t="str">
        <f>UPPER(TEXT(ShoeSales[[#This Row],[Date]], "mmm"))</f>
        <v>JUN</v>
      </c>
    </row>
    <row r="64" spans="1:20" ht="14.25" customHeight="1" x14ac:dyDescent="0.25">
      <c r="A64" s="14">
        <v>46081</v>
      </c>
      <c r="B64" s="6" t="s">
        <v>6</v>
      </c>
      <c r="C64" s="16" t="str">
        <f>TRIM(PROPER(ShoeSales[[#This Row],[Product]]))</f>
        <v>Loafers</v>
      </c>
      <c r="D64" s="6" t="s">
        <v>58</v>
      </c>
      <c r="E64" s="44" t="str">
        <f>UPPER(ShoeSales[[#This Row],[Category]])</f>
        <v>FORMAL</v>
      </c>
      <c r="F64" s="6" t="s">
        <v>49</v>
      </c>
      <c r="G64" s="6" t="s">
        <v>35</v>
      </c>
      <c r="H64" s="16" t="str">
        <f>PROPER(ShoeSales[[#This Row],[Brand]])</f>
        <v>Nike</v>
      </c>
      <c r="I64" s="6" t="s">
        <v>31</v>
      </c>
      <c r="J64" s="7">
        <v>1</v>
      </c>
      <c r="K64" s="6" t="s">
        <v>32</v>
      </c>
      <c r="L64" s="22">
        <f>VLOOKUP(ShoeSales[[#This Row],[Product Cleaned]],Price!$A$2:$C$9,2,FALSE)</f>
        <v>54</v>
      </c>
      <c r="M64" s="19">
        <f>_xlfn.XLOOKUP(ShoeSales[[#This Row],[Product Cleaned]],Price!$A$2:$A$9,Price!$B$2:$B$9)</f>
        <v>54</v>
      </c>
      <c r="N64" s="19">
        <f>_xlfn.XLOOKUP(ShoeSales[[#This Row],[Product Cleaned]],Price!$A$2:$A$9,Price!$C$2:$C$9)</f>
        <v>28</v>
      </c>
      <c r="O64" s="22">
        <f>ShoeSales[[#This Row],[Sell Price]]*ShoeSales[[#This Row],[Quantity]]</f>
        <v>54</v>
      </c>
      <c r="P64" s="19">
        <f>ShoeSales[[#This Row],[Quantity]]*ShoeSales[[#This Row],[Cost Price]]</f>
        <v>28</v>
      </c>
      <c r="Q64" s="19">
        <f>ShoeSales[[#This Row],[Revenue]]-ShoeSales[[#This Row],[Cost]]</f>
        <v>26</v>
      </c>
      <c r="R64" s="24">
        <f>ShoeSales[[#This Row],[Profit]]/ShoeSales[[#This Row],[Revenue]]</f>
        <v>0.48148148148148145</v>
      </c>
      <c r="S64" s="19"/>
      <c r="T64" s="19" t="str">
        <f>UPPER(TEXT(ShoeSales[[#This Row],[Date]], "mmm"))</f>
        <v>FEB</v>
      </c>
    </row>
    <row r="65" spans="1:20" ht="14.25" customHeight="1" x14ac:dyDescent="0.25">
      <c r="A65" s="15">
        <v>46197</v>
      </c>
      <c r="B65" s="9" t="s">
        <v>60</v>
      </c>
      <c r="C65" s="9" t="str">
        <f>TRIM(PROPER(ShoeSales[[#This Row],[Product]]))</f>
        <v>Oxford</v>
      </c>
      <c r="D65" s="9" t="s">
        <v>28</v>
      </c>
      <c r="E65" s="45" t="str">
        <f>UPPER(ShoeSales[[#This Row],[Category]])</f>
        <v>FORMAL</v>
      </c>
      <c r="F65" s="9" t="s">
        <v>38</v>
      </c>
      <c r="G65" s="9" t="s">
        <v>69</v>
      </c>
      <c r="H65" s="9" t="str">
        <f>PROPER(ShoeSales[[#This Row],[Brand]])</f>
        <v>Zara</v>
      </c>
      <c r="I65" s="9" t="s">
        <v>61</v>
      </c>
      <c r="J65" s="10">
        <v>8</v>
      </c>
      <c r="K65" s="9" t="s">
        <v>32</v>
      </c>
      <c r="L65" s="22">
        <f>VLOOKUP(ShoeSales[[#This Row],[Product Cleaned]],Price!$A$2:$C$9,2,FALSE)</f>
        <v>105</v>
      </c>
      <c r="M65" s="19">
        <f>_xlfn.XLOOKUP(ShoeSales[[#This Row],[Product Cleaned]],Price!$A$2:$A$9,Price!$B$2:$B$9)</f>
        <v>105</v>
      </c>
      <c r="N65" s="19">
        <f>_xlfn.XLOOKUP(ShoeSales[[#This Row],[Product Cleaned]],Price!$A$2:$A$9,Price!$C$2:$C$9)</f>
        <v>58</v>
      </c>
      <c r="O65" s="22">
        <f>ShoeSales[[#This Row],[Sell Price]]*ShoeSales[[#This Row],[Quantity]]</f>
        <v>840</v>
      </c>
      <c r="P65" s="19">
        <f>ShoeSales[[#This Row],[Quantity]]*ShoeSales[[#This Row],[Cost Price]]</f>
        <v>464</v>
      </c>
      <c r="Q65" s="19">
        <f>ShoeSales[[#This Row],[Revenue]]-ShoeSales[[#This Row],[Cost]]</f>
        <v>376</v>
      </c>
      <c r="R65" s="24">
        <f>ShoeSales[[#This Row],[Profit]]/ShoeSales[[#This Row],[Revenue]]</f>
        <v>0.44761904761904764</v>
      </c>
      <c r="S65" s="19"/>
      <c r="T65" s="19" t="str">
        <f>UPPER(TEXT(ShoeSales[[#This Row],[Date]], "mmm"))</f>
        <v>JUN</v>
      </c>
    </row>
    <row r="66" spans="1:20" ht="14.25" customHeight="1" x14ac:dyDescent="0.25">
      <c r="A66" s="14">
        <v>46112</v>
      </c>
      <c r="B66" s="6" t="s">
        <v>67</v>
      </c>
      <c r="C66" s="16" t="str">
        <f>TRIM(PROPER(ShoeSales[[#This Row],[Product]]))</f>
        <v>Oxford</v>
      </c>
      <c r="D66" s="6" t="s">
        <v>77</v>
      </c>
      <c r="E66" s="44" t="str">
        <f>UPPER(ShoeSales[[#This Row],[Category]])</f>
        <v>CASUAL</v>
      </c>
      <c r="F66" s="6" t="s">
        <v>38</v>
      </c>
      <c r="G66" s="6" t="s">
        <v>80</v>
      </c>
      <c r="H66" s="16" t="str">
        <f>PROPER(ShoeSales[[#This Row],[Brand]])</f>
        <v>Steve Madden</v>
      </c>
      <c r="I66" s="6" t="s">
        <v>66</v>
      </c>
      <c r="J66" s="7">
        <v>5</v>
      </c>
      <c r="K66" s="6" t="s">
        <v>32</v>
      </c>
      <c r="L66" s="22">
        <f>VLOOKUP(ShoeSales[[#This Row],[Product Cleaned]],Price!$A$2:$C$9,2,FALSE)</f>
        <v>105</v>
      </c>
      <c r="M66" s="19">
        <f>_xlfn.XLOOKUP(ShoeSales[[#This Row],[Product Cleaned]],Price!$A$2:$A$9,Price!$B$2:$B$9)</f>
        <v>105</v>
      </c>
      <c r="N66" s="19">
        <f>_xlfn.XLOOKUP(ShoeSales[[#This Row],[Product Cleaned]],Price!$A$2:$A$9,Price!$C$2:$C$9)</f>
        <v>58</v>
      </c>
      <c r="O66" s="22">
        <f>ShoeSales[[#This Row],[Sell Price]]*ShoeSales[[#This Row],[Quantity]]</f>
        <v>525</v>
      </c>
      <c r="P66" s="19">
        <f>ShoeSales[[#This Row],[Quantity]]*ShoeSales[[#This Row],[Cost Price]]</f>
        <v>290</v>
      </c>
      <c r="Q66" s="19">
        <f>ShoeSales[[#This Row],[Revenue]]-ShoeSales[[#This Row],[Cost]]</f>
        <v>235</v>
      </c>
      <c r="R66" s="24">
        <f>ShoeSales[[#This Row],[Profit]]/ShoeSales[[#This Row],[Revenue]]</f>
        <v>0.44761904761904764</v>
      </c>
      <c r="S66" s="19"/>
      <c r="T66" s="19" t="str">
        <f>UPPER(TEXT(ShoeSales[[#This Row],[Date]], "mmm"))</f>
        <v>MAR</v>
      </c>
    </row>
    <row r="67" spans="1:20" ht="14.25" customHeight="1" x14ac:dyDescent="0.25">
      <c r="A67" s="15">
        <v>46124</v>
      </c>
      <c r="B67" s="9" t="s">
        <v>70</v>
      </c>
      <c r="C67" s="9" t="str">
        <f>TRIM(PROPER(ShoeSales[[#This Row],[Product]]))</f>
        <v>Derby</v>
      </c>
      <c r="D67" s="9" t="s">
        <v>71</v>
      </c>
      <c r="E67" s="45" t="str">
        <f>UPPER(ShoeSales[[#This Row],[Category]])</f>
        <v>CASUAL</v>
      </c>
      <c r="F67" s="9" t="s">
        <v>34</v>
      </c>
      <c r="G67" s="9" t="s">
        <v>94</v>
      </c>
      <c r="H67" s="9" t="str">
        <f>PROPER(ShoeSales[[#This Row],[Brand]])</f>
        <v>Timberland</v>
      </c>
      <c r="I67" s="9" t="s">
        <v>40</v>
      </c>
      <c r="J67" s="10">
        <v>14</v>
      </c>
      <c r="K67" s="9" t="s">
        <v>36</v>
      </c>
      <c r="L67" s="22">
        <f>VLOOKUP(ShoeSales[[#This Row],[Product Cleaned]],Price!$A$2:$C$9,2,FALSE)</f>
        <v>32</v>
      </c>
      <c r="M67" s="19">
        <f>_xlfn.XLOOKUP(ShoeSales[[#This Row],[Product Cleaned]],Price!$A$2:$A$9,Price!$B$2:$B$9)</f>
        <v>32</v>
      </c>
      <c r="N67" s="19">
        <f>_xlfn.XLOOKUP(ShoeSales[[#This Row],[Product Cleaned]],Price!$A$2:$A$9,Price!$C$2:$C$9)</f>
        <v>14</v>
      </c>
      <c r="O67" s="22">
        <f>ShoeSales[[#This Row],[Sell Price]]*ShoeSales[[#This Row],[Quantity]]</f>
        <v>448</v>
      </c>
      <c r="P67" s="19">
        <f>ShoeSales[[#This Row],[Quantity]]*ShoeSales[[#This Row],[Cost Price]]</f>
        <v>196</v>
      </c>
      <c r="Q67" s="19">
        <f>ShoeSales[[#This Row],[Revenue]]-ShoeSales[[#This Row],[Cost]]</f>
        <v>252</v>
      </c>
      <c r="R67" s="24">
        <f>ShoeSales[[#This Row],[Profit]]/ShoeSales[[#This Row],[Revenue]]</f>
        <v>0.5625</v>
      </c>
      <c r="S67" s="19"/>
      <c r="T67" s="19" t="str">
        <f>UPPER(TEXT(ShoeSales[[#This Row],[Date]], "mmm"))</f>
        <v>APR</v>
      </c>
    </row>
    <row r="68" spans="1:20" ht="14.25" customHeight="1" x14ac:dyDescent="0.25">
      <c r="A68" s="14">
        <v>46161</v>
      </c>
      <c r="B68" s="6" t="s">
        <v>83</v>
      </c>
      <c r="C68" s="16" t="str">
        <f>TRIM(PROPER(ShoeSales[[#This Row],[Product]]))</f>
        <v>Monk Straps</v>
      </c>
      <c r="D68" s="6" t="s">
        <v>74</v>
      </c>
      <c r="E68" s="44" t="str">
        <f>UPPER(ShoeSales[[#This Row],[Category]])</f>
        <v>OPEN</v>
      </c>
      <c r="F68" s="6" t="s">
        <v>56</v>
      </c>
      <c r="G68" s="6" t="s">
        <v>39</v>
      </c>
      <c r="H68" s="16" t="str">
        <f>PROPER(ShoeSales[[#This Row],[Brand]])</f>
        <v>Clarks</v>
      </c>
      <c r="I68" s="6" t="s">
        <v>47</v>
      </c>
      <c r="J68" s="7">
        <v>14</v>
      </c>
      <c r="K68" s="6" t="s">
        <v>62</v>
      </c>
      <c r="L68" s="22">
        <f>VLOOKUP(ShoeSales[[#This Row],[Product Cleaned]],Price!$A$2:$C$9,2,FALSE)</f>
        <v>89</v>
      </c>
      <c r="M68" s="19">
        <f>_xlfn.XLOOKUP(ShoeSales[[#This Row],[Product Cleaned]],Price!$A$2:$A$9,Price!$B$2:$B$9)</f>
        <v>89</v>
      </c>
      <c r="N68" s="19">
        <f>_xlfn.XLOOKUP(ShoeSales[[#This Row],[Product Cleaned]],Price!$A$2:$A$9,Price!$C$2:$C$9)</f>
        <v>47</v>
      </c>
      <c r="O68" s="22">
        <f>ShoeSales[[#This Row],[Sell Price]]*ShoeSales[[#This Row],[Quantity]]</f>
        <v>1246</v>
      </c>
      <c r="P68" s="19">
        <f>ShoeSales[[#This Row],[Quantity]]*ShoeSales[[#This Row],[Cost Price]]</f>
        <v>658</v>
      </c>
      <c r="Q68" s="19">
        <f>ShoeSales[[#This Row],[Revenue]]-ShoeSales[[#This Row],[Cost]]</f>
        <v>588</v>
      </c>
      <c r="R68" s="24">
        <f>ShoeSales[[#This Row],[Profit]]/ShoeSales[[#This Row],[Revenue]]</f>
        <v>0.47191011235955055</v>
      </c>
      <c r="S68" s="19"/>
      <c r="T68" s="19" t="str">
        <f>UPPER(TEXT(ShoeSales[[#This Row],[Date]], "mmm"))</f>
        <v>MAY</v>
      </c>
    </row>
    <row r="69" spans="1:20" ht="14.25" customHeight="1" x14ac:dyDescent="0.25">
      <c r="A69" s="15">
        <v>46028</v>
      </c>
      <c r="B69" s="9" t="s">
        <v>79</v>
      </c>
      <c r="C69" s="9" t="str">
        <f>TRIM(PROPER(ShoeSales[[#This Row],[Product]]))</f>
        <v>Brogues</v>
      </c>
      <c r="D69" s="9" t="s">
        <v>37</v>
      </c>
      <c r="E69" s="45" t="str">
        <f>UPPER(ShoeSales[[#This Row],[Category]])</f>
        <v>FORMAL</v>
      </c>
      <c r="F69" s="9" t="s">
        <v>34</v>
      </c>
      <c r="G69" s="9" t="s">
        <v>39</v>
      </c>
      <c r="H69" s="9" t="str">
        <f>PROPER(ShoeSales[[#This Row],[Brand]])</f>
        <v>Clarks</v>
      </c>
      <c r="I69" s="9" t="s">
        <v>78</v>
      </c>
      <c r="J69" s="10">
        <v>8</v>
      </c>
      <c r="K69" s="9" t="s">
        <v>62</v>
      </c>
      <c r="L69" s="22">
        <f>VLOOKUP(ShoeSales[[#This Row],[Product Cleaned]],Price!$A$2:$C$9,2,FALSE)</f>
        <v>112</v>
      </c>
      <c r="M69" s="19">
        <f>_xlfn.XLOOKUP(ShoeSales[[#This Row],[Product Cleaned]],Price!$A$2:$A$9,Price!$B$2:$B$9)</f>
        <v>112</v>
      </c>
      <c r="N69" s="19">
        <f>_xlfn.XLOOKUP(ShoeSales[[#This Row],[Product Cleaned]],Price!$A$2:$A$9,Price!$C$2:$C$9)</f>
        <v>64</v>
      </c>
      <c r="O69" s="22">
        <f>ShoeSales[[#This Row],[Sell Price]]*ShoeSales[[#This Row],[Quantity]]</f>
        <v>896</v>
      </c>
      <c r="P69" s="19">
        <f>ShoeSales[[#This Row],[Quantity]]*ShoeSales[[#This Row],[Cost Price]]</f>
        <v>512</v>
      </c>
      <c r="Q69" s="19">
        <f>ShoeSales[[#This Row],[Revenue]]-ShoeSales[[#This Row],[Cost]]</f>
        <v>384</v>
      </c>
      <c r="R69" s="24">
        <f>ShoeSales[[#This Row],[Profit]]/ShoeSales[[#This Row],[Revenue]]</f>
        <v>0.42857142857142855</v>
      </c>
      <c r="S69" s="19"/>
      <c r="T69" s="19" t="str">
        <f>UPPER(TEXT(ShoeSales[[#This Row],[Date]], "mmm"))</f>
        <v>JAN</v>
      </c>
    </row>
    <row r="70" spans="1:20" ht="14.25" customHeight="1" x14ac:dyDescent="0.25">
      <c r="A70" s="14">
        <v>46179</v>
      </c>
      <c r="B70" s="6" t="s">
        <v>6</v>
      </c>
      <c r="C70" s="16" t="str">
        <f>TRIM(PROPER(ShoeSales[[#This Row],[Product]]))</f>
        <v>Loafers</v>
      </c>
      <c r="D70" s="6" t="s">
        <v>37</v>
      </c>
      <c r="E70" s="44" t="str">
        <f>UPPER(ShoeSales[[#This Row],[Category]])</f>
        <v>FORMAL</v>
      </c>
      <c r="F70" s="6" t="s">
        <v>34</v>
      </c>
      <c r="G70" s="6" t="s">
        <v>46</v>
      </c>
      <c r="H70" s="16" t="str">
        <f>PROPER(ShoeSales[[#This Row],[Brand]])</f>
        <v>Clarks</v>
      </c>
      <c r="I70" s="6" t="s">
        <v>73</v>
      </c>
      <c r="J70" s="7">
        <v>7</v>
      </c>
      <c r="K70" s="6" t="s">
        <v>32</v>
      </c>
      <c r="L70" s="22">
        <f>VLOOKUP(ShoeSales[[#This Row],[Product Cleaned]],Price!$A$2:$C$9,2,FALSE)</f>
        <v>54</v>
      </c>
      <c r="M70" s="19">
        <f>_xlfn.XLOOKUP(ShoeSales[[#This Row],[Product Cleaned]],Price!$A$2:$A$9,Price!$B$2:$B$9)</f>
        <v>54</v>
      </c>
      <c r="N70" s="19">
        <f>_xlfn.XLOOKUP(ShoeSales[[#This Row],[Product Cleaned]],Price!$A$2:$A$9,Price!$C$2:$C$9)</f>
        <v>28</v>
      </c>
      <c r="O70" s="22">
        <f>ShoeSales[[#This Row],[Sell Price]]*ShoeSales[[#This Row],[Quantity]]</f>
        <v>378</v>
      </c>
      <c r="P70" s="19">
        <f>ShoeSales[[#This Row],[Quantity]]*ShoeSales[[#This Row],[Cost Price]]</f>
        <v>196</v>
      </c>
      <c r="Q70" s="19">
        <f>ShoeSales[[#This Row],[Revenue]]-ShoeSales[[#This Row],[Cost]]</f>
        <v>182</v>
      </c>
      <c r="R70" s="24">
        <f>ShoeSales[[#This Row],[Profit]]/ShoeSales[[#This Row],[Revenue]]</f>
        <v>0.48148148148148145</v>
      </c>
      <c r="S70" s="19"/>
      <c r="T70" s="19" t="str">
        <f>UPPER(TEXT(ShoeSales[[#This Row],[Date]], "mmm"))</f>
        <v>JUN</v>
      </c>
    </row>
    <row r="71" spans="1:20" ht="14.25" customHeight="1" x14ac:dyDescent="0.25">
      <c r="A71" s="15">
        <v>46182</v>
      </c>
      <c r="B71" s="9" t="s">
        <v>85</v>
      </c>
      <c r="C71" s="9" t="str">
        <f>TRIM(PROPER(ShoeSales[[#This Row],[Product]]))</f>
        <v>Brogues</v>
      </c>
      <c r="D71" s="9" t="s">
        <v>89</v>
      </c>
      <c r="E71" s="45" t="str">
        <f>UPPER(ShoeSales[[#This Row],[Category]])</f>
        <v>OPEN</v>
      </c>
      <c r="F71" s="9" t="s">
        <v>38</v>
      </c>
      <c r="G71" s="9" t="s">
        <v>39</v>
      </c>
      <c r="H71" s="9" t="str">
        <f>PROPER(ShoeSales[[#This Row],[Brand]])</f>
        <v>Clarks</v>
      </c>
      <c r="I71" s="9" t="s">
        <v>73</v>
      </c>
      <c r="J71" s="10">
        <v>7</v>
      </c>
      <c r="K71" s="9" t="s">
        <v>62</v>
      </c>
      <c r="L71" s="22">
        <f>VLOOKUP(ShoeSales[[#This Row],[Product Cleaned]],Price!$A$2:$C$9,2,FALSE)</f>
        <v>112</v>
      </c>
      <c r="M71" s="19">
        <f>_xlfn.XLOOKUP(ShoeSales[[#This Row],[Product Cleaned]],Price!$A$2:$A$9,Price!$B$2:$B$9)</f>
        <v>112</v>
      </c>
      <c r="N71" s="19">
        <f>_xlfn.XLOOKUP(ShoeSales[[#This Row],[Product Cleaned]],Price!$A$2:$A$9,Price!$C$2:$C$9)</f>
        <v>64</v>
      </c>
      <c r="O71" s="22">
        <f>ShoeSales[[#This Row],[Sell Price]]*ShoeSales[[#This Row],[Quantity]]</f>
        <v>784</v>
      </c>
      <c r="P71" s="19">
        <f>ShoeSales[[#This Row],[Quantity]]*ShoeSales[[#This Row],[Cost Price]]</f>
        <v>448</v>
      </c>
      <c r="Q71" s="19">
        <f>ShoeSales[[#This Row],[Revenue]]-ShoeSales[[#This Row],[Cost]]</f>
        <v>336</v>
      </c>
      <c r="R71" s="24">
        <f>ShoeSales[[#This Row],[Profit]]/ShoeSales[[#This Row],[Revenue]]</f>
        <v>0.42857142857142855</v>
      </c>
      <c r="S71" s="19"/>
      <c r="T71" s="19" t="str">
        <f>UPPER(TEXT(ShoeSales[[#This Row],[Date]], "mmm"))</f>
        <v>JUN</v>
      </c>
    </row>
    <row r="72" spans="1:20" ht="14.25" customHeight="1" x14ac:dyDescent="0.25">
      <c r="A72" s="14">
        <v>46085</v>
      </c>
      <c r="B72" s="6" t="s">
        <v>27</v>
      </c>
      <c r="C72" s="16" t="str">
        <f>TRIM(PROPER(ShoeSales[[#This Row],[Product]]))</f>
        <v>Monk Straps</v>
      </c>
      <c r="D72" s="6" t="s">
        <v>28</v>
      </c>
      <c r="E72" s="44" t="str">
        <f>UPPER(ShoeSales[[#This Row],[Category]])</f>
        <v>FORMAL</v>
      </c>
      <c r="F72" s="6" t="s">
        <v>38</v>
      </c>
      <c r="G72" s="6" t="s">
        <v>57</v>
      </c>
      <c r="H72" s="16" t="str">
        <f>PROPER(ShoeSales[[#This Row],[Brand]])</f>
        <v>Timberland</v>
      </c>
      <c r="I72" s="6" t="s">
        <v>51</v>
      </c>
      <c r="J72" s="7">
        <v>8</v>
      </c>
      <c r="K72" s="6" t="s">
        <v>54</v>
      </c>
      <c r="L72" s="22">
        <f>VLOOKUP(ShoeSales[[#This Row],[Product Cleaned]],Price!$A$2:$C$9,2,FALSE)</f>
        <v>89</v>
      </c>
      <c r="M72" s="19">
        <f>_xlfn.XLOOKUP(ShoeSales[[#This Row],[Product Cleaned]],Price!$A$2:$A$9,Price!$B$2:$B$9)</f>
        <v>89</v>
      </c>
      <c r="N72" s="19">
        <f>_xlfn.XLOOKUP(ShoeSales[[#This Row],[Product Cleaned]],Price!$A$2:$A$9,Price!$C$2:$C$9)</f>
        <v>47</v>
      </c>
      <c r="O72" s="22">
        <f>ShoeSales[[#This Row],[Sell Price]]*ShoeSales[[#This Row],[Quantity]]</f>
        <v>712</v>
      </c>
      <c r="P72" s="19">
        <f>ShoeSales[[#This Row],[Quantity]]*ShoeSales[[#This Row],[Cost Price]]</f>
        <v>376</v>
      </c>
      <c r="Q72" s="19">
        <f>ShoeSales[[#This Row],[Revenue]]-ShoeSales[[#This Row],[Cost]]</f>
        <v>336</v>
      </c>
      <c r="R72" s="24">
        <f>ShoeSales[[#This Row],[Profit]]/ShoeSales[[#This Row],[Revenue]]</f>
        <v>0.47191011235955055</v>
      </c>
      <c r="S72" s="19"/>
      <c r="T72" s="19" t="str">
        <f>UPPER(TEXT(ShoeSales[[#This Row],[Date]], "mmm"))</f>
        <v>MAR</v>
      </c>
    </row>
    <row r="73" spans="1:20" ht="14.25" customHeight="1" x14ac:dyDescent="0.25">
      <c r="A73" s="15">
        <v>46213</v>
      </c>
      <c r="B73" s="9" t="s">
        <v>70</v>
      </c>
      <c r="C73" s="9" t="str">
        <f>TRIM(PROPER(ShoeSales[[#This Row],[Product]]))</f>
        <v>Derby</v>
      </c>
      <c r="D73" s="9" t="s">
        <v>71</v>
      </c>
      <c r="E73" s="45" t="str">
        <f>UPPER(ShoeSales[[#This Row],[Category]])</f>
        <v>CASUAL</v>
      </c>
      <c r="F73" s="9" t="s">
        <v>38</v>
      </c>
      <c r="G73" s="9" t="s">
        <v>63</v>
      </c>
      <c r="H73" s="9" t="str">
        <f>PROPER(ShoeSales[[#This Row],[Brand]])</f>
        <v>Clarks</v>
      </c>
      <c r="I73" s="9" t="s">
        <v>47</v>
      </c>
      <c r="J73" s="10">
        <v>9</v>
      </c>
      <c r="K73" s="9" t="s">
        <v>62</v>
      </c>
      <c r="L73" s="22">
        <f>VLOOKUP(ShoeSales[[#This Row],[Product Cleaned]],Price!$A$2:$C$9,2,FALSE)</f>
        <v>32</v>
      </c>
      <c r="M73" s="19">
        <f>_xlfn.XLOOKUP(ShoeSales[[#This Row],[Product Cleaned]],Price!$A$2:$A$9,Price!$B$2:$B$9)</f>
        <v>32</v>
      </c>
      <c r="N73" s="19">
        <f>_xlfn.XLOOKUP(ShoeSales[[#This Row],[Product Cleaned]],Price!$A$2:$A$9,Price!$C$2:$C$9)</f>
        <v>14</v>
      </c>
      <c r="O73" s="22">
        <f>ShoeSales[[#This Row],[Sell Price]]*ShoeSales[[#This Row],[Quantity]]</f>
        <v>288</v>
      </c>
      <c r="P73" s="19">
        <f>ShoeSales[[#This Row],[Quantity]]*ShoeSales[[#This Row],[Cost Price]]</f>
        <v>126</v>
      </c>
      <c r="Q73" s="19">
        <f>ShoeSales[[#This Row],[Revenue]]-ShoeSales[[#This Row],[Cost]]</f>
        <v>162</v>
      </c>
      <c r="R73" s="24">
        <f>ShoeSales[[#This Row],[Profit]]/ShoeSales[[#This Row],[Revenue]]</f>
        <v>0.5625</v>
      </c>
      <c r="S73" s="19"/>
      <c r="T73" s="19" t="str">
        <f>UPPER(TEXT(ShoeSales[[#This Row],[Date]], "mmm"))</f>
        <v>JUL</v>
      </c>
    </row>
    <row r="74" spans="1:20" ht="14.25" customHeight="1" x14ac:dyDescent="0.25">
      <c r="A74" s="14">
        <v>46089</v>
      </c>
      <c r="B74" s="6" t="s">
        <v>41</v>
      </c>
      <c r="C74" s="16" t="str">
        <f>TRIM(PROPER(ShoeSales[[#This Row],[Product]]))</f>
        <v>Boots</v>
      </c>
      <c r="D74" s="6" t="s">
        <v>37</v>
      </c>
      <c r="E74" s="44" t="str">
        <f>UPPER(ShoeSales[[#This Row],[Category]])</f>
        <v>FORMAL</v>
      </c>
      <c r="F74" s="6" t="s">
        <v>56</v>
      </c>
      <c r="G74" s="6" t="s">
        <v>72</v>
      </c>
      <c r="H74" s="16" t="str">
        <f>PROPER(ShoeSales[[#This Row],[Brand]])</f>
        <v>Zara</v>
      </c>
      <c r="I74" s="6" t="s">
        <v>47</v>
      </c>
      <c r="J74" s="7">
        <v>5</v>
      </c>
      <c r="K74" s="6" t="s">
        <v>36</v>
      </c>
      <c r="L74" s="22">
        <f>VLOOKUP(ShoeSales[[#This Row],[Product Cleaned]],Price!$A$2:$C$9,2,FALSE)</f>
        <v>76</v>
      </c>
      <c r="M74" s="19">
        <f>_xlfn.XLOOKUP(ShoeSales[[#This Row],[Product Cleaned]],Price!$A$2:$A$9,Price!$B$2:$B$9)</f>
        <v>76</v>
      </c>
      <c r="N74" s="19">
        <f>_xlfn.XLOOKUP(ShoeSales[[#This Row],[Product Cleaned]],Price!$A$2:$A$9,Price!$C$2:$C$9)</f>
        <v>39</v>
      </c>
      <c r="O74" s="22">
        <f>ShoeSales[[#This Row],[Sell Price]]*ShoeSales[[#This Row],[Quantity]]</f>
        <v>380</v>
      </c>
      <c r="P74" s="19">
        <f>ShoeSales[[#This Row],[Quantity]]*ShoeSales[[#This Row],[Cost Price]]</f>
        <v>195</v>
      </c>
      <c r="Q74" s="19">
        <f>ShoeSales[[#This Row],[Revenue]]-ShoeSales[[#This Row],[Cost]]</f>
        <v>185</v>
      </c>
      <c r="R74" s="24">
        <f>ShoeSales[[#This Row],[Profit]]/ShoeSales[[#This Row],[Revenue]]</f>
        <v>0.48684210526315791</v>
      </c>
      <c r="S74" s="19"/>
      <c r="T74" s="19" t="str">
        <f>UPPER(TEXT(ShoeSales[[#This Row],[Date]], "mmm"))</f>
        <v>MAR</v>
      </c>
    </row>
    <row r="75" spans="1:20" ht="14.25" customHeight="1" x14ac:dyDescent="0.25">
      <c r="A75" s="15">
        <v>46174</v>
      </c>
      <c r="B75" s="9" t="s">
        <v>41</v>
      </c>
      <c r="C75" s="9" t="str">
        <f>TRIM(PROPER(ShoeSales[[#This Row],[Product]]))</f>
        <v>Boots</v>
      </c>
      <c r="D75" s="9" t="s">
        <v>58</v>
      </c>
      <c r="E75" s="45" t="str">
        <f>UPPER(ShoeSales[[#This Row],[Category]])</f>
        <v>FORMAL</v>
      </c>
      <c r="F75" s="9" t="s">
        <v>49</v>
      </c>
      <c r="G75" s="9" t="s">
        <v>80</v>
      </c>
      <c r="H75" s="9" t="str">
        <f>PROPER(ShoeSales[[#This Row],[Brand]])</f>
        <v>Steve Madden</v>
      </c>
      <c r="I75" s="9" t="s">
        <v>73</v>
      </c>
      <c r="J75" s="10">
        <v>9</v>
      </c>
      <c r="K75" s="9" t="s">
        <v>54</v>
      </c>
      <c r="L75" s="22">
        <f>VLOOKUP(ShoeSales[[#This Row],[Product Cleaned]],Price!$A$2:$C$9,2,FALSE)</f>
        <v>76</v>
      </c>
      <c r="M75" s="19">
        <f>_xlfn.XLOOKUP(ShoeSales[[#This Row],[Product Cleaned]],Price!$A$2:$A$9,Price!$B$2:$B$9)</f>
        <v>76</v>
      </c>
      <c r="N75" s="19">
        <f>_xlfn.XLOOKUP(ShoeSales[[#This Row],[Product Cleaned]],Price!$A$2:$A$9,Price!$C$2:$C$9)</f>
        <v>39</v>
      </c>
      <c r="O75" s="22">
        <f>ShoeSales[[#This Row],[Sell Price]]*ShoeSales[[#This Row],[Quantity]]</f>
        <v>684</v>
      </c>
      <c r="P75" s="19">
        <f>ShoeSales[[#This Row],[Quantity]]*ShoeSales[[#This Row],[Cost Price]]</f>
        <v>351</v>
      </c>
      <c r="Q75" s="19">
        <f>ShoeSales[[#This Row],[Revenue]]-ShoeSales[[#This Row],[Cost]]</f>
        <v>333</v>
      </c>
      <c r="R75" s="24">
        <f>ShoeSales[[#This Row],[Profit]]/ShoeSales[[#This Row],[Revenue]]</f>
        <v>0.48684210526315791</v>
      </c>
      <c r="S75" s="19"/>
      <c r="T75" s="19" t="str">
        <f>UPPER(TEXT(ShoeSales[[#This Row],[Date]], "mmm"))</f>
        <v>JUN</v>
      </c>
    </row>
    <row r="76" spans="1:20" ht="14.25" customHeight="1" x14ac:dyDescent="0.25">
      <c r="A76" s="14">
        <v>46077</v>
      </c>
      <c r="B76" s="6" t="s">
        <v>10</v>
      </c>
      <c r="C76" s="16" t="str">
        <f>TRIM(PROPER(ShoeSales[[#This Row],[Product]]))</f>
        <v>Oxford</v>
      </c>
      <c r="D76" s="6" t="s">
        <v>45</v>
      </c>
      <c r="E76" s="44" t="str">
        <f>UPPER(ShoeSales[[#This Row],[Category]])</f>
        <v>CASUAL</v>
      </c>
      <c r="F76" s="6" t="s">
        <v>56</v>
      </c>
      <c r="G76" s="6" t="s">
        <v>46</v>
      </c>
      <c r="H76" s="16" t="str">
        <f>PROPER(ShoeSales[[#This Row],[Brand]])</f>
        <v>Clarks</v>
      </c>
      <c r="I76" s="6" t="s">
        <v>66</v>
      </c>
      <c r="J76" s="7">
        <v>7</v>
      </c>
      <c r="K76" s="6" t="s">
        <v>36</v>
      </c>
      <c r="L76" s="22">
        <f>VLOOKUP(ShoeSales[[#This Row],[Product Cleaned]],Price!$A$2:$C$9,2,FALSE)</f>
        <v>105</v>
      </c>
      <c r="M76" s="19">
        <f>_xlfn.XLOOKUP(ShoeSales[[#This Row],[Product Cleaned]],Price!$A$2:$A$9,Price!$B$2:$B$9)</f>
        <v>105</v>
      </c>
      <c r="N76" s="19">
        <f>_xlfn.XLOOKUP(ShoeSales[[#This Row],[Product Cleaned]],Price!$A$2:$A$9,Price!$C$2:$C$9)</f>
        <v>58</v>
      </c>
      <c r="O76" s="22">
        <f>ShoeSales[[#This Row],[Sell Price]]*ShoeSales[[#This Row],[Quantity]]</f>
        <v>735</v>
      </c>
      <c r="P76" s="19">
        <f>ShoeSales[[#This Row],[Quantity]]*ShoeSales[[#This Row],[Cost Price]]</f>
        <v>406</v>
      </c>
      <c r="Q76" s="19">
        <f>ShoeSales[[#This Row],[Revenue]]-ShoeSales[[#This Row],[Cost]]</f>
        <v>329</v>
      </c>
      <c r="R76" s="24">
        <f>ShoeSales[[#This Row],[Profit]]/ShoeSales[[#This Row],[Revenue]]</f>
        <v>0.44761904761904764</v>
      </c>
      <c r="S76" s="19"/>
      <c r="T76" s="19" t="str">
        <f>UPPER(TEXT(ShoeSales[[#This Row],[Date]], "mmm"))</f>
        <v>FEB</v>
      </c>
    </row>
    <row r="77" spans="1:20" ht="14.25" customHeight="1" x14ac:dyDescent="0.25">
      <c r="A77" s="15">
        <v>46148</v>
      </c>
      <c r="B77" s="9" t="s">
        <v>10</v>
      </c>
      <c r="C77" s="9" t="str">
        <f>TRIM(PROPER(ShoeSales[[#This Row],[Product]]))</f>
        <v>Oxford</v>
      </c>
      <c r="D77" s="9" t="s">
        <v>58</v>
      </c>
      <c r="E77" s="45" t="str">
        <f>UPPER(ShoeSales[[#This Row],[Category]])</f>
        <v>FORMAL</v>
      </c>
      <c r="F77" s="9" t="s">
        <v>38</v>
      </c>
      <c r="G77" s="9" t="s">
        <v>39</v>
      </c>
      <c r="H77" s="9" t="str">
        <f>PROPER(ShoeSales[[#This Row],[Brand]])</f>
        <v>Clarks</v>
      </c>
      <c r="I77" s="9" t="s">
        <v>31</v>
      </c>
      <c r="J77" s="10">
        <v>13</v>
      </c>
      <c r="K77" s="9" t="s">
        <v>54</v>
      </c>
      <c r="L77" s="22">
        <f>VLOOKUP(ShoeSales[[#This Row],[Product Cleaned]],Price!$A$2:$C$9,2,FALSE)</f>
        <v>105</v>
      </c>
      <c r="M77" s="19">
        <f>_xlfn.XLOOKUP(ShoeSales[[#This Row],[Product Cleaned]],Price!$A$2:$A$9,Price!$B$2:$B$9)</f>
        <v>105</v>
      </c>
      <c r="N77" s="19">
        <f>_xlfn.XLOOKUP(ShoeSales[[#This Row],[Product Cleaned]],Price!$A$2:$A$9,Price!$C$2:$C$9)</f>
        <v>58</v>
      </c>
      <c r="O77" s="22">
        <f>ShoeSales[[#This Row],[Sell Price]]*ShoeSales[[#This Row],[Quantity]]</f>
        <v>1365</v>
      </c>
      <c r="P77" s="19">
        <f>ShoeSales[[#This Row],[Quantity]]*ShoeSales[[#This Row],[Cost Price]]</f>
        <v>754</v>
      </c>
      <c r="Q77" s="19">
        <f>ShoeSales[[#This Row],[Revenue]]-ShoeSales[[#This Row],[Cost]]</f>
        <v>611</v>
      </c>
      <c r="R77" s="24">
        <f>ShoeSales[[#This Row],[Profit]]/ShoeSales[[#This Row],[Revenue]]</f>
        <v>0.44761904761904764</v>
      </c>
      <c r="S77" s="19"/>
      <c r="T77" s="19" t="str">
        <f>UPPER(TEXT(ShoeSales[[#This Row],[Date]], "mmm"))</f>
        <v>MAY</v>
      </c>
    </row>
    <row r="78" spans="1:20" ht="14.25" customHeight="1" x14ac:dyDescent="0.25">
      <c r="A78" s="14">
        <v>46058</v>
      </c>
      <c r="B78" s="6" t="s">
        <v>90</v>
      </c>
      <c r="C78" s="16" t="str">
        <f>TRIM(PROPER(ShoeSales[[#This Row],[Product]]))</f>
        <v>Loafers</v>
      </c>
      <c r="D78" s="6" t="s">
        <v>58</v>
      </c>
      <c r="E78" s="44" t="str">
        <f>UPPER(ShoeSales[[#This Row],[Category]])</f>
        <v>FORMAL</v>
      </c>
      <c r="F78" s="6" t="s">
        <v>49</v>
      </c>
      <c r="G78" s="6" t="s">
        <v>69</v>
      </c>
      <c r="H78" s="16" t="str">
        <f>PROPER(ShoeSales[[#This Row],[Brand]])</f>
        <v>Zara</v>
      </c>
      <c r="I78" s="6" t="s">
        <v>51</v>
      </c>
      <c r="J78" s="7">
        <v>8</v>
      </c>
      <c r="K78" s="6" t="s">
        <v>36</v>
      </c>
      <c r="L78" s="22">
        <f>VLOOKUP(ShoeSales[[#This Row],[Product Cleaned]],Price!$A$2:$C$9,2,FALSE)</f>
        <v>54</v>
      </c>
      <c r="M78" s="19">
        <f>_xlfn.XLOOKUP(ShoeSales[[#This Row],[Product Cleaned]],Price!$A$2:$A$9,Price!$B$2:$B$9)</f>
        <v>54</v>
      </c>
      <c r="N78" s="19">
        <f>_xlfn.XLOOKUP(ShoeSales[[#This Row],[Product Cleaned]],Price!$A$2:$A$9,Price!$C$2:$C$9)</f>
        <v>28</v>
      </c>
      <c r="O78" s="22">
        <f>ShoeSales[[#This Row],[Sell Price]]*ShoeSales[[#This Row],[Quantity]]</f>
        <v>432</v>
      </c>
      <c r="P78" s="19">
        <f>ShoeSales[[#This Row],[Quantity]]*ShoeSales[[#This Row],[Cost Price]]</f>
        <v>224</v>
      </c>
      <c r="Q78" s="19">
        <f>ShoeSales[[#This Row],[Revenue]]-ShoeSales[[#This Row],[Cost]]</f>
        <v>208</v>
      </c>
      <c r="R78" s="24">
        <f>ShoeSales[[#This Row],[Profit]]/ShoeSales[[#This Row],[Revenue]]</f>
        <v>0.48148148148148145</v>
      </c>
      <c r="S78" s="19"/>
      <c r="T78" s="19" t="str">
        <f>UPPER(TEXT(ShoeSales[[#This Row],[Date]], "mmm"))</f>
        <v>FEB</v>
      </c>
    </row>
    <row r="79" spans="1:20" ht="14.25" customHeight="1" x14ac:dyDescent="0.25">
      <c r="A79" s="15">
        <v>46084</v>
      </c>
      <c r="B79" s="9" t="s">
        <v>76</v>
      </c>
      <c r="C79" s="9" t="str">
        <f>TRIM(PROPER(ShoeSales[[#This Row],[Product]]))</f>
        <v>Derby</v>
      </c>
      <c r="D79" s="9" t="s">
        <v>45</v>
      </c>
      <c r="E79" s="45" t="str">
        <f>UPPER(ShoeSales[[#This Row],[Category]])</f>
        <v>CASUAL</v>
      </c>
      <c r="F79" s="9" t="s">
        <v>56</v>
      </c>
      <c r="G79" s="9" t="s">
        <v>57</v>
      </c>
      <c r="H79" s="9" t="str">
        <f>PROPER(ShoeSales[[#This Row],[Brand]])</f>
        <v>Timberland</v>
      </c>
      <c r="I79" s="9" t="s">
        <v>73</v>
      </c>
      <c r="J79" s="10">
        <v>11</v>
      </c>
      <c r="K79" s="9" t="s">
        <v>62</v>
      </c>
      <c r="L79" s="22">
        <f>VLOOKUP(ShoeSales[[#This Row],[Product Cleaned]],Price!$A$2:$C$9,2,FALSE)</f>
        <v>32</v>
      </c>
      <c r="M79" s="19">
        <f>_xlfn.XLOOKUP(ShoeSales[[#This Row],[Product Cleaned]],Price!$A$2:$A$9,Price!$B$2:$B$9)</f>
        <v>32</v>
      </c>
      <c r="N79" s="19">
        <f>_xlfn.XLOOKUP(ShoeSales[[#This Row],[Product Cleaned]],Price!$A$2:$A$9,Price!$C$2:$C$9)</f>
        <v>14</v>
      </c>
      <c r="O79" s="22">
        <f>ShoeSales[[#This Row],[Sell Price]]*ShoeSales[[#This Row],[Quantity]]</f>
        <v>352</v>
      </c>
      <c r="P79" s="19">
        <f>ShoeSales[[#This Row],[Quantity]]*ShoeSales[[#This Row],[Cost Price]]</f>
        <v>154</v>
      </c>
      <c r="Q79" s="19">
        <f>ShoeSales[[#This Row],[Revenue]]-ShoeSales[[#This Row],[Cost]]</f>
        <v>198</v>
      </c>
      <c r="R79" s="24">
        <f>ShoeSales[[#This Row],[Profit]]/ShoeSales[[#This Row],[Revenue]]</f>
        <v>0.5625</v>
      </c>
      <c r="S79" s="19"/>
      <c r="T79" s="19" t="str">
        <f>UPPER(TEXT(ShoeSales[[#This Row],[Date]], "mmm"))</f>
        <v>MAR</v>
      </c>
    </row>
    <row r="80" spans="1:20" ht="14.25" customHeight="1" x14ac:dyDescent="0.25">
      <c r="A80" s="14">
        <v>46133</v>
      </c>
      <c r="B80" s="6" t="s">
        <v>79</v>
      </c>
      <c r="C80" s="16" t="str">
        <f>TRIM(PROPER(ShoeSales[[#This Row],[Product]]))</f>
        <v>Brogues</v>
      </c>
      <c r="D80" s="6" t="s">
        <v>28</v>
      </c>
      <c r="E80" s="44" t="str">
        <f>UPPER(ShoeSales[[#This Row],[Category]])</f>
        <v>FORMAL</v>
      </c>
      <c r="F80" s="6" t="s">
        <v>38</v>
      </c>
      <c r="G80" s="6" t="s">
        <v>46</v>
      </c>
      <c r="H80" s="16" t="str">
        <f>PROPER(ShoeSales[[#This Row],[Brand]])</f>
        <v>Clarks</v>
      </c>
      <c r="I80" s="6" t="s">
        <v>59</v>
      </c>
      <c r="J80" s="7">
        <v>11</v>
      </c>
      <c r="K80" s="6" t="s">
        <v>36</v>
      </c>
      <c r="L80" s="22">
        <f>VLOOKUP(ShoeSales[[#This Row],[Product Cleaned]],Price!$A$2:$C$9,2,FALSE)</f>
        <v>112</v>
      </c>
      <c r="M80" s="19">
        <f>_xlfn.XLOOKUP(ShoeSales[[#This Row],[Product Cleaned]],Price!$A$2:$A$9,Price!$B$2:$B$9)</f>
        <v>112</v>
      </c>
      <c r="N80" s="19">
        <f>_xlfn.XLOOKUP(ShoeSales[[#This Row],[Product Cleaned]],Price!$A$2:$A$9,Price!$C$2:$C$9)</f>
        <v>64</v>
      </c>
      <c r="O80" s="22">
        <f>ShoeSales[[#This Row],[Sell Price]]*ShoeSales[[#This Row],[Quantity]]</f>
        <v>1232</v>
      </c>
      <c r="P80" s="19">
        <f>ShoeSales[[#This Row],[Quantity]]*ShoeSales[[#This Row],[Cost Price]]</f>
        <v>704</v>
      </c>
      <c r="Q80" s="19">
        <f>ShoeSales[[#This Row],[Revenue]]-ShoeSales[[#This Row],[Cost]]</f>
        <v>528</v>
      </c>
      <c r="R80" s="24">
        <f>ShoeSales[[#This Row],[Profit]]/ShoeSales[[#This Row],[Revenue]]</f>
        <v>0.42857142857142855</v>
      </c>
      <c r="S80" s="19"/>
      <c r="T80" s="19" t="str">
        <f>UPPER(TEXT(ShoeSales[[#This Row],[Date]], "mmm"))</f>
        <v>APR</v>
      </c>
    </row>
    <row r="81" spans="1:20" ht="14.25" customHeight="1" x14ac:dyDescent="0.25">
      <c r="A81" s="15">
        <v>46219</v>
      </c>
      <c r="B81" s="9" t="s">
        <v>15</v>
      </c>
      <c r="C81" s="9" t="str">
        <f>TRIM(PROPER(ShoeSales[[#This Row],[Product]]))</f>
        <v>Slippers</v>
      </c>
      <c r="D81" s="9" t="s">
        <v>58</v>
      </c>
      <c r="E81" s="45" t="str">
        <f>UPPER(ShoeSales[[#This Row],[Category]])</f>
        <v>FORMAL</v>
      </c>
      <c r="F81" s="9" t="s">
        <v>34</v>
      </c>
      <c r="G81" s="9" t="s">
        <v>94</v>
      </c>
      <c r="H81" s="9" t="str">
        <f>PROPER(ShoeSales[[#This Row],[Brand]])</f>
        <v>Timberland</v>
      </c>
      <c r="I81" s="9" t="s">
        <v>91</v>
      </c>
      <c r="J81" s="10">
        <v>15</v>
      </c>
      <c r="K81" s="9" t="s">
        <v>36</v>
      </c>
      <c r="L81" s="22">
        <f>VLOOKUP(ShoeSales[[#This Row],[Product Cleaned]],Price!$A$2:$C$9,2,FALSE)</f>
        <v>119</v>
      </c>
      <c r="M81" s="19">
        <f>_xlfn.XLOOKUP(ShoeSales[[#This Row],[Product Cleaned]],Price!$A$2:$A$9,Price!$B$2:$B$9)</f>
        <v>119</v>
      </c>
      <c r="N81" s="19">
        <f>_xlfn.XLOOKUP(ShoeSales[[#This Row],[Product Cleaned]],Price!$A$2:$A$9,Price!$C$2:$C$9)</f>
        <v>67</v>
      </c>
      <c r="O81" s="22">
        <f>ShoeSales[[#This Row],[Sell Price]]*ShoeSales[[#This Row],[Quantity]]</f>
        <v>1785</v>
      </c>
      <c r="P81" s="19">
        <f>ShoeSales[[#This Row],[Quantity]]*ShoeSales[[#This Row],[Cost Price]]</f>
        <v>1005</v>
      </c>
      <c r="Q81" s="19">
        <f>ShoeSales[[#This Row],[Revenue]]-ShoeSales[[#This Row],[Cost]]</f>
        <v>780</v>
      </c>
      <c r="R81" s="24">
        <f>ShoeSales[[#This Row],[Profit]]/ShoeSales[[#This Row],[Revenue]]</f>
        <v>0.43697478991596639</v>
      </c>
      <c r="S81" s="19"/>
      <c r="T81" s="19" t="str">
        <f>UPPER(TEXT(ShoeSales[[#This Row],[Date]], "mmm"))</f>
        <v>JUL</v>
      </c>
    </row>
    <row r="82" spans="1:20" ht="14.25" customHeight="1" x14ac:dyDescent="0.25">
      <c r="A82" s="14">
        <v>46090</v>
      </c>
      <c r="B82" s="6" t="s">
        <v>9</v>
      </c>
      <c r="C82" s="16" t="str">
        <f>TRIM(PROPER(ShoeSales[[#This Row],[Product]]))</f>
        <v>Canvas</v>
      </c>
      <c r="D82" s="6" t="s">
        <v>45</v>
      </c>
      <c r="E82" s="44" t="str">
        <f>UPPER(ShoeSales[[#This Row],[Category]])</f>
        <v>CASUAL</v>
      </c>
      <c r="F82" s="6" t="s">
        <v>56</v>
      </c>
      <c r="G82" s="6" t="s">
        <v>72</v>
      </c>
      <c r="H82" s="16" t="str">
        <f>PROPER(ShoeSales[[#This Row],[Brand]])</f>
        <v>Zara</v>
      </c>
      <c r="I82" s="6" t="s">
        <v>78</v>
      </c>
      <c r="J82" s="7">
        <v>10</v>
      </c>
      <c r="K82" s="6" t="s">
        <v>32</v>
      </c>
      <c r="L82" s="22">
        <f>VLOOKUP(ShoeSales[[#This Row],[Product Cleaned]],Price!$A$2:$C$9,2,FALSE)</f>
        <v>128</v>
      </c>
      <c r="M82" s="19">
        <f>_xlfn.XLOOKUP(ShoeSales[[#This Row],[Product Cleaned]],Price!$A$2:$A$9,Price!$B$2:$B$9)</f>
        <v>128</v>
      </c>
      <c r="N82" s="19">
        <f>_xlfn.XLOOKUP(ShoeSales[[#This Row],[Product Cleaned]],Price!$A$2:$A$9,Price!$C$2:$C$9)</f>
        <v>72</v>
      </c>
      <c r="O82" s="22">
        <f>ShoeSales[[#This Row],[Sell Price]]*ShoeSales[[#This Row],[Quantity]]</f>
        <v>1280</v>
      </c>
      <c r="P82" s="19">
        <f>ShoeSales[[#This Row],[Quantity]]*ShoeSales[[#This Row],[Cost Price]]</f>
        <v>720</v>
      </c>
      <c r="Q82" s="19">
        <f>ShoeSales[[#This Row],[Revenue]]-ShoeSales[[#This Row],[Cost]]</f>
        <v>560</v>
      </c>
      <c r="R82" s="24">
        <f>ShoeSales[[#This Row],[Profit]]/ShoeSales[[#This Row],[Revenue]]</f>
        <v>0.4375</v>
      </c>
      <c r="S82" s="19"/>
      <c r="T82" s="19" t="str">
        <f>UPPER(TEXT(ShoeSales[[#This Row],[Date]], "mmm"))</f>
        <v>MAR</v>
      </c>
    </row>
    <row r="83" spans="1:20" ht="14.25" customHeight="1" x14ac:dyDescent="0.25">
      <c r="A83" s="15">
        <v>46117</v>
      </c>
      <c r="B83" s="9" t="s">
        <v>41</v>
      </c>
      <c r="C83" s="9" t="str">
        <f>TRIM(PROPER(ShoeSales[[#This Row],[Product]]))</f>
        <v>Boots</v>
      </c>
      <c r="D83" s="9" t="s">
        <v>48</v>
      </c>
      <c r="E83" s="45" t="str">
        <f>UPPER(ShoeSales[[#This Row],[Category]])</f>
        <v>UTILITY</v>
      </c>
      <c r="F83" s="9" t="s">
        <v>56</v>
      </c>
      <c r="G83" s="9" t="s">
        <v>69</v>
      </c>
      <c r="H83" s="9" t="str">
        <f>PROPER(ShoeSales[[#This Row],[Brand]])</f>
        <v>Zara</v>
      </c>
      <c r="I83" s="9" t="s">
        <v>61</v>
      </c>
      <c r="J83" s="10">
        <v>4</v>
      </c>
      <c r="K83" s="9" t="s">
        <v>32</v>
      </c>
      <c r="L83" s="22">
        <f>VLOOKUP(ShoeSales[[#This Row],[Product Cleaned]],Price!$A$2:$C$9,2,FALSE)</f>
        <v>76</v>
      </c>
      <c r="M83" s="19">
        <f>_xlfn.XLOOKUP(ShoeSales[[#This Row],[Product Cleaned]],Price!$A$2:$A$9,Price!$B$2:$B$9)</f>
        <v>76</v>
      </c>
      <c r="N83" s="19">
        <f>_xlfn.XLOOKUP(ShoeSales[[#This Row],[Product Cleaned]],Price!$A$2:$A$9,Price!$C$2:$C$9)</f>
        <v>39</v>
      </c>
      <c r="O83" s="22">
        <f>ShoeSales[[#This Row],[Sell Price]]*ShoeSales[[#This Row],[Quantity]]</f>
        <v>304</v>
      </c>
      <c r="P83" s="19">
        <f>ShoeSales[[#This Row],[Quantity]]*ShoeSales[[#This Row],[Cost Price]]</f>
        <v>156</v>
      </c>
      <c r="Q83" s="19">
        <f>ShoeSales[[#This Row],[Revenue]]-ShoeSales[[#This Row],[Cost]]</f>
        <v>148</v>
      </c>
      <c r="R83" s="24">
        <f>ShoeSales[[#This Row],[Profit]]/ShoeSales[[#This Row],[Revenue]]</f>
        <v>0.48684210526315791</v>
      </c>
      <c r="S83" s="19"/>
      <c r="T83" s="19" t="str">
        <f>UPPER(TEXT(ShoeSales[[#This Row],[Date]], "mmm"))</f>
        <v>APR</v>
      </c>
    </row>
    <row r="84" spans="1:20" ht="14.25" customHeight="1" x14ac:dyDescent="0.25">
      <c r="A84" s="14">
        <v>46097</v>
      </c>
      <c r="B84" s="6" t="s">
        <v>44</v>
      </c>
      <c r="C84" s="16" t="str">
        <f>TRIM(PROPER(ShoeSales[[#This Row],[Product]]))</f>
        <v>Boots</v>
      </c>
      <c r="D84" s="6" t="s">
        <v>71</v>
      </c>
      <c r="E84" s="44" t="str">
        <f>UPPER(ShoeSales[[#This Row],[Category]])</f>
        <v>CASUAL</v>
      </c>
      <c r="F84" s="6" t="s">
        <v>38</v>
      </c>
      <c r="G84" s="6" t="s">
        <v>80</v>
      </c>
      <c r="H84" s="16" t="str">
        <f>PROPER(ShoeSales[[#This Row],[Brand]])</f>
        <v>Steve Madden</v>
      </c>
      <c r="I84" s="6" t="s">
        <v>64</v>
      </c>
      <c r="J84" s="7">
        <v>7</v>
      </c>
      <c r="K84" s="6" t="s">
        <v>62</v>
      </c>
      <c r="L84" s="22">
        <f>VLOOKUP(ShoeSales[[#This Row],[Product Cleaned]],Price!$A$2:$C$9,2,FALSE)</f>
        <v>76</v>
      </c>
      <c r="M84" s="19">
        <f>_xlfn.XLOOKUP(ShoeSales[[#This Row],[Product Cleaned]],Price!$A$2:$A$9,Price!$B$2:$B$9)</f>
        <v>76</v>
      </c>
      <c r="N84" s="19">
        <f>_xlfn.XLOOKUP(ShoeSales[[#This Row],[Product Cleaned]],Price!$A$2:$A$9,Price!$C$2:$C$9)</f>
        <v>39</v>
      </c>
      <c r="O84" s="22">
        <f>ShoeSales[[#This Row],[Sell Price]]*ShoeSales[[#This Row],[Quantity]]</f>
        <v>532</v>
      </c>
      <c r="P84" s="19">
        <f>ShoeSales[[#This Row],[Quantity]]*ShoeSales[[#This Row],[Cost Price]]</f>
        <v>273</v>
      </c>
      <c r="Q84" s="19">
        <f>ShoeSales[[#This Row],[Revenue]]-ShoeSales[[#This Row],[Cost]]</f>
        <v>259</v>
      </c>
      <c r="R84" s="24">
        <f>ShoeSales[[#This Row],[Profit]]/ShoeSales[[#This Row],[Revenue]]</f>
        <v>0.48684210526315791</v>
      </c>
      <c r="S84" s="19"/>
      <c r="T84" s="19" t="str">
        <f>UPPER(TEXT(ShoeSales[[#This Row],[Date]], "mmm"))</f>
        <v>MAR</v>
      </c>
    </row>
    <row r="85" spans="1:20" ht="14.25" customHeight="1" x14ac:dyDescent="0.25">
      <c r="A85" s="15">
        <v>46041</v>
      </c>
      <c r="B85" s="9" t="s">
        <v>7</v>
      </c>
      <c r="C85" s="9" t="str">
        <f>TRIM(PROPER(ShoeSales[[#This Row],[Product]]))</f>
        <v>Derby</v>
      </c>
      <c r="D85" s="9" t="s">
        <v>42</v>
      </c>
      <c r="E85" s="45" t="str">
        <f>UPPER(ShoeSales[[#This Row],[Category]])</f>
        <v>UTILITY</v>
      </c>
      <c r="F85" s="9" t="s">
        <v>49</v>
      </c>
      <c r="G85" s="9" t="s">
        <v>81</v>
      </c>
      <c r="H85" s="9" t="str">
        <f>PROPER(ShoeSales[[#This Row],[Brand]])</f>
        <v>Steve Madden</v>
      </c>
      <c r="I85" s="9" t="s">
        <v>84</v>
      </c>
      <c r="J85" s="10">
        <v>7</v>
      </c>
      <c r="K85" s="9" t="s">
        <v>54</v>
      </c>
      <c r="L85" s="22">
        <f>VLOOKUP(ShoeSales[[#This Row],[Product Cleaned]],Price!$A$2:$C$9,2,FALSE)</f>
        <v>32</v>
      </c>
      <c r="M85" s="19">
        <f>_xlfn.XLOOKUP(ShoeSales[[#This Row],[Product Cleaned]],Price!$A$2:$A$9,Price!$B$2:$B$9)</f>
        <v>32</v>
      </c>
      <c r="N85" s="19">
        <f>_xlfn.XLOOKUP(ShoeSales[[#This Row],[Product Cleaned]],Price!$A$2:$A$9,Price!$C$2:$C$9)</f>
        <v>14</v>
      </c>
      <c r="O85" s="22">
        <f>ShoeSales[[#This Row],[Sell Price]]*ShoeSales[[#This Row],[Quantity]]</f>
        <v>224</v>
      </c>
      <c r="P85" s="19">
        <f>ShoeSales[[#This Row],[Quantity]]*ShoeSales[[#This Row],[Cost Price]]</f>
        <v>98</v>
      </c>
      <c r="Q85" s="19">
        <f>ShoeSales[[#This Row],[Revenue]]-ShoeSales[[#This Row],[Cost]]</f>
        <v>126</v>
      </c>
      <c r="R85" s="24">
        <f>ShoeSales[[#This Row],[Profit]]/ShoeSales[[#This Row],[Revenue]]</f>
        <v>0.5625</v>
      </c>
      <c r="S85" s="19"/>
      <c r="T85" s="19" t="str">
        <f>UPPER(TEXT(ShoeSales[[#This Row],[Date]], "mmm"))</f>
        <v>JAN</v>
      </c>
    </row>
    <row r="86" spans="1:20" ht="14.25" customHeight="1" x14ac:dyDescent="0.25">
      <c r="A86" s="14">
        <v>46187</v>
      </c>
      <c r="B86" s="6" t="s">
        <v>8</v>
      </c>
      <c r="C86" s="16" t="str">
        <f>TRIM(PROPER(ShoeSales[[#This Row],[Product]]))</f>
        <v>Boots</v>
      </c>
      <c r="D86" s="6" t="s">
        <v>28</v>
      </c>
      <c r="E86" s="44" t="str">
        <f>UPPER(ShoeSales[[#This Row],[Category]])</f>
        <v>FORMAL</v>
      </c>
      <c r="F86" s="6" t="s">
        <v>38</v>
      </c>
      <c r="G86" s="6" t="s">
        <v>69</v>
      </c>
      <c r="H86" s="16" t="str">
        <f>PROPER(ShoeSales[[#This Row],[Brand]])</f>
        <v>Zara</v>
      </c>
      <c r="I86" s="6" t="s">
        <v>40</v>
      </c>
      <c r="J86" s="7">
        <v>13</v>
      </c>
      <c r="K86" s="6" t="s">
        <v>62</v>
      </c>
      <c r="L86" s="22">
        <f>VLOOKUP(ShoeSales[[#This Row],[Product Cleaned]],Price!$A$2:$C$9,2,FALSE)</f>
        <v>76</v>
      </c>
      <c r="M86" s="19">
        <f>_xlfn.XLOOKUP(ShoeSales[[#This Row],[Product Cleaned]],Price!$A$2:$A$9,Price!$B$2:$B$9)</f>
        <v>76</v>
      </c>
      <c r="N86" s="19">
        <f>_xlfn.XLOOKUP(ShoeSales[[#This Row],[Product Cleaned]],Price!$A$2:$A$9,Price!$C$2:$C$9)</f>
        <v>39</v>
      </c>
      <c r="O86" s="22">
        <f>ShoeSales[[#This Row],[Sell Price]]*ShoeSales[[#This Row],[Quantity]]</f>
        <v>988</v>
      </c>
      <c r="P86" s="19">
        <f>ShoeSales[[#This Row],[Quantity]]*ShoeSales[[#This Row],[Cost Price]]</f>
        <v>507</v>
      </c>
      <c r="Q86" s="19">
        <f>ShoeSales[[#This Row],[Revenue]]-ShoeSales[[#This Row],[Cost]]</f>
        <v>481</v>
      </c>
      <c r="R86" s="24">
        <f>ShoeSales[[#This Row],[Profit]]/ShoeSales[[#This Row],[Revenue]]</f>
        <v>0.48684210526315791</v>
      </c>
      <c r="S86" s="19"/>
      <c r="T86" s="19" t="str">
        <f>UPPER(TEXT(ShoeSales[[#This Row],[Date]], "mmm"))</f>
        <v>JUN</v>
      </c>
    </row>
    <row r="87" spans="1:20" ht="14.25" customHeight="1" x14ac:dyDescent="0.25">
      <c r="A87" s="15">
        <v>46144</v>
      </c>
      <c r="B87" s="9" t="s">
        <v>6</v>
      </c>
      <c r="C87" s="9" t="str">
        <f>TRIM(PROPER(ShoeSales[[#This Row],[Product]]))</f>
        <v>Loafers</v>
      </c>
      <c r="D87" s="9" t="s">
        <v>42</v>
      </c>
      <c r="E87" s="45" t="str">
        <f>UPPER(ShoeSales[[#This Row],[Category]])</f>
        <v>UTILITY</v>
      </c>
      <c r="F87" s="9" t="s">
        <v>38</v>
      </c>
      <c r="G87" s="9" t="s">
        <v>57</v>
      </c>
      <c r="H87" s="9" t="str">
        <f>PROPER(ShoeSales[[#This Row],[Brand]])</f>
        <v>Timberland</v>
      </c>
      <c r="I87" s="9" t="s">
        <v>84</v>
      </c>
      <c r="J87" s="10">
        <v>12</v>
      </c>
      <c r="K87" s="9" t="s">
        <v>32</v>
      </c>
      <c r="L87" s="22">
        <f>VLOOKUP(ShoeSales[[#This Row],[Product Cleaned]],Price!$A$2:$C$9,2,FALSE)</f>
        <v>54</v>
      </c>
      <c r="M87" s="19">
        <f>_xlfn.XLOOKUP(ShoeSales[[#This Row],[Product Cleaned]],Price!$A$2:$A$9,Price!$B$2:$B$9)</f>
        <v>54</v>
      </c>
      <c r="N87" s="19">
        <f>_xlfn.XLOOKUP(ShoeSales[[#This Row],[Product Cleaned]],Price!$A$2:$A$9,Price!$C$2:$C$9)</f>
        <v>28</v>
      </c>
      <c r="O87" s="22">
        <f>ShoeSales[[#This Row],[Sell Price]]*ShoeSales[[#This Row],[Quantity]]</f>
        <v>648</v>
      </c>
      <c r="P87" s="19">
        <f>ShoeSales[[#This Row],[Quantity]]*ShoeSales[[#This Row],[Cost Price]]</f>
        <v>336</v>
      </c>
      <c r="Q87" s="19">
        <f>ShoeSales[[#This Row],[Revenue]]-ShoeSales[[#This Row],[Cost]]</f>
        <v>312</v>
      </c>
      <c r="R87" s="24">
        <f>ShoeSales[[#This Row],[Profit]]/ShoeSales[[#This Row],[Revenue]]</f>
        <v>0.48148148148148145</v>
      </c>
      <c r="S87" s="19"/>
      <c r="T87" s="19" t="str">
        <f>UPPER(TEXT(ShoeSales[[#This Row],[Date]], "mmm"))</f>
        <v>MAY</v>
      </c>
    </row>
    <row r="88" spans="1:20" ht="14.25" customHeight="1" x14ac:dyDescent="0.25">
      <c r="A88" s="14">
        <v>46057</v>
      </c>
      <c r="B88" s="6" t="s">
        <v>44</v>
      </c>
      <c r="C88" s="16" t="str">
        <f>TRIM(PROPER(ShoeSales[[#This Row],[Product]]))</f>
        <v>Boots</v>
      </c>
      <c r="D88" s="6" t="s">
        <v>45</v>
      </c>
      <c r="E88" s="44" t="str">
        <f>UPPER(ShoeSales[[#This Row],[Category]])</f>
        <v>CASUAL</v>
      </c>
      <c r="F88" s="6" t="s">
        <v>29</v>
      </c>
      <c r="G88" s="6" t="s">
        <v>94</v>
      </c>
      <c r="H88" s="16" t="str">
        <f>PROPER(ShoeSales[[#This Row],[Brand]])</f>
        <v>Timberland</v>
      </c>
      <c r="I88" s="6" t="s">
        <v>31</v>
      </c>
      <c r="J88" s="7">
        <v>14</v>
      </c>
      <c r="K88" s="6" t="s">
        <v>54</v>
      </c>
      <c r="L88" s="22">
        <f>VLOOKUP(ShoeSales[[#This Row],[Product Cleaned]],Price!$A$2:$C$9,2,FALSE)</f>
        <v>76</v>
      </c>
      <c r="M88" s="19">
        <f>_xlfn.XLOOKUP(ShoeSales[[#This Row],[Product Cleaned]],Price!$A$2:$A$9,Price!$B$2:$B$9)</f>
        <v>76</v>
      </c>
      <c r="N88" s="19">
        <f>_xlfn.XLOOKUP(ShoeSales[[#This Row],[Product Cleaned]],Price!$A$2:$A$9,Price!$C$2:$C$9)</f>
        <v>39</v>
      </c>
      <c r="O88" s="22">
        <f>ShoeSales[[#This Row],[Sell Price]]*ShoeSales[[#This Row],[Quantity]]</f>
        <v>1064</v>
      </c>
      <c r="P88" s="19">
        <f>ShoeSales[[#This Row],[Quantity]]*ShoeSales[[#This Row],[Cost Price]]</f>
        <v>546</v>
      </c>
      <c r="Q88" s="19">
        <f>ShoeSales[[#This Row],[Revenue]]-ShoeSales[[#This Row],[Cost]]</f>
        <v>518</v>
      </c>
      <c r="R88" s="24">
        <f>ShoeSales[[#This Row],[Profit]]/ShoeSales[[#This Row],[Revenue]]</f>
        <v>0.48684210526315791</v>
      </c>
      <c r="S88" s="19"/>
      <c r="T88" s="19" t="str">
        <f>UPPER(TEXT(ShoeSales[[#This Row],[Date]], "mmm"))</f>
        <v>FEB</v>
      </c>
    </row>
    <row r="89" spans="1:20" ht="14.25" customHeight="1" x14ac:dyDescent="0.25">
      <c r="A89" s="15">
        <v>46067</v>
      </c>
      <c r="B89" s="9" t="s">
        <v>67</v>
      </c>
      <c r="C89" s="9" t="str">
        <f>TRIM(PROPER(ShoeSales[[#This Row],[Product]]))</f>
        <v>Oxford</v>
      </c>
      <c r="D89" s="9" t="s">
        <v>28</v>
      </c>
      <c r="E89" s="45" t="str">
        <f>UPPER(ShoeSales[[#This Row],[Category]])</f>
        <v>FORMAL</v>
      </c>
      <c r="F89" s="9" t="s">
        <v>56</v>
      </c>
      <c r="G89" s="9" t="s">
        <v>39</v>
      </c>
      <c r="H89" s="9" t="str">
        <f>PROPER(ShoeSales[[#This Row],[Brand]])</f>
        <v>Clarks</v>
      </c>
      <c r="I89" s="9" t="s">
        <v>84</v>
      </c>
      <c r="J89" s="10">
        <v>8</v>
      </c>
      <c r="K89" s="9" t="s">
        <v>54</v>
      </c>
      <c r="L89" s="22">
        <f>VLOOKUP(ShoeSales[[#This Row],[Product Cleaned]],Price!$A$2:$C$9,2,FALSE)</f>
        <v>105</v>
      </c>
      <c r="M89" s="19">
        <f>_xlfn.XLOOKUP(ShoeSales[[#This Row],[Product Cleaned]],Price!$A$2:$A$9,Price!$B$2:$B$9)</f>
        <v>105</v>
      </c>
      <c r="N89" s="19">
        <f>_xlfn.XLOOKUP(ShoeSales[[#This Row],[Product Cleaned]],Price!$A$2:$A$9,Price!$C$2:$C$9)</f>
        <v>58</v>
      </c>
      <c r="O89" s="22">
        <f>ShoeSales[[#This Row],[Sell Price]]*ShoeSales[[#This Row],[Quantity]]</f>
        <v>840</v>
      </c>
      <c r="P89" s="19">
        <f>ShoeSales[[#This Row],[Quantity]]*ShoeSales[[#This Row],[Cost Price]]</f>
        <v>464</v>
      </c>
      <c r="Q89" s="19">
        <f>ShoeSales[[#This Row],[Revenue]]-ShoeSales[[#This Row],[Cost]]</f>
        <v>376</v>
      </c>
      <c r="R89" s="24">
        <f>ShoeSales[[#This Row],[Profit]]/ShoeSales[[#This Row],[Revenue]]</f>
        <v>0.44761904761904764</v>
      </c>
      <c r="S89" s="19"/>
      <c r="T89" s="19" t="str">
        <f>UPPER(TEXT(ShoeSales[[#This Row],[Date]], "mmm"))</f>
        <v>FEB</v>
      </c>
    </row>
    <row r="90" spans="1:20" ht="14.25" customHeight="1" x14ac:dyDescent="0.25">
      <c r="A90" s="14">
        <v>46099</v>
      </c>
      <c r="B90" s="6" t="s">
        <v>41</v>
      </c>
      <c r="C90" s="16" t="str">
        <f>TRIM(PROPER(ShoeSales[[#This Row],[Product]]))</f>
        <v>Boots</v>
      </c>
      <c r="D90" s="6" t="s">
        <v>58</v>
      </c>
      <c r="E90" s="44" t="str">
        <f>UPPER(ShoeSales[[#This Row],[Category]])</f>
        <v>FORMAL</v>
      </c>
      <c r="F90" s="6" t="s">
        <v>38</v>
      </c>
      <c r="G90" s="6" t="s">
        <v>46</v>
      </c>
      <c r="H90" s="16" t="str">
        <f>PROPER(ShoeSales[[#This Row],[Brand]])</f>
        <v>Clarks</v>
      </c>
      <c r="I90" s="6" t="s">
        <v>61</v>
      </c>
      <c r="J90" s="7">
        <v>3</v>
      </c>
      <c r="K90" s="6" t="s">
        <v>32</v>
      </c>
      <c r="L90" s="22">
        <f>VLOOKUP(ShoeSales[[#This Row],[Product Cleaned]],Price!$A$2:$C$9,2,FALSE)</f>
        <v>76</v>
      </c>
      <c r="M90" s="19">
        <f>_xlfn.XLOOKUP(ShoeSales[[#This Row],[Product Cleaned]],Price!$A$2:$A$9,Price!$B$2:$B$9)</f>
        <v>76</v>
      </c>
      <c r="N90" s="19">
        <f>_xlfn.XLOOKUP(ShoeSales[[#This Row],[Product Cleaned]],Price!$A$2:$A$9,Price!$C$2:$C$9)</f>
        <v>39</v>
      </c>
      <c r="O90" s="22">
        <f>ShoeSales[[#This Row],[Sell Price]]*ShoeSales[[#This Row],[Quantity]]</f>
        <v>228</v>
      </c>
      <c r="P90" s="19">
        <f>ShoeSales[[#This Row],[Quantity]]*ShoeSales[[#This Row],[Cost Price]]</f>
        <v>117</v>
      </c>
      <c r="Q90" s="19">
        <f>ShoeSales[[#This Row],[Revenue]]-ShoeSales[[#This Row],[Cost]]</f>
        <v>111</v>
      </c>
      <c r="R90" s="24">
        <f>ShoeSales[[#This Row],[Profit]]/ShoeSales[[#This Row],[Revenue]]</f>
        <v>0.48684210526315791</v>
      </c>
      <c r="S90" s="19"/>
      <c r="T90" s="19" t="str">
        <f>UPPER(TEXT(ShoeSales[[#This Row],[Date]], "mmm"))</f>
        <v>MAR</v>
      </c>
    </row>
    <row r="91" spans="1:20" ht="14.25" customHeight="1" x14ac:dyDescent="0.25">
      <c r="A91" s="15">
        <v>46090</v>
      </c>
      <c r="B91" s="9" t="s">
        <v>7</v>
      </c>
      <c r="C91" s="9" t="str">
        <f>TRIM(PROPER(ShoeSales[[#This Row],[Product]]))</f>
        <v>Derby</v>
      </c>
      <c r="D91" s="9" t="s">
        <v>42</v>
      </c>
      <c r="E91" s="45" t="str">
        <f>UPPER(ShoeSales[[#This Row],[Category]])</f>
        <v>UTILITY</v>
      </c>
      <c r="F91" s="9" t="s">
        <v>34</v>
      </c>
      <c r="G91" s="9" t="s">
        <v>75</v>
      </c>
      <c r="H91" s="9" t="str">
        <f>PROPER(ShoeSales[[#This Row],[Brand]])</f>
        <v>Steve Madden</v>
      </c>
      <c r="I91" s="9" t="s">
        <v>51</v>
      </c>
      <c r="J91" s="10">
        <v>8</v>
      </c>
      <c r="K91" s="9" t="s">
        <v>36</v>
      </c>
      <c r="L91" s="22">
        <f>VLOOKUP(ShoeSales[[#This Row],[Product Cleaned]],Price!$A$2:$C$9,2,FALSE)</f>
        <v>32</v>
      </c>
      <c r="M91" s="19">
        <f>_xlfn.XLOOKUP(ShoeSales[[#This Row],[Product Cleaned]],Price!$A$2:$A$9,Price!$B$2:$B$9)</f>
        <v>32</v>
      </c>
      <c r="N91" s="19">
        <f>_xlfn.XLOOKUP(ShoeSales[[#This Row],[Product Cleaned]],Price!$A$2:$A$9,Price!$C$2:$C$9)</f>
        <v>14</v>
      </c>
      <c r="O91" s="22">
        <f>ShoeSales[[#This Row],[Sell Price]]*ShoeSales[[#This Row],[Quantity]]</f>
        <v>256</v>
      </c>
      <c r="P91" s="19">
        <f>ShoeSales[[#This Row],[Quantity]]*ShoeSales[[#This Row],[Cost Price]]</f>
        <v>112</v>
      </c>
      <c r="Q91" s="19">
        <f>ShoeSales[[#This Row],[Revenue]]-ShoeSales[[#This Row],[Cost]]</f>
        <v>144</v>
      </c>
      <c r="R91" s="24">
        <f>ShoeSales[[#This Row],[Profit]]/ShoeSales[[#This Row],[Revenue]]</f>
        <v>0.5625</v>
      </c>
      <c r="S91" s="19"/>
      <c r="T91" s="19" t="str">
        <f>UPPER(TEXT(ShoeSales[[#This Row],[Date]], "mmm"))</f>
        <v>MAR</v>
      </c>
    </row>
    <row r="92" spans="1:20" ht="14.25" customHeight="1" x14ac:dyDescent="0.25">
      <c r="A92" s="14">
        <v>46111</v>
      </c>
      <c r="B92" s="6" t="s">
        <v>15</v>
      </c>
      <c r="C92" s="16" t="str">
        <f>TRIM(PROPER(ShoeSales[[#This Row],[Product]]))</f>
        <v>Slippers</v>
      </c>
      <c r="D92" s="6" t="s">
        <v>48</v>
      </c>
      <c r="E92" s="44" t="str">
        <f>UPPER(ShoeSales[[#This Row],[Category]])</f>
        <v>UTILITY</v>
      </c>
      <c r="F92" s="6" t="s">
        <v>38</v>
      </c>
      <c r="G92" s="6" t="s">
        <v>82</v>
      </c>
      <c r="H92" s="16" t="str">
        <f>PROPER(ShoeSales[[#This Row],[Brand]])</f>
        <v>Zara</v>
      </c>
      <c r="I92" s="6" t="s">
        <v>51</v>
      </c>
      <c r="J92" s="7">
        <v>14</v>
      </c>
      <c r="K92" s="6" t="s">
        <v>32</v>
      </c>
      <c r="L92" s="22">
        <f>VLOOKUP(ShoeSales[[#This Row],[Product Cleaned]],Price!$A$2:$C$9,2,FALSE)</f>
        <v>119</v>
      </c>
      <c r="M92" s="19">
        <f>_xlfn.XLOOKUP(ShoeSales[[#This Row],[Product Cleaned]],Price!$A$2:$A$9,Price!$B$2:$B$9)</f>
        <v>119</v>
      </c>
      <c r="N92" s="19">
        <f>_xlfn.XLOOKUP(ShoeSales[[#This Row],[Product Cleaned]],Price!$A$2:$A$9,Price!$C$2:$C$9)</f>
        <v>67</v>
      </c>
      <c r="O92" s="22">
        <f>ShoeSales[[#This Row],[Sell Price]]*ShoeSales[[#This Row],[Quantity]]</f>
        <v>1666</v>
      </c>
      <c r="P92" s="19">
        <f>ShoeSales[[#This Row],[Quantity]]*ShoeSales[[#This Row],[Cost Price]]</f>
        <v>938</v>
      </c>
      <c r="Q92" s="19">
        <f>ShoeSales[[#This Row],[Revenue]]-ShoeSales[[#This Row],[Cost]]</f>
        <v>728</v>
      </c>
      <c r="R92" s="24">
        <f>ShoeSales[[#This Row],[Profit]]/ShoeSales[[#This Row],[Revenue]]</f>
        <v>0.43697478991596639</v>
      </c>
      <c r="S92" s="19"/>
      <c r="T92" s="19" t="str">
        <f>UPPER(TEXT(ShoeSales[[#This Row],[Date]], "mmm"))</f>
        <v>MAR</v>
      </c>
    </row>
    <row r="93" spans="1:20" ht="14.25" customHeight="1" x14ac:dyDescent="0.25">
      <c r="A93" s="15">
        <v>46204</v>
      </c>
      <c r="B93" s="9" t="s">
        <v>79</v>
      </c>
      <c r="C93" s="9" t="str">
        <f>TRIM(PROPER(ShoeSales[[#This Row],[Product]]))</f>
        <v>Brogues</v>
      </c>
      <c r="D93" s="9" t="s">
        <v>58</v>
      </c>
      <c r="E93" s="45" t="str">
        <f>UPPER(ShoeSales[[#This Row],[Category]])</f>
        <v>FORMAL</v>
      </c>
      <c r="F93" s="9" t="s">
        <v>38</v>
      </c>
      <c r="G93" s="9" t="s">
        <v>80</v>
      </c>
      <c r="H93" s="9" t="str">
        <f>PROPER(ShoeSales[[#This Row],[Brand]])</f>
        <v>Steve Madden</v>
      </c>
      <c r="I93" s="9" t="s">
        <v>40</v>
      </c>
      <c r="J93" s="10">
        <v>7</v>
      </c>
      <c r="K93" s="9" t="s">
        <v>62</v>
      </c>
      <c r="L93" s="22">
        <f>VLOOKUP(ShoeSales[[#This Row],[Product Cleaned]],Price!$A$2:$C$9,2,FALSE)</f>
        <v>112</v>
      </c>
      <c r="M93" s="19">
        <f>_xlfn.XLOOKUP(ShoeSales[[#This Row],[Product Cleaned]],Price!$A$2:$A$9,Price!$B$2:$B$9)</f>
        <v>112</v>
      </c>
      <c r="N93" s="19">
        <f>_xlfn.XLOOKUP(ShoeSales[[#This Row],[Product Cleaned]],Price!$A$2:$A$9,Price!$C$2:$C$9)</f>
        <v>64</v>
      </c>
      <c r="O93" s="22">
        <f>ShoeSales[[#This Row],[Sell Price]]*ShoeSales[[#This Row],[Quantity]]</f>
        <v>784</v>
      </c>
      <c r="P93" s="19">
        <f>ShoeSales[[#This Row],[Quantity]]*ShoeSales[[#This Row],[Cost Price]]</f>
        <v>448</v>
      </c>
      <c r="Q93" s="19">
        <f>ShoeSales[[#This Row],[Revenue]]-ShoeSales[[#This Row],[Cost]]</f>
        <v>336</v>
      </c>
      <c r="R93" s="24">
        <f>ShoeSales[[#This Row],[Profit]]/ShoeSales[[#This Row],[Revenue]]</f>
        <v>0.42857142857142855</v>
      </c>
      <c r="S93" s="19"/>
      <c r="T93" s="19" t="str">
        <f>UPPER(TEXT(ShoeSales[[#This Row],[Date]], "mmm"))</f>
        <v>JUL</v>
      </c>
    </row>
    <row r="94" spans="1:20" ht="14.25" customHeight="1" x14ac:dyDescent="0.25">
      <c r="A94" s="14">
        <v>46246</v>
      </c>
      <c r="B94" s="6" t="s">
        <v>90</v>
      </c>
      <c r="C94" s="16" t="str">
        <f>TRIM(PROPER(ShoeSales[[#This Row],[Product]]))</f>
        <v>Loafers</v>
      </c>
      <c r="D94" s="6" t="s">
        <v>93</v>
      </c>
      <c r="E94" s="44" t="str">
        <f>UPPER(ShoeSales[[#This Row],[Category]])</f>
        <v>UTILITY</v>
      </c>
      <c r="F94" s="6" t="s">
        <v>56</v>
      </c>
      <c r="G94" s="6" t="s">
        <v>46</v>
      </c>
      <c r="H94" s="16" t="str">
        <f>PROPER(ShoeSales[[#This Row],[Brand]])</f>
        <v>Clarks</v>
      </c>
      <c r="I94" s="6" t="s">
        <v>47</v>
      </c>
      <c r="J94" s="7">
        <v>5</v>
      </c>
      <c r="K94" s="6" t="s">
        <v>54</v>
      </c>
      <c r="L94" s="22">
        <f>VLOOKUP(ShoeSales[[#This Row],[Product Cleaned]],Price!$A$2:$C$9,2,FALSE)</f>
        <v>54</v>
      </c>
      <c r="M94" s="19">
        <f>_xlfn.XLOOKUP(ShoeSales[[#This Row],[Product Cleaned]],Price!$A$2:$A$9,Price!$B$2:$B$9)</f>
        <v>54</v>
      </c>
      <c r="N94" s="19">
        <f>_xlfn.XLOOKUP(ShoeSales[[#This Row],[Product Cleaned]],Price!$A$2:$A$9,Price!$C$2:$C$9)</f>
        <v>28</v>
      </c>
      <c r="O94" s="22">
        <f>ShoeSales[[#This Row],[Sell Price]]*ShoeSales[[#This Row],[Quantity]]</f>
        <v>270</v>
      </c>
      <c r="P94" s="19">
        <f>ShoeSales[[#This Row],[Quantity]]*ShoeSales[[#This Row],[Cost Price]]</f>
        <v>140</v>
      </c>
      <c r="Q94" s="19">
        <f>ShoeSales[[#This Row],[Revenue]]-ShoeSales[[#This Row],[Cost]]</f>
        <v>130</v>
      </c>
      <c r="R94" s="24">
        <f>ShoeSales[[#This Row],[Profit]]/ShoeSales[[#This Row],[Revenue]]</f>
        <v>0.48148148148148145</v>
      </c>
      <c r="S94" s="19"/>
      <c r="T94" s="19" t="str">
        <f>UPPER(TEXT(ShoeSales[[#This Row],[Date]], "mmm"))</f>
        <v>AUG</v>
      </c>
    </row>
    <row r="95" spans="1:20" ht="14.25" customHeight="1" x14ac:dyDescent="0.25">
      <c r="A95" s="15">
        <v>46033</v>
      </c>
      <c r="B95" s="9" t="s">
        <v>10</v>
      </c>
      <c r="C95" s="9" t="str">
        <f>TRIM(PROPER(ShoeSales[[#This Row],[Product]]))</f>
        <v>Oxford</v>
      </c>
      <c r="D95" s="9" t="s">
        <v>28</v>
      </c>
      <c r="E95" s="45" t="str">
        <f>UPPER(ShoeSales[[#This Row],[Category]])</f>
        <v>FORMAL</v>
      </c>
      <c r="F95" s="9" t="s">
        <v>38</v>
      </c>
      <c r="G95" s="9" t="s">
        <v>80</v>
      </c>
      <c r="H95" s="9" t="str">
        <f>PROPER(ShoeSales[[#This Row],[Brand]])</f>
        <v>Steve Madden</v>
      </c>
      <c r="I95" s="9" t="s">
        <v>40</v>
      </c>
      <c r="J95" s="10">
        <v>14</v>
      </c>
      <c r="K95" s="9" t="s">
        <v>54</v>
      </c>
      <c r="L95" s="22">
        <f>VLOOKUP(ShoeSales[[#This Row],[Product Cleaned]],Price!$A$2:$C$9,2,FALSE)</f>
        <v>105</v>
      </c>
      <c r="M95" s="19">
        <f>_xlfn.XLOOKUP(ShoeSales[[#This Row],[Product Cleaned]],Price!$A$2:$A$9,Price!$B$2:$B$9)</f>
        <v>105</v>
      </c>
      <c r="N95" s="19">
        <f>_xlfn.XLOOKUP(ShoeSales[[#This Row],[Product Cleaned]],Price!$A$2:$A$9,Price!$C$2:$C$9)</f>
        <v>58</v>
      </c>
      <c r="O95" s="22">
        <f>ShoeSales[[#This Row],[Sell Price]]*ShoeSales[[#This Row],[Quantity]]</f>
        <v>1470</v>
      </c>
      <c r="P95" s="19">
        <f>ShoeSales[[#This Row],[Quantity]]*ShoeSales[[#This Row],[Cost Price]]</f>
        <v>812</v>
      </c>
      <c r="Q95" s="19">
        <f>ShoeSales[[#This Row],[Revenue]]-ShoeSales[[#This Row],[Cost]]</f>
        <v>658</v>
      </c>
      <c r="R95" s="24">
        <f>ShoeSales[[#This Row],[Profit]]/ShoeSales[[#This Row],[Revenue]]</f>
        <v>0.44761904761904764</v>
      </c>
      <c r="S95" s="19"/>
      <c r="T95" s="19" t="str">
        <f>UPPER(TEXT(ShoeSales[[#This Row],[Date]], "mmm"))</f>
        <v>JAN</v>
      </c>
    </row>
    <row r="96" spans="1:20" ht="14.25" customHeight="1" x14ac:dyDescent="0.25">
      <c r="A96" s="14">
        <v>46203</v>
      </c>
      <c r="B96" s="6" t="s">
        <v>88</v>
      </c>
      <c r="C96" s="16" t="str">
        <f>TRIM(PROPER(ShoeSales[[#This Row],[Product]]))</f>
        <v>Slippers</v>
      </c>
      <c r="D96" s="6" t="s">
        <v>87</v>
      </c>
      <c r="E96" s="44" t="str">
        <f>UPPER(ShoeSales[[#This Row],[Category]])</f>
        <v>OPEN</v>
      </c>
      <c r="F96" s="6" t="s">
        <v>29</v>
      </c>
      <c r="G96" s="6" t="s">
        <v>63</v>
      </c>
      <c r="H96" s="16" t="str">
        <f>PROPER(ShoeSales[[#This Row],[Brand]])</f>
        <v>Clarks</v>
      </c>
      <c r="I96" s="6" t="s">
        <v>53</v>
      </c>
      <c r="J96" s="7">
        <v>6</v>
      </c>
      <c r="K96" s="6" t="s">
        <v>54</v>
      </c>
      <c r="L96" s="22">
        <f>VLOOKUP(ShoeSales[[#This Row],[Product Cleaned]],Price!$A$2:$C$9,2,FALSE)</f>
        <v>119</v>
      </c>
      <c r="M96" s="19">
        <f>_xlfn.XLOOKUP(ShoeSales[[#This Row],[Product Cleaned]],Price!$A$2:$A$9,Price!$B$2:$B$9)</f>
        <v>119</v>
      </c>
      <c r="N96" s="19">
        <f>_xlfn.XLOOKUP(ShoeSales[[#This Row],[Product Cleaned]],Price!$A$2:$A$9,Price!$C$2:$C$9)</f>
        <v>67</v>
      </c>
      <c r="O96" s="22">
        <f>ShoeSales[[#This Row],[Sell Price]]*ShoeSales[[#This Row],[Quantity]]</f>
        <v>714</v>
      </c>
      <c r="P96" s="19">
        <f>ShoeSales[[#This Row],[Quantity]]*ShoeSales[[#This Row],[Cost Price]]</f>
        <v>402</v>
      </c>
      <c r="Q96" s="19">
        <f>ShoeSales[[#This Row],[Revenue]]-ShoeSales[[#This Row],[Cost]]</f>
        <v>312</v>
      </c>
      <c r="R96" s="24">
        <f>ShoeSales[[#This Row],[Profit]]/ShoeSales[[#This Row],[Revenue]]</f>
        <v>0.43697478991596639</v>
      </c>
      <c r="S96" s="19"/>
      <c r="T96" s="19" t="str">
        <f>UPPER(TEXT(ShoeSales[[#This Row],[Date]], "mmm"))</f>
        <v>JUN</v>
      </c>
    </row>
    <row r="97" spans="1:20" ht="14.25" customHeight="1" x14ac:dyDescent="0.25">
      <c r="A97" s="15">
        <v>46044</v>
      </c>
      <c r="B97" s="9" t="s">
        <v>15</v>
      </c>
      <c r="C97" s="9" t="str">
        <f>TRIM(PROPER(ShoeSales[[#This Row],[Product]]))</f>
        <v>Slippers</v>
      </c>
      <c r="D97" s="9" t="s">
        <v>77</v>
      </c>
      <c r="E97" s="45" t="str">
        <f>UPPER(ShoeSales[[#This Row],[Category]])</f>
        <v>CASUAL</v>
      </c>
      <c r="F97" s="9" t="s">
        <v>29</v>
      </c>
      <c r="G97" s="9" t="s">
        <v>35</v>
      </c>
      <c r="H97" s="9" t="str">
        <f>PROPER(ShoeSales[[#This Row],[Brand]])</f>
        <v>Nike</v>
      </c>
      <c r="I97" s="9" t="s">
        <v>40</v>
      </c>
      <c r="J97" s="10">
        <v>7</v>
      </c>
      <c r="K97" s="9" t="s">
        <v>36</v>
      </c>
      <c r="L97" s="22">
        <f>VLOOKUP(ShoeSales[[#This Row],[Product Cleaned]],Price!$A$2:$C$9,2,FALSE)</f>
        <v>119</v>
      </c>
      <c r="M97" s="19">
        <f>_xlfn.XLOOKUP(ShoeSales[[#This Row],[Product Cleaned]],Price!$A$2:$A$9,Price!$B$2:$B$9)</f>
        <v>119</v>
      </c>
      <c r="N97" s="19">
        <f>_xlfn.XLOOKUP(ShoeSales[[#This Row],[Product Cleaned]],Price!$A$2:$A$9,Price!$C$2:$C$9)</f>
        <v>67</v>
      </c>
      <c r="O97" s="22">
        <f>ShoeSales[[#This Row],[Sell Price]]*ShoeSales[[#This Row],[Quantity]]</f>
        <v>833</v>
      </c>
      <c r="P97" s="19">
        <f>ShoeSales[[#This Row],[Quantity]]*ShoeSales[[#This Row],[Cost Price]]</f>
        <v>469</v>
      </c>
      <c r="Q97" s="19">
        <f>ShoeSales[[#This Row],[Revenue]]-ShoeSales[[#This Row],[Cost]]</f>
        <v>364</v>
      </c>
      <c r="R97" s="24">
        <f>ShoeSales[[#This Row],[Profit]]/ShoeSales[[#This Row],[Revenue]]</f>
        <v>0.43697478991596639</v>
      </c>
      <c r="S97" s="19"/>
      <c r="T97" s="19" t="str">
        <f>UPPER(TEXT(ShoeSales[[#This Row],[Date]], "mmm"))</f>
        <v>JAN</v>
      </c>
    </row>
    <row r="98" spans="1:20" ht="14.25" customHeight="1" x14ac:dyDescent="0.25">
      <c r="A98" s="14">
        <v>46223</v>
      </c>
      <c r="B98" s="6" t="s">
        <v>6</v>
      </c>
      <c r="C98" s="16" t="str">
        <f>TRIM(PROPER(ShoeSales[[#This Row],[Product]]))</f>
        <v>Loafers</v>
      </c>
      <c r="D98" s="6" t="s">
        <v>58</v>
      </c>
      <c r="E98" s="44" t="str">
        <f>UPPER(ShoeSales[[#This Row],[Category]])</f>
        <v>FORMAL</v>
      </c>
      <c r="F98" s="6" t="s">
        <v>38</v>
      </c>
      <c r="G98" s="6" t="s">
        <v>63</v>
      </c>
      <c r="H98" s="16" t="str">
        <f>PROPER(ShoeSales[[#This Row],[Brand]])</f>
        <v>Clarks</v>
      </c>
      <c r="I98" s="6" t="s">
        <v>43</v>
      </c>
      <c r="J98" s="7">
        <v>9</v>
      </c>
      <c r="K98" s="6" t="s">
        <v>32</v>
      </c>
      <c r="L98" s="22">
        <f>VLOOKUP(ShoeSales[[#This Row],[Product Cleaned]],Price!$A$2:$C$9,2,FALSE)</f>
        <v>54</v>
      </c>
      <c r="M98" s="19">
        <f>_xlfn.XLOOKUP(ShoeSales[[#This Row],[Product Cleaned]],Price!$A$2:$A$9,Price!$B$2:$B$9)</f>
        <v>54</v>
      </c>
      <c r="N98" s="19">
        <f>_xlfn.XLOOKUP(ShoeSales[[#This Row],[Product Cleaned]],Price!$A$2:$A$9,Price!$C$2:$C$9)</f>
        <v>28</v>
      </c>
      <c r="O98" s="22">
        <f>ShoeSales[[#This Row],[Sell Price]]*ShoeSales[[#This Row],[Quantity]]</f>
        <v>486</v>
      </c>
      <c r="P98" s="19">
        <f>ShoeSales[[#This Row],[Quantity]]*ShoeSales[[#This Row],[Cost Price]]</f>
        <v>252</v>
      </c>
      <c r="Q98" s="19">
        <f>ShoeSales[[#This Row],[Revenue]]-ShoeSales[[#This Row],[Cost]]</f>
        <v>234</v>
      </c>
      <c r="R98" s="24">
        <f>ShoeSales[[#This Row],[Profit]]/ShoeSales[[#This Row],[Revenue]]</f>
        <v>0.48148148148148145</v>
      </c>
      <c r="S98" s="19"/>
      <c r="T98" s="19" t="str">
        <f>UPPER(TEXT(ShoeSales[[#This Row],[Date]], "mmm"))</f>
        <v>JUL</v>
      </c>
    </row>
    <row r="99" spans="1:20" ht="14.25" customHeight="1" x14ac:dyDescent="0.25">
      <c r="A99" s="15">
        <v>46118</v>
      </c>
      <c r="B99" s="9" t="s">
        <v>27</v>
      </c>
      <c r="C99" s="9" t="str">
        <f>TRIM(PROPER(ShoeSales[[#This Row],[Product]]))</f>
        <v>Monk Straps</v>
      </c>
      <c r="D99" s="9" t="s">
        <v>37</v>
      </c>
      <c r="E99" s="45" t="str">
        <f>UPPER(ShoeSales[[#This Row],[Category]])</f>
        <v>FORMAL</v>
      </c>
      <c r="F99" s="9" t="s">
        <v>49</v>
      </c>
      <c r="G99" s="9" t="s">
        <v>75</v>
      </c>
      <c r="H99" s="9" t="str">
        <f>PROPER(ShoeSales[[#This Row],[Brand]])</f>
        <v>Steve Madden</v>
      </c>
      <c r="I99" s="9" t="s">
        <v>51</v>
      </c>
      <c r="J99" s="10">
        <v>10</v>
      </c>
      <c r="K99" s="9" t="s">
        <v>36</v>
      </c>
      <c r="L99" s="22">
        <f>VLOOKUP(ShoeSales[[#This Row],[Product Cleaned]],Price!$A$2:$C$9,2,FALSE)</f>
        <v>89</v>
      </c>
      <c r="M99" s="19">
        <f>_xlfn.XLOOKUP(ShoeSales[[#This Row],[Product Cleaned]],Price!$A$2:$A$9,Price!$B$2:$B$9)</f>
        <v>89</v>
      </c>
      <c r="N99" s="19">
        <f>_xlfn.XLOOKUP(ShoeSales[[#This Row],[Product Cleaned]],Price!$A$2:$A$9,Price!$C$2:$C$9)</f>
        <v>47</v>
      </c>
      <c r="O99" s="22">
        <f>ShoeSales[[#This Row],[Sell Price]]*ShoeSales[[#This Row],[Quantity]]</f>
        <v>890</v>
      </c>
      <c r="P99" s="19">
        <f>ShoeSales[[#This Row],[Quantity]]*ShoeSales[[#This Row],[Cost Price]]</f>
        <v>470</v>
      </c>
      <c r="Q99" s="19">
        <f>ShoeSales[[#This Row],[Revenue]]-ShoeSales[[#This Row],[Cost]]</f>
        <v>420</v>
      </c>
      <c r="R99" s="24">
        <f>ShoeSales[[#This Row],[Profit]]/ShoeSales[[#This Row],[Revenue]]</f>
        <v>0.47191011235955055</v>
      </c>
      <c r="S99" s="19"/>
      <c r="T99" s="19" t="str">
        <f>UPPER(TEXT(ShoeSales[[#This Row],[Date]], "mmm"))</f>
        <v>APR</v>
      </c>
    </row>
    <row r="100" spans="1:20" ht="14.25" customHeight="1" x14ac:dyDescent="0.25">
      <c r="A100" s="14">
        <v>46034</v>
      </c>
      <c r="B100" s="6" t="s">
        <v>85</v>
      </c>
      <c r="C100" s="16" t="str">
        <f>TRIM(PROPER(ShoeSales[[#This Row],[Product]]))</f>
        <v>Brogues</v>
      </c>
      <c r="D100" s="6" t="s">
        <v>71</v>
      </c>
      <c r="E100" s="44" t="str">
        <f>UPPER(ShoeSales[[#This Row],[Category]])</f>
        <v>CASUAL</v>
      </c>
      <c r="F100" s="6" t="s">
        <v>29</v>
      </c>
      <c r="G100" s="6" t="s">
        <v>35</v>
      </c>
      <c r="H100" s="16" t="str">
        <f>PROPER(ShoeSales[[#This Row],[Brand]])</f>
        <v>Nike</v>
      </c>
      <c r="I100" s="6" t="s">
        <v>78</v>
      </c>
      <c r="J100" s="7">
        <v>6</v>
      </c>
      <c r="K100" s="6" t="s">
        <v>36</v>
      </c>
      <c r="L100" s="22">
        <f>VLOOKUP(ShoeSales[[#This Row],[Product Cleaned]],Price!$A$2:$C$9,2,FALSE)</f>
        <v>112</v>
      </c>
      <c r="M100" s="19">
        <f>_xlfn.XLOOKUP(ShoeSales[[#This Row],[Product Cleaned]],Price!$A$2:$A$9,Price!$B$2:$B$9)</f>
        <v>112</v>
      </c>
      <c r="N100" s="19">
        <f>_xlfn.XLOOKUP(ShoeSales[[#This Row],[Product Cleaned]],Price!$A$2:$A$9,Price!$C$2:$C$9)</f>
        <v>64</v>
      </c>
      <c r="O100" s="22">
        <f>ShoeSales[[#This Row],[Sell Price]]*ShoeSales[[#This Row],[Quantity]]</f>
        <v>672</v>
      </c>
      <c r="P100" s="19">
        <f>ShoeSales[[#This Row],[Quantity]]*ShoeSales[[#This Row],[Cost Price]]</f>
        <v>384</v>
      </c>
      <c r="Q100" s="19">
        <f>ShoeSales[[#This Row],[Revenue]]-ShoeSales[[#This Row],[Cost]]</f>
        <v>288</v>
      </c>
      <c r="R100" s="24">
        <f>ShoeSales[[#This Row],[Profit]]/ShoeSales[[#This Row],[Revenue]]</f>
        <v>0.42857142857142855</v>
      </c>
      <c r="S100" s="19"/>
      <c r="T100" s="19" t="str">
        <f>UPPER(TEXT(ShoeSales[[#This Row],[Date]], "mmm"))</f>
        <v>JAN</v>
      </c>
    </row>
    <row r="101" spans="1:20" ht="14.25" customHeight="1" x14ac:dyDescent="0.25">
      <c r="A101" s="15">
        <v>46197</v>
      </c>
      <c r="B101" s="9" t="s">
        <v>10</v>
      </c>
      <c r="C101" s="9" t="str">
        <f>TRIM(PROPER(ShoeSales[[#This Row],[Product]]))</f>
        <v>Oxford</v>
      </c>
      <c r="D101" s="9" t="s">
        <v>89</v>
      </c>
      <c r="E101" s="45" t="str">
        <f>UPPER(ShoeSales[[#This Row],[Category]])</f>
        <v>OPEN</v>
      </c>
      <c r="F101" s="9" t="s">
        <v>56</v>
      </c>
      <c r="G101" s="9" t="s">
        <v>39</v>
      </c>
      <c r="H101" s="9" t="str">
        <f>PROPER(ShoeSales[[#This Row],[Brand]])</f>
        <v>Clarks</v>
      </c>
      <c r="I101" s="9" t="s">
        <v>47</v>
      </c>
      <c r="J101" s="10">
        <v>12</v>
      </c>
      <c r="K101" s="9" t="s">
        <v>36</v>
      </c>
      <c r="L101" s="22">
        <f>VLOOKUP(ShoeSales[[#This Row],[Product Cleaned]],Price!$A$2:$C$9,2,FALSE)</f>
        <v>105</v>
      </c>
      <c r="M101" s="19">
        <f>_xlfn.XLOOKUP(ShoeSales[[#This Row],[Product Cleaned]],Price!$A$2:$A$9,Price!$B$2:$B$9)</f>
        <v>105</v>
      </c>
      <c r="N101" s="19">
        <f>_xlfn.XLOOKUP(ShoeSales[[#This Row],[Product Cleaned]],Price!$A$2:$A$9,Price!$C$2:$C$9)</f>
        <v>58</v>
      </c>
      <c r="O101" s="22">
        <f>ShoeSales[[#This Row],[Sell Price]]*ShoeSales[[#This Row],[Quantity]]</f>
        <v>1260</v>
      </c>
      <c r="P101" s="19">
        <f>ShoeSales[[#This Row],[Quantity]]*ShoeSales[[#This Row],[Cost Price]]</f>
        <v>696</v>
      </c>
      <c r="Q101" s="19">
        <f>ShoeSales[[#This Row],[Revenue]]-ShoeSales[[#This Row],[Cost]]</f>
        <v>564</v>
      </c>
      <c r="R101" s="24">
        <f>ShoeSales[[#This Row],[Profit]]/ShoeSales[[#This Row],[Revenue]]</f>
        <v>0.44761904761904764</v>
      </c>
      <c r="S101" s="19"/>
      <c r="T101" s="19" t="str">
        <f>UPPER(TEXT(ShoeSales[[#This Row],[Date]], "mmm"))</f>
        <v>JUN</v>
      </c>
    </row>
    <row r="102" spans="1:20" ht="14.25" customHeight="1" x14ac:dyDescent="0.25">
      <c r="A102" s="14">
        <v>46101</v>
      </c>
      <c r="B102" s="6" t="s">
        <v>41</v>
      </c>
      <c r="C102" s="16" t="str">
        <f>TRIM(PROPER(ShoeSales[[#This Row],[Product]]))</f>
        <v>Boots</v>
      </c>
      <c r="D102" s="6" t="s">
        <v>45</v>
      </c>
      <c r="E102" s="44" t="str">
        <f>UPPER(ShoeSales[[#This Row],[Category]])</f>
        <v>CASUAL</v>
      </c>
      <c r="F102" s="6" t="s">
        <v>56</v>
      </c>
      <c r="G102" s="6" t="s">
        <v>69</v>
      </c>
      <c r="H102" s="16" t="str">
        <f>PROPER(ShoeSales[[#This Row],[Brand]])</f>
        <v>Zara</v>
      </c>
      <c r="I102" s="6" t="s">
        <v>64</v>
      </c>
      <c r="J102" s="7">
        <v>4</v>
      </c>
      <c r="K102" s="6" t="s">
        <v>32</v>
      </c>
      <c r="L102" s="22">
        <f>VLOOKUP(ShoeSales[[#This Row],[Product Cleaned]],Price!$A$2:$C$9,2,FALSE)</f>
        <v>76</v>
      </c>
      <c r="M102" s="19">
        <f>_xlfn.XLOOKUP(ShoeSales[[#This Row],[Product Cleaned]],Price!$A$2:$A$9,Price!$B$2:$B$9)</f>
        <v>76</v>
      </c>
      <c r="N102" s="19">
        <f>_xlfn.XLOOKUP(ShoeSales[[#This Row],[Product Cleaned]],Price!$A$2:$A$9,Price!$C$2:$C$9)</f>
        <v>39</v>
      </c>
      <c r="O102" s="22">
        <f>ShoeSales[[#This Row],[Sell Price]]*ShoeSales[[#This Row],[Quantity]]</f>
        <v>304</v>
      </c>
      <c r="P102" s="19">
        <f>ShoeSales[[#This Row],[Quantity]]*ShoeSales[[#This Row],[Cost Price]]</f>
        <v>156</v>
      </c>
      <c r="Q102" s="19">
        <f>ShoeSales[[#This Row],[Revenue]]-ShoeSales[[#This Row],[Cost]]</f>
        <v>148</v>
      </c>
      <c r="R102" s="24">
        <f>ShoeSales[[#This Row],[Profit]]/ShoeSales[[#This Row],[Revenue]]</f>
        <v>0.48684210526315791</v>
      </c>
      <c r="S102" s="19"/>
      <c r="T102" s="19" t="str">
        <f>UPPER(TEXT(ShoeSales[[#This Row],[Date]], "mmm"))</f>
        <v>MAR</v>
      </c>
    </row>
    <row r="103" spans="1:20" ht="14.25" customHeight="1" x14ac:dyDescent="0.25">
      <c r="A103" s="15">
        <v>46216</v>
      </c>
      <c r="B103" s="9" t="s">
        <v>83</v>
      </c>
      <c r="C103" s="9" t="str">
        <f>TRIM(PROPER(ShoeSales[[#This Row],[Product]]))</f>
        <v>Monk Straps</v>
      </c>
      <c r="D103" s="9" t="s">
        <v>28</v>
      </c>
      <c r="E103" s="45" t="str">
        <f>UPPER(ShoeSales[[#This Row],[Category]])</f>
        <v>FORMAL</v>
      </c>
      <c r="F103" s="9" t="s">
        <v>34</v>
      </c>
      <c r="G103" s="9" t="s">
        <v>72</v>
      </c>
      <c r="H103" s="9" t="str">
        <f>PROPER(ShoeSales[[#This Row],[Brand]])</f>
        <v>Zara</v>
      </c>
      <c r="I103" s="9" t="s">
        <v>51</v>
      </c>
      <c r="J103" s="10">
        <v>8</v>
      </c>
      <c r="K103" s="9" t="s">
        <v>62</v>
      </c>
      <c r="L103" s="22">
        <f>VLOOKUP(ShoeSales[[#This Row],[Product Cleaned]],Price!$A$2:$C$9,2,FALSE)</f>
        <v>89</v>
      </c>
      <c r="M103" s="19">
        <f>_xlfn.XLOOKUP(ShoeSales[[#This Row],[Product Cleaned]],Price!$A$2:$A$9,Price!$B$2:$B$9)</f>
        <v>89</v>
      </c>
      <c r="N103" s="19">
        <f>_xlfn.XLOOKUP(ShoeSales[[#This Row],[Product Cleaned]],Price!$A$2:$A$9,Price!$C$2:$C$9)</f>
        <v>47</v>
      </c>
      <c r="O103" s="22">
        <f>ShoeSales[[#This Row],[Sell Price]]*ShoeSales[[#This Row],[Quantity]]</f>
        <v>712</v>
      </c>
      <c r="P103" s="19">
        <f>ShoeSales[[#This Row],[Quantity]]*ShoeSales[[#This Row],[Cost Price]]</f>
        <v>376</v>
      </c>
      <c r="Q103" s="19">
        <f>ShoeSales[[#This Row],[Revenue]]-ShoeSales[[#This Row],[Cost]]</f>
        <v>336</v>
      </c>
      <c r="R103" s="24">
        <f>ShoeSales[[#This Row],[Profit]]/ShoeSales[[#This Row],[Revenue]]</f>
        <v>0.47191011235955055</v>
      </c>
      <c r="S103" s="19"/>
      <c r="T103" s="19" t="str">
        <f>UPPER(TEXT(ShoeSales[[#This Row],[Date]], "mmm"))</f>
        <v>JUL</v>
      </c>
    </row>
    <row r="104" spans="1:20" ht="14.25" customHeight="1" x14ac:dyDescent="0.25">
      <c r="A104" s="14">
        <v>46040</v>
      </c>
      <c r="B104" s="6" t="s">
        <v>76</v>
      </c>
      <c r="C104" s="16" t="str">
        <f>TRIM(PROPER(ShoeSales[[#This Row],[Product]]))</f>
        <v>Derby</v>
      </c>
      <c r="D104" s="6" t="s">
        <v>37</v>
      </c>
      <c r="E104" s="44" t="str">
        <f>UPPER(ShoeSales[[#This Row],[Category]])</f>
        <v>FORMAL</v>
      </c>
      <c r="F104" s="6" t="s">
        <v>49</v>
      </c>
      <c r="G104" s="6" t="s">
        <v>46</v>
      </c>
      <c r="H104" s="16" t="str">
        <f>PROPER(ShoeSales[[#This Row],[Brand]])</f>
        <v>Clarks</v>
      </c>
      <c r="I104" s="6" t="s">
        <v>31</v>
      </c>
      <c r="J104" s="7">
        <v>8</v>
      </c>
      <c r="K104" s="6" t="s">
        <v>54</v>
      </c>
      <c r="L104" s="22">
        <f>VLOOKUP(ShoeSales[[#This Row],[Product Cleaned]],Price!$A$2:$C$9,2,FALSE)</f>
        <v>32</v>
      </c>
      <c r="M104" s="19">
        <f>_xlfn.XLOOKUP(ShoeSales[[#This Row],[Product Cleaned]],Price!$A$2:$A$9,Price!$B$2:$B$9)</f>
        <v>32</v>
      </c>
      <c r="N104" s="19">
        <f>_xlfn.XLOOKUP(ShoeSales[[#This Row],[Product Cleaned]],Price!$A$2:$A$9,Price!$C$2:$C$9)</f>
        <v>14</v>
      </c>
      <c r="O104" s="22">
        <f>ShoeSales[[#This Row],[Sell Price]]*ShoeSales[[#This Row],[Quantity]]</f>
        <v>256</v>
      </c>
      <c r="P104" s="19">
        <f>ShoeSales[[#This Row],[Quantity]]*ShoeSales[[#This Row],[Cost Price]]</f>
        <v>112</v>
      </c>
      <c r="Q104" s="19">
        <f>ShoeSales[[#This Row],[Revenue]]-ShoeSales[[#This Row],[Cost]]</f>
        <v>144</v>
      </c>
      <c r="R104" s="24">
        <f>ShoeSales[[#This Row],[Profit]]/ShoeSales[[#This Row],[Revenue]]</f>
        <v>0.5625</v>
      </c>
      <c r="S104" s="19"/>
      <c r="T104" s="19" t="str">
        <f>UPPER(TEXT(ShoeSales[[#This Row],[Date]], "mmm"))</f>
        <v>JAN</v>
      </c>
    </row>
    <row r="105" spans="1:20" ht="14.25" customHeight="1" x14ac:dyDescent="0.25">
      <c r="A105" s="15">
        <v>46187</v>
      </c>
      <c r="B105" s="9" t="s">
        <v>88</v>
      </c>
      <c r="C105" s="9" t="str">
        <f>TRIM(PROPER(ShoeSales[[#This Row],[Product]]))</f>
        <v>Slippers</v>
      </c>
      <c r="D105" s="9" t="s">
        <v>48</v>
      </c>
      <c r="E105" s="45" t="str">
        <f>UPPER(ShoeSales[[#This Row],[Category]])</f>
        <v>UTILITY</v>
      </c>
      <c r="F105" s="9" t="s">
        <v>56</v>
      </c>
      <c r="G105" s="9" t="s">
        <v>69</v>
      </c>
      <c r="H105" s="9" t="str">
        <f>PROPER(ShoeSales[[#This Row],[Brand]])</f>
        <v>Zara</v>
      </c>
      <c r="I105" s="9" t="s">
        <v>47</v>
      </c>
      <c r="J105" s="10">
        <v>6</v>
      </c>
      <c r="K105" s="9" t="s">
        <v>36</v>
      </c>
      <c r="L105" s="22">
        <f>VLOOKUP(ShoeSales[[#This Row],[Product Cleaned]],Price!$A$2:$C$9,2,FALSE)</f>
        <v>119</v>
      </c>
      <c r="M105" s="19">
        <f>_xlfn.XLOOKUP(ShoeSales[[#This Row],[Product Cleaned]],Price!$A$2:$A$9,Price!$B$2:$B$9)</f>
        <v>119</v>
      </c>
      <c r="N105" s="19">
        <f>_xlfn.XLOOKUP(ShoeSales[[#This Row],[Product Cleaned]],Price!$A$2:$A$9,Price!$C$2:$C$9)</f>
        <v>67</v>
      </c>
      <c r="O105" s="22">
        <f>ShoeSales[[#This Row],[Sell Price]]*ShoeSales[[#This Row],[Quantity]]</f>
        <v>714</v>
      </c>
      <c r="P105" s="19">
        <f>ShoeSales[[#This Row],[Quantity]]*ShoeSales[[#This Row],[Cost Price]]</f>
        <v>402</v>
      </c>
      <c r="Q105" s="19">
        <f>ShoeSales[[#This Row],[Revenue]]-ShoeSales[[#This Row],[Cost]]</f>
        <v>312</v>
      </c>
      <c r="R105" s="24">
        <f>ShoeSales[[#This Row],[Profit]]/ShoeSales[[#This Row],[Revenue]]</f>
        <v>0.43697478991596639</v>
      </c>
      <c r="S105" s="19"/>
      <c r="T105" s="19" t="str">
        <f>UPPER(TEXT(ShoeSales[[#This Row],[Date]], "mmm"))</f>
        <v>JUN</v>
      </c>
    </row>
    <row r="106" spans="1:20" ht="14.25" customHeight="1" x14ac:dyDescent="0.25">
      <c r="A106" s="14">
        <v>46185</v>
      </c>
      <c r="B106" s="6" t="s">
        <v>83</v>
      </c>
      <c r="C106" s="16" t="str">
        <f>TRIM(PROPER(ShoeSales[[#This Row],[Product]]))</f>
        <v>Monk Straps</v>
      </c>
      <c r="D106" s="6" t="s">
        <v>89</v>
      </c>
      <c r="E106" s="44" t="str">
        <f>UPPER(ShoeSales[[#This Row],[Category]])</f>
        <v>OPEN</v>
      </c>
      <c r="F106" s="6" t="s">
        <v>34</v>
      </c>
      <c r="G106" s="6" t="s">
        <v>57</v>
      </c>
      <c r="H106" s="16" t="str">
        <f>PROPER(ShoeSales[[#This Row],[Brand]])</f>
        <v>Timberland</v>
      </c>
      <c r="I106" s="6" t="s">
        <v>31</v>
      </c>
      <c r="J106" s="7">
        <v>9</v>
      </c>
      <c r="K106" s="6" t="s">
        <v>36</v>
      </c>
      <c r="L106" s="22">
        <f>VLOOKUP(ShoeSales[[#This Row],[Product Cleaned]],Price!$A$2:$C$9,2,FALSE)</f>
        <v>89</v>
      </c>
      <c r="M106" s="19">
        <f>_xlfn.XLOOKUP(ShoeSales[[#This Row],[Product Cleaned]],Price!$A$2:$A$9,Price!$B$2:$B$9)</f>
        <v>89</v>
      </c>
      <c r="N106" s="19">
        <f>_xlfn.XLOOKUP(ShoeSales[[#This Row],[Product Cleaned]],Price!$A$2:$A$9,Price!$C$2:$C$9)</f>
        <v>47</v>
      </c>
      <c r="O106" s="22">
        <f>ShoeSales[[#This Row],[Sell Price]]*ShoeSales[[#This Row],[Quantity]]</f>
        <v>801</v>
      </c>
      <c r="P106" s="19">
        <f>ShoeSales[[#This Row],[Quantity]]*ShoeSales[[#This Row],[Cost Price]]</f>
        <v>423</v>
      </c>
      <c r="Q106" s="19">
        <f>ShoeSales[[#This Row],[Revenue]]-ShoeSales[[#This Row],[Cost]]</f>
        <v>378</v>
      </c>
      <c r="R106" s="24">
        <f>ShoeSales[[#This Row],[Profit]]/ShoeSales[[#This Row],[Revenue]]</f>
        <v>0.47191011235955055</v>
      </c>
      <c r="S106" s="19"/>
      <c r="T106" s="19" t="str">
        <f>UPPER(TEXT(ShoeSales[[#This Row],[Date]], "mmm"))</f>
        <v>JUN</v>
      </c>
    </row>
    <row r="107" spans="1:20" ht="14.25" customHeight="1" x14ac:dyDescent="0.25">
      <c r="A107" s="15">
        <v>46240</v>
      </c>
      <c r="B107" s="9" t="s">
        <v>8</v>
      </c>
      <c r="C107" s="9" t="str">
        <f>TRIM(PROPER(ShoeSales[[#This Row],[Product]]))</f>
        <v>Boots</v>
      </c>
      <c r="D107" s="9" t="s">
        <v>71</v>
      </c>
      <c r="E107" s="45" t="str">
        <f>UPPER(ShoeSales[[#This Row],[Category]])</f>
        <v>CASUAL</v>
      </c>
      <c r="F107" s="9" t="s">
        <v>56</v>
      </c>
      <c r="G107" s="9" t="s">
        <v>82</v>
      </c>
      <c r="H107" s="9" t="str">
        <f>PROPER(ShoeSales[[#This Row],[Brand]])</f>
        <v>Zara</v>
      </c>
      <c r="I107" s="9" t="s">
        <v>47</v>
      </c>
      <c r="J107" s="10">
        <v>2</v>
      </c>
      <c r="K107" s="9" t="s">
        <v>62</v>
      </c>
      <c r="L107" s="22">
        <f>VLOOKUP(ShoeSales[[#This Row],[Product Cleaned]],Price!$A$2:$C$9,2,FALSE)</f>
        <v>76</v>
      </c>
      <c r="M107" s="19">
        <f>_xlfn.XLOOKUP(ShoeSales[[#This Row],[Product Cleaned]],Price!$A$2:$A$9,Price!$B$2:$B$9)</f>
        <v>76</v>
      </c>
      <c r="N107" s="19">
        <f>_xlfn.XLOOKUP(ShoeSales[[#This Row],[Product Cleaned]],Price!$A$2:$A$9,Price!$C$2:$C$9)</f>
        <v>39</v>
      </c>
      <c r="O107" s="22">
        <f>ShoeSales[[#This Row],[Sell Price]]*ShoeSales[[#This Row],[Quantity]]</f>
        <v>152</v>
      </c>
      <c r="P107" s="19">
        <f>ShoeSales[[#This Row],[Quantity]]*ShoeSales[[#This Row],[Cost Price]]</f>
        <v>78</v>
      </c>
      <c r="Q107" s="19">
        <f>ShoeSales[[#This Row],[Revenue]]-ShoeSales[[#This Row],[Cost]]</f>
        <v>74</v>
      </c>
      <c r="R107" s="24">
        <f>ShoeSales[[#This Row],[Profit]]/ShoeSales[[#This Row],[Revenue]]</f>
        <v>0.48684210526315791</v>
      </c>
      <c r="S107" s="19"/>
      <c r="T107" s="19" t="str">
        <f>UPPER(TEXT(ShoeSales[[#This Row],[Date]], "mmm"))</f>
        <v>AUG</v>
      </c>
    </row>
    <row r="108" spans="1:20" ht="14.25" customHeight="1" x14ac:dyDescent="0.25">
      <c r="A108" s="14">
        <v>46040</v>
      </c>
      <c r="B108" s="6" t="s">
        <v>85</v>
      </c>
      <c r="C108" s="16" t="str">
        <f>TRIM(PROPER(ShoeSales[[#This Row],[Product]]))</f>
        <v>Brogues</v>
      </c>
      <c r="D108" s="6" t="s">
        <v>28</v>
      </c>
      <c r="E108" s="44" t="str">
        <f>UPPER(ShoeSales[[#This Row],[Category]])</f>
        <v>FORMAL</v>
      </c>
      <c r="F108" s="6" t="s">
        <v>56</v>
      </c>
      <c r="G108" s="6" t="s">
        <v>69</v>
      </c>
      <c r="H108" s="16" t="str">
        <f>PROPER(ShoeSales[[#This Row],[Brand]])</f>
        <v>Zara</v>
      </c>
      <c r="I108" s="6" t="s">
        <v>59</v>
      </c>
      <c r="J108" s="7">
        <v>4</v>
      </c>
      <c r="K108" s="6" t="s">
        <v>54</v>
      </c>
      <c r="L108" s="22">
        <f>VLOOKUP(ShoeSales[[#This Row],[Product Cleaned]],Price!$A$2:$C$9,2,FALSE)</f>
        <v>112</v>
      </c>
      <c r="M108" s="19">
        <f>_xlfn.XLOOKUP(ShoeSales[[#This Row],[Product Cleaned]],Price!$A$2:$A$9,Price!$B$2:$B$9)</f>
        <v>112</v>
      </c>
      <c r="N108" s="19">
        <f>_xlfn.XLOOKUP(ShoeSales[[#This Row],[Product Cleaned]],Price!$A$2:$A$9,Price!$C$2:$C$9)</f>
        <v>64</v>
      </c>
      <c r="O108" s="22">
        <f>ShoeSales[[#This Row],[Sell Price]]*ShoeSales[[#This Row],[Quantity]]</f>
        <v>448</v>
      </c>
      <c r="P108" s="19">
        <f>ShoeSales[[#This Row],[Quantity]]*ShoeSales[[#This Row],[Cost Price]]</f>
        <v>256</v>
      </c>
      <c r="Q108" s="19">
        <f>ShoeSales[[#This Row],[Revenue]]-ShoeSales[[#This Row],[Cost]]</f>
        <v>192</v>
      </c>
      <c r="R108" s="24">
        <f>ShoeSales[[#This Row],[Profit]]/ShoeSales[[#This Row],[Revenue]]</f>
        <v>0.42857142857142855</v>
      </c>
      <c r="S108" s="19"/>
      <c r="T108" s="19" t="str">
        <f>UPPER(TEXT(ShoeSales[[#This Row],[Date]], "mmm"))</f>
        <v>JAN</v>
      </c>
    </row>
    <row r="109" spans="1:20" ht="14.25" customHeight="1" x14ac:dyDescent="0.25">
      <c r="A109" s="15">
        <v>46144</v>
      </c>
      <c r="B109" s="9" t="s">
        <v>27</v>
      </c>
      <c r="C109" s="9" t="str">
        <f>TRIM(PROPER(ShoeSales[[#This Row],[Product]]))</f>
        <v>Monk Straps</v>
      </c>
      <c r="D109" s="9" t="s">
        <v>28</v>
      </c>
      <c r="E109" s="45" t="str">
        <f>UPPER(ShoeSales[[#This Row],[Category]])</f>
        <v>FORMAL</v>
      </c>
      <c r="F109" s="9" t="s">
        <v>29</v>
      </c>
      <c r="G109" s="9" t="s">
        <v>69</v>
      </c>
      <c r="H109" s="9" t="str">
        <f>PROPER(ShoeSales[[#This Row],[Brand]])</f>
        <v>Zara</v>
      </c>
      <c r="I109" s="9" t="s">
        <v>47</v>
      </c>
      <c r="J109" s="10">
        <v>15</v>
      </c>
      <c r="K109" s="9" t="s">
        <v>54</v>
      </c>
      <c r="L109" s="22">
        <f>VLOOKUP(ShoeSales[[#This Row],[Product Cleaned]],Price!$A$2:$C$9,2,FALSE)</f>
        <v>89</v>
      </c>
      <c r="M109" s="19">
        <f>_xlfn.XLOOKUP(ShoeSales[[#This Row],[Product Cleaned]],Price!$A$2:$A$9,Price!$B$2:$B$9)</f>
        <v>89</v>
      </c>
      <c r="N109" s="19">
        <f>_xlfn.XLOOKUP(ShoeSales[[#This Row],[Product Cleaned]],Price!$A$2:$A$9,Price!$C$2:$C$9)</f>
        <v>47</v>
      </c>
      <c r="O109" s="22">
        <f>ShoeSales[[#This Row],[Sell Price]]*ShoeSales[[#This Row],[Quantity]]</f>
        <v>1335</v>
      </c>
      <c r="P109" s="19">
        <f>ShoeSales[[#This Row],[Quantity]]*ShoeSales[[#This Row],[Cost Price]]</f>
        <v>705</v>
      </c>
      <c r="Q109" s="19">
        <f>ShoeSales[[#This Row],[Revenue]]-ShoeSales[[#This Row],[Cost]]</f>
        <v>630</v>
      </c>
      <c r="R109" s="24">
        <f>ShoeSales[[#This Row],[Profit]]/ShoeSales[[#This Row],[Revenue]]</f>
        <v>0.47191011235955055</v>
      </c>
      <c r="S109" s="19"/>
      <c r="T109" s="19" t="str">
        <f>UPPER(TEXT(ShoeSales[[#This Row],[Date]], "mmm"))</f>
        <v>MAY</v>
      </c>
    </row>
    <row r="110" spans="1:20" ht="14.25" customHeight="1" x14ac:dyDescent="0.25">
      <c r="A110" s="14">
        <v>46130</v>
      </c>
      <c r="B110" s="6" t="s">
        <v>8</v>
      </c>
      <c r="C110" s="16" t="str">
        <f>TRIM(PROPER(ShoeSales[[#This Row],[Product]]))</f>
        <v>Boots</v>
      </c>
      <c r="D110" s="6" t="s">
        <v>48</v>
      </c>
      <c r="E110" s="44" t="str">
        <f>UPPER(ShoeSales[[#This Row],[Category]])</f>
        <v>UTILITY</v>
      </c>
      <c r="F110" s="6" t="s">
        <v>29</v>
      </c>
      <c r="G110" s="6" t="s">
        <v>82</v>
      </c>
      <c r="H110" s="16" t="str">
        <f>PROPER(ShoeSales[[#This Row],[Brand]])</f>
        <v>Zara</v>
      </c>
      <c r="I110" s="6" t="s">
        <v>53</v>
      </c>
      <c r="J110" s="7">
        <v>15</v>
      </c>
      <c r="K110" s="6" t="s">
        <v>32</v>
      </c>
      <c r="L110" s="22">
        <f>VLOOKUP(ShoeSales[[#This Row],[Product Cleaned]],Price!$A$2:$C$9,2,FALSE)</f>
        <v>76</v>
      </c>
      <c r="M110" s="19">
        <f>_xlfn.XLOOKUP(ShoeSales[[#This Row],[Product Cleaned]],Price!$A$2:$A$9,Price!$B$2:$B$9)</f>
        <v>76</v>
      </c>
      <c r="N110" s="19">
        <f>_xlfn.XLOOKUP(ShoeSales[[#This Row],[Product Cleaned]],Price!$A$2:$A$9,Price!$C$2:$C$9)</f>
        <v>39</v>
      </c>
      <c r="O110" s="22">
        <f>ShoeSales[[#This Row],[Sell Price]]*ShoeSales[[#This Row],[Quantity]]</f>
        <v>1140</v>
      </c>
      <c r="P110" s="19">
        <f>ShoeSales[[#This Row],[Quantity]]*ShoeSales[[#This Row],[Cost Price]]</f>
        <v>585</v>
      </c>
      <c r="Q110" s="19">
        <f>ShoeSales[[#This Row],[Revenue]]-ShoeSales[[#This Row],[Cost]]</f>
        <v>555</v>
      </c>
      <c r="R110" s="24">
        <f>ShoeSales[[#This Row],[Profit]]/ShoeSales[[#This Row],[Revenue]]</f>
        <v>0.48684210526315791</v>
      </c>
      <c r="S110" s="19"/>
      <c r="T110" s="19" t="str">
        <f>UPPER(TEXT(ShoeSales[[#This Row],[Date]], "mmm"))</f>
        <v>APR</v>
      </c>
    </row>
    <row r="111" spans="1:20" ht="14.25" customHeight="1" x14ac:dyDescent="0.25">
      <c r="A111" s="15">
        <v>46074</v>
      </c>
      <c r="B111" s="9" t="s">
        <v>70</v>
      </c>
      <c r="C111" s="9" t="str">
        <f>TRIM(PROPER(ShoeSales[[#This Row],[Product]]))</f>
        <v>Derby</v>
      </c>
      <c r="D111" s="9" t="s">
        <v>58</v>
      </c>
      <c r="E111" s="45" t="str">
        <f>UPPER(ShoeSales[[#This Row],[Category]])</f>
        <v>FORMAL</v>
      </c>
      <c r="F111" s="9" t="s">
        <v>38</v>
      </c>
      <c r="G111" s="9" t="s">
        <v>63</v>
      </c>
      <c r="H111" s="9" t="str">
        <f>PROPER(ShoeSales[[#This Row],[Brand]])</f>
        <v>Clarks</v>
      </c>
      <c r="I111" s="9" t="s">
        <v>73</v>
      </c>
      <c r="J111" s="10">
        <v>8</v>
      </c>
      <c r="K111" s="9" t="s">
        <v>36</v>
      </c>
      <c r="L111" s="22">
        <f>VLOOKUP(ShoeSales[[#This Row],[Product Cleaned]],Price!$A$2:$C$9,2,FALSE)</f>
        <v>32</v>
      </c>
      <c r="M111" s="19">
        <f>_xlfn.XLOOKUP(ShoeSales[[#This Row],[Product Cleaned]],Price!$A$2:$A$9,Price!$B$2:$B$9)</f>
        <v>32</v>
      </c>
      <c r="N111" s="19">
        <f>_xlfn.XLOOKUP(ShoeSales[[#This Row],[Product Cleaned]],Price!$A$2:$A$9,Price!$C$2:$C$9)</f>
        <v>14</v>
      </c>
      <c r="O111" s="22">
        <f>ShoeSales[[#This Row],[Sell Price]]*ShoeSales[[#This Row],[Quantity]]</f>
        <v>256</v>
      </c>
      <c r="P111" s="19">
        <f>ShoeSales[[#This Row],[Quantity]]*ShoeSales[[#This Row],[Cost Price]]</f>
        <v>112</v>
      </c>
      <c r="Q111" s="19">
        <f>ShoeSales[[#This Row],[Revenue]]-ShoeSales[[#This Row],[Cost]]</f>
        <v>144</v>
      </c>
      <c r="R111" s="24">
        <f>ShoeSales[[#This Row],[Profit]]/ShoeSales[[#This Row],[Revenue]]</f>
        <v>0.5625</v>
      </c>
      <c r="S111" s="19"/>
      <c r="T111" s="19" t="str">
        <f>UPPER(TEXT(ShoeSales[[#This Row],[Date]], "mmm"))</f>
        <v>FEB</v>
      </c>
    </row>
    <row r="112" spans="1:20" ht="14.25" customHeight="1" x14ac:dyDescent="0.25">
      <c r="A112" s="14">
        <v>46193</v>
      </c>
      <c r="B112" s="6" t="s">
        <v>5</v>
      </c>
      <c r="C112" s="16" t="str">
        <f>TRIM(PROPER(ShoeSales[[#This Row],[Product]]))</f>
        <v>Monk Straps</v>
      </c>
      <c r="D112" s="6" t="s">
        <v>77</v>
      </c>
      <c r="E112" s="44" t="str">
        <f>UPPER(ShoeSales[[#This Row],[Category]])</f>
        <v>CASUAL</v>
      </c>
      <c r="F112" s="6" t="s">
        <v>56</v>
      </c>
      <c r="G112" s="6" t="s">
        <v>50</v>
      </c>
      <c r="H112" s="16" t="str">
        <f>PROPER(ShoeSales[[#This Row],[Brand]])</f>
        <v>Nike</v>
      </c>
      <c r="I112" s="6" t="s">
        <v>47</v>
      </c>
      <c r="J112" s="7">
        <v>7</v>
      </c>
      <c r="K112" s="6" t="s">
        <v>36</v>
      </c>
      <c r="L112" s="22">
        <f>VLOOKUP(ShoeSales[[#This Row],[Product Cleaned]],Price!$A$2:$C$9,2,FALSE)</f>
        <v>89</v>
      </c>
      <c r="M112" s="19">
        <f>_xlfn.XLOOKUP(ShoeSales[[#This Row],[Product Cleaned]],Price!$A$2:$A$9,Price!$B$2:$B$9)</f>
        <v>89</v>
      </c>
      <c r="N112" s="19">
        <f>_xlfn.XLOOKUP(ShoeSales[[#This Row],[Product Cleaned]],Price!$A$2:$A$9,Price!$C$2:$C$9)</f>
        <v>47</v>
      </c>
      <c r="O112" s="22">
        <f>ShoeSales[[#This Row],[Sell Price]]*ShoeSales[[#This Row],[Quantity]]</f>
        <v>623</v>
      </c>
      <c r="P112" s="19">
        <f>ShoeSales[[#This Row],[Quantity]]*ShoeSales[[#This Row],[Cost Price]]</f>
        <v>329</v>
      </c>
      <c r="Q112" s="19">
        <f>ShoeSales[[#This Row],[Revenue]]-ShoeSales[[#This Row],[Cost]]</f>
        <v>294</v>
      </c>
      <c r="R112" s="24">
        <f>ShoeSales[[#This Row],[Profit]]/ShoeSales[[#This Row],[Revenue]]</f>
        <v>0.47191011235955055</v>
      </c>
      <c r="S112" s="19"/>
      <c r="T112" s="19" t="str">
        <f>UPPER(TEXT(ShoeSales[[#This Row],[Date]], "mmm"))</f>
        <v>JUN</v>
      </c>
    </row>
    <row r="113" spans="1:20" ht="14.25" customHeight="1" x14ac:dyDescent="0.25">
      <c r="A113" s="15">
        <v>46137</v>
      </c>
      <c r="B113" s="9" t="s">
        <v>15</v>
      </c>
      <c r="C113" s="9" t="str">
        <f>TRIM(PROPER(ShoeSales[[#This Row],[Product]]))</f>
        <v>Slippers</v>
      </c>
      <c r="D113" s="9" t="s">
        <v>71</v>
      </c>
      <c r="E113" s="45" t="str">
        <f>UPPER(ShoeSales[[#This Row],[Category]])</f>
        <v>CASUAL</v>
      </c>
      <c r="F113" s="9" t="s">
        <v>29</v>
      </c>
      <c r="G113" s="9" t="s">
        <v>63</v>
      </c>
      <c r="H113" s="9" t="str">
        <f>PROPER(ShoeSales[[#This Row],[Brand]])</f>
        <v>Clarks</v>
      </c>
      <c r="I113" s="9" t="s">
        <v>61</v>
      </c>
      <c r="J113" s="10">
        <v>8</v>
      </c>
      <c r="K113" s="9" t="s">
        <v>32</v>
      </c>
      <c r="L113" s="22">
        <f>VLOOKUP(ShoeSales[[#This Row],[Product Cleaned]],Price!$A$2:$C$9,2,FALSE)</f>
        <v>119</v>
      </c>
      <c r="M113" s="19">
        <f>_xlfn.XLOOKUP(ShoeSales[[#This Row],[Product Cleaned]],Price!$A$2:$A$9,Price!$B$2:$B$9)</f>
        <v>119</v>
      </c>
      <c r="N113" s="19">
        <f>_xlfn.XLOOKUP(ShoeSales[[#This Row],[Product Cleaned]],Price!$A$2:$A$9,Price!$C$2:$C$9)</f>
        <v>67</v>
      </c>
      <c r="O113" s="22">
        <f>ShoeSales[[#This Row],[Sell Price]]*ShoeSales[[#This Row],[Quantity]]</f>
        <v>952</v>
      </c>
      <c r="P113" s="19">
        <f>ShoeSales[[#This Row],[Quantity]]*ShoeSales[[#This Row],[Cost Price]]</f>
        <v>536</v>
      </c>
      <c r="Q113" s="19">
        <f>ShoeSales[[#This Row],[Revenue]]-ShoeSales[[#This Row],[Cost]]</f>
        <v>416</v>
      </c>
      <c r="R113" s="24">
        <f>ShoeSales[[#This Row],[Profit]]/ShoeSales[[#This Row],[Revenue]]</f>
        <v>0.43697478991596639</v>
      </c>
      <c r="S113" s="19"/>
      <c r="T113" s="19" t="str">
        <f>UPPER(TEXT(ShoeSales[[#This Row],[Date]], "mmm"))</f>
        <v>APR</v>
      </c>
    </row>
    <row r="114" spans="1:20" ht="14.25" customHeight="1" x14ac:dyDescent="0.25">
      <c r="A114" s="14">
        <v>46172</v>
      </c>
      <c r="B114" s="6" t="s">
        <v>5</v>
      </c>
      <c r="C114" s="16" t="str">
        <f>TRIM(PROPER(ShoeSales[[#This Row],[Product]]))</f>
        <v>Monk Straps</v>
      </c>
      <c r="D114" s="6" t="s">
        <v>37</v>
      </c>
      <c r="E114" s="44" t="str">
        <f>UPPER(ShoeSales[[#This Row],[Category]])</f>
        <v>FORMAL</v>
      </c>
      <c r="F114" s="6" t="s">
        <v>29</v>
      </c>
      <c r="G114" s="6" t="s">
        <v>75</v>
      </c>
      <c r="H114" s="16" t="str">
        <f>PROPER(ShoeSales[[#This Row],[Brand]])</f>
        <v>Steve Madden</v>
      </c>
      <c r="I114" s="6" t="s">
        <v>51</v>
      </c>
      <c r="J114" s="7">
        <v>13</v>
      </c>
      <c r="K114" s="6" t="s">
        <v>54</v>
      </c>
      <c r="L114" s="22">
        <f>VLOOKUP(ShoeSales[[#This Row],[Product Cleaned]],Price!$A$2:$C$9,2,FALSE)</f>
        <v>89</v>
      </c>
      <c r="M114" s="19">
        <f>_xlfn.XLOOKUP(ShoeSales[[#This Row],[Product Cleaned]],Price!$A$2:$A$9,Price!$B$2:$B$9)</f>
        <v>89</v>
      </c>
      <c r="N114" s="19">
        <f>_xlfn.XLOOKUP(ShoeSales[[#This Row],[Product Cleaned]],Price!$A$2:$A$9,Price!$C$2:$C$9)</f>
        <v>47</v>
      </c>
      <c r="O114" s="22">
        <f>ShoeSales[[#This Row],[Sell Price]]*ShoeSales[[#This Row],[Quantity]]</f>
        <v>1157</v>
      </c>
      <c r="P114" s="19">
        <f>ShoeSales[[#This Row],[Quantity]]*ShoeSales[[#This Row],[Cost Price]]</f>
        <v>611</v>
      </c>
      <c r="Q114" s="19">
        <f>ShoeSales[[#This Row],[Revenue]]-ShoeSales[[#This Row],[Cost]]</f>
        <v>546</v>
      </c>
      <c r="R114" s="24">
        <f>ShoeSales[[#This Row],[Profit]]/ShoeSales[[#This Row],[Revenue]]</f>
        <v>0.47191011235955055</v>
      </c>
      <c r="S114" s="19"/>
      <c r="T114" s="19" t="str">
        <f>UPPER(TEXT(ShoeSales[[#This Row],[Date]], "mmm"))</f>
        <v>MAY</v>
      </c>
    </row>
    <row r="115" spans="1:20" ht="14.25" customHeight="1" x14ac:dyDescent="0.25">
      <c r="A115" s="15">
        <v>46081</v>
      </c>
      <c r="B115" s="9" t="s">
        <v>60</v>
      </c>
      <c r="C115" s="9" t="str">
        <f>TRIM(PROPER(ShoeSales[[#This Row],[Product]]))</f>
        <v>Oxford</v>
      </c>
      <c r="D115" s="9" t="s">
        <v>37</v>
      </c>
      <c r="E115" s="45" t="str">
        <f>UPPER(ShoeSales[[#This Row],[Category]])</f>
        <v>FORMAL</v>
      </c>
      <c r="F115" s="9" t="s">
        <v>38</v>
      </c>
      <c r="G115" s="9" t="s">
        <v>35</v>
      </c>
      <c r="H115" s="9" t="str">
        <f>PROPER(ShoeSales[[#This Row],[Brand]])</f>
        <v>Nike</v>
      </c>
      <c r="I115" s="9" t="s">
        <v>47</v>
      </c>
      <c r="J115" s="10">
        <v>14</v>
      </c>
      <c r="K115" s="9" t="s">
        <v>32</v>
      </c>
      <c r="L115" s="22">
        <f>VLOOKUP(ShoeSales[[#This Row],[Product Cleaned]],Price!$A$2:$C$9,2,FALSE)</f>
        <v>105</v>
      </c>
      <c r="M115" s="19">
        <f>_xlfn.XLOOKUP(ShoeSales[[#This Row],[Product Cleaned]],Price!$A$2:$A$9,Price!$B$2:$B$9)</f>
        <v>105</v>
      </c>
      <c r="N115" s="19">
        <f>_xlfn.XLOOKUP(ShoeSales[[#This Row],[Product Cleaned]],Price!$A$2:$A$9,Price!$C$2:$C$9)</f>
        <v>58</v>
      </c>
      <c r="O115" s="22">
        <f>ShoeSales[[#This Row],[Sell Price]]*ShoeSales[[#This Row],[Quantity]]</f>
        <v>1470</v>
      </c>
      <c r="P115" s="19">
        <f>ShoeSales[[#This Row],[Quantity]]*ShoeSales[[#This Row],[Cost Price]]</f>
        <v>812</v>
      </c>
      <c r="Q115" s="19">
        <f>ShoeSales[[#This Row],[Revenue]]-ShoeSales[[#This Row],[Cost]]</f>
        <v>658</v>
      </c>
      <c r="R115" s="24">
        <f>ShoeSales[[#This Row],[Profit]]/ShoeSales[[#This Row],[Revenue]]</f>
        <v>0.44761904761904764</v>
      </c>
      <c r="S115" s="19"/>
      <c r="T115" s="19" t="str">
        <f>UPPER(TEXT(ShoeSales[[#This Row],[Date]], "mmm"))</f>
        <v>FEB</v>
      </c>
    </row>
    <row r="116" spans="1:20" ht="14.25" customHeight="1" x14ac:dyDescent="0.25">
      <c r="A116" s="14">
        <v>46154</v>
      </c>
      <c r="B116" s="6" t="s">
        <v>5</v>
      </c>
      <c r="C116" s="16" t="str">
        <f>TRIM(PROPER(ShoeSales[[#This Row],[Product]]))</f>
        <v>Monk Straps</v>
      </c>
      <c r="D116" s="6" t="s">
        <v>37</v>
      </c>
      <c r="E116" s="44" t="str">
        <f>UPPER(ShoeSales[[#This Row],[Category]])</f>
        <v>FORMAL</v>
      </c>
      <c r="F116" s="6" t="s">
        <v>38</v>
      </c>
      <c r="G116" s="6" t="s">
        <v>39</v>
      </c>
      <c r="H116" s="16" t="str">
        <f>PROPER(ShoeSales[[#This Row],[Brand]])</f>
        <v>Clarks</v>
      </c>
      <c r="I116" s="6" t="s">
        <v>91</v>
      </c>
      <c r="J116" s="7">
        <v>12</v>
      </c>
      <c r="K116" s="6" t="s">
        <v>54</v>
      </c>
      <c r="L116" s="22">
        <f>VLOOKUP(ShoeSales[[#This Row],[Product Cleaned]],Price!$A$2:$C$9,2,FALSE)</f>
        <v>89</v>
      </c>
      <c r="M116" s="19">
        <f>_xlfn.XLOOKUP(ShoeSales[[#This Row],[Product Cleaned]],Price!$A$2:$A$9,Price!$B$2:$B$9)</f>
        <v>89</v>
      </c>
      <c r="N116" s="19">
        <f>_xlfn.XLOOKUP(ShoeSales[[#This Row],[Product Cleaned]],Price!$A$2:$A$9,Price!$C$2:$C$9)</f>
        <v>47</v>
      </c>
      <c r="O116" s="22">
        <f>ShoeSales[[#This Row],[Sell Price]]*ShoeSales[[#This Row],[Quantity]]</f>
        <v>1068</v>
      </c>
      <c r="P116" s="19">
        <f>ShoeSales[[#This Row],[Quantity]]*ShoeSales[[#This Row],[Cost Price]]</f>
        <v>564</v>
      </c>
      <c r="Q116" s="19">
        <f>ShoeSales[[#This Row],[Revenue]]-ShoeSales[[#This Row],[Cost]]</f>
        <v>504</v>
      </c>
      <c r="R116" s="24">
        <f>ShoeSales[[#This Row],[Profit]]/ShoeSales[[#This Row],[Revenue]]</f>
        <v>0.47191011235955055</v>
      </c>
      <c r="S116" s="19"/>
      <c r="T116" s="19" t="str">
        <f>UPPER(TEXT(ShoeSales[[#This Row],[Date]], "mmm"))</f>
        <v>MAY</v>
      </c>
    </row>
    <row r="117" spans="1:20" ht="14.25" customHeight="1" x14ac:dyDescent="0.25">
      <c r="A117" s="15">
        <v>46075</v>
      </c>
      <c r="B117" s="9" t="s">
        <v>92</v>
      </c>
      <c r="C117" s="9" t="str">
        <f>TRIM(PROPER(ShoeSales[[#This Row],[Product]]))</f>
        <v>Canvas</v>
      </c>
      <c r="D117" s="9" t="s">
        <v>74</v>
      </c>
      <c r="E117" s="45" t="str">
        <f>UPPER(ShoeSales[[#This Row],[Category]])</f>
        <v>OPEN</v>
      </c>
      <c r="F117" s="9" t="s">
        <v>38</v>
      </c>
      <c r="G117" s="9" t="s">
        <v>46</v>
      </c>
      <c r="H117" s="9" t="str">
        <f>PROPER(ShoeSales[[#This Row],[Brand]])</f>
        <v>Clarks</v>
      </c>
      <c r="I117" s="9" t="s">
        <v>64</v>
      </c>
      <c r="J117" s="10">
        <v>10</v>
      </c>
      <c r="K117" s="9" t="s">
        <v>36</v>
      </c>
      <c r="L117" s="22">
        <f>VLOOKUP(ShoeSales[[#This Row],[Product Cleaned]],Price!$A$2:$C$9,2,FALSE)</f>
        <v>128</v>
      </c>
      <c r="M117" s="19">
        <f>_xlfn.XLOOKUP(ShoeSales[[#This Row],[Product Cleaned]],Price!$A$2:$A$9,Price!$B$2:$B$9)</f>
        <v>128</v>
      </c>
      <c r="N117" s="19">
        <f>_xlfn.XLOOKUP(ShoeSales[[#This Row],[Product Cleaned]],Price!$A$2:$A$9,Price!$C$2:$C$9)</f>
        <v>72</v>
      </c>
      <c r="O117" s="22">
        <f>ShoeSales[[#This Row],[Sell Price]]*ShoeSales[[#This Row],[Quantity]]</f>
        <v>1280</v>
      </c>
      <c r="P117" s="19">
        <f>ShoeSales[[#This Row],[Quantity]]*ShoeSales[[#This Row],[Cost Price]]</f>
        <v>720</v>
      </c>
      <c r="Q117" s="19">
        <f>ShoeSales[[#This Row],[Revenue]]-ShoeSales[[#This Row],[Cost]]</f>
        <v>560</v>
      </c>
      <c r="R117" s="24">
        <f>ShoeSales[[#This Row],[Profit]]/ShoeSales[[#This Row],[Revenue]]</f>
        <v>0.4375</v>
      </c>
      <c r="S117" s="19"/>
      <c r="T117" s="19" t="str">
        <f>UPPER(TEXT(ShoeSales[[#This Row],[Date]], "mmm"))</f>
        <v>FEB</v>
      </c>
    </row>
    <row r="118" spans="1:20" ht="14.25" customHeight="1" x14ac:dyDescent="0.25">
      <c r="A118" s="14">
        <v>46146</v>
      </c>
      <c r="B118" s="6" t="s">
        <v>85</v>
      </c>
      <c r="C118" s="16" t="str">
        <f>TRIM(PROPER(ShoeSales[[#This Row],[Product]]))</f>
        <v>Brogues</v>
      </c>
      <c r="D118" s="6" t="s">
        <v>58</v>
      </c>
      <c r="E118" s="44" t="str">
        <f>UPPER(ShoeSales[[#This Row],[Category]])</f>
        <v>FORMAL</v>
      </c>
      <c r="F118" s="6" t="s">
        <v>49</v>
      </c>
      <c r="G118" s="6" t="s">
        <v>46</v>
      </c>
      <c r="H118" s="16" t="str">
        <f>PROPER(ShoeSales[[#This Row],[Brand]])</f>
        <v>Clarks</v>
      </c>
      <c r="I118" s="6" t="s">
        <v>73</v>
      </c>
      <c r="J118" s="7">
        <v>6</v>
      </c>
      <c r="K118" s="6" t="s">
        <v>36</v>
      </c>
      <c r="L118" s="22">
        <f>VLOOKUP(ShoeSales[[#This Row],[Product Cleaned]],Price!$A$2:$C$9,2,FALSE)</f>
        <v>112</v>
      </c>
      <c r="M118" s="19">
        <f>_xlfn.XLOOKUP(ShoeSales[[#This Row],[Product Cleaned]],Price!$A$2:$A$9,Price!$B$2:$B$9)</f>
        <v>112</v>
      </c>
      <c r="N118" s="19">
        <f>_xlfn.XLOOKUP(ShoeSales[[#This Row],[Product Cleaned]],Price!$A$2:$A$9,Price!$C$2:$C$9)</f>
        <v>64</v>
      </c>
      <c r="O118" s="22">
        <f>ShoeSales[[#This Row],[Sell Price]]*ShoeSales[[#This Row],[Quantity]]</f>
        <v>672</v>
      </c>
      <c r="P118" s="19">
        <f>ShoeSales[[#This Row],[Quantity]]*ShoeSales[[#This Row],[Cost Price]]</f>
        <v>384</v>
      </c>
      <c r="Q118" s="19">
        <f>ShoeSales[[#This Row],[Revenue]]-ShoeSales[[#This Row],[Cost]]</f>
        <v>288</v>
      </c>
      <c r="R118" s="24">
        <f>ShoeSales[[#This Row],[Profit]]/ShoeSales[[#This Row],[Revenue]]</f>
        <v>0.42857142857142855</v>
      </c>
      <c r="S118" s="19"/>
      <c r="T118" s="19" t="str">
        <f>UPPER(TEXT(ShoeSales[[#This Row],[Date]], "mmm"))</f>
        <v>MAY</v>
      </c>
    </row>
    <row r="119" spans="1:20" ht="14.25" customHeight="1" x14ac:dyDescent="0.25">
      <c r="A119" s="15">
        <v>46197</v>
      </c>
      <c r="B119" s="9" t="s">
        <v>27</v>
      </c>
      <c r="C119" s="9" t="str">
        <f>TRIM(PROPER(ShoeSales[[#This Row],[Product]]))</f>
        <v>Monk Straps</v>
      </c>
      <c r="D119" s="9" t="s">
        <v>74</v>
      </c>
      <c r="E119" s="45" t="str">
        <f>UPPER(ShoeSales[[#This Row],[Category]])</f>
        <v>OPEN</v>
      </c>
      <c r="F119" s="9" t="s">
        <v>56</v>
      </c>
      <c r="G119" s="9" t="s">
        <v>72</v>
      </c>
      <c r="H119" s="9" t="str">
        <f>PROPER(ShoeSales[[#This Row],[Brand]])</f>
        <v>Zara</v>
      </c>
      <c r="I119" s="9" t="s">
        <v>31</v>
      </c>
      <c r="J119" s="10">
        <v>13</v>
      </c>
      <c r="K119" s="9" t="s">
        <v>36</v>
      </c>
      <c r="L119" s="22">
        <f>VLOOKUP(ShoeSales[[#This Row],[Product Cleaned]],Price!$A$2:$C$9,2,FALSE)</f>
        <v>89</v>
      </c>
      <c r="M119" s="19">
        <f>_xlfn.XLOOKUP(ShoeSales[[#This Row],[Product Cleaned]],Price!$A$2:$A$9,Price!$B$2:$B$9)</f>
        <v>89</v>
      </c>
      <c r="N119" s="19">
        <f>_xlfn.XLOOKUP(ShoeSales[[#This Row],[Product Cleaned]],Price!$A$2:$A$9,Price!$C$2:$C$9)</f>
        <v>47</v>
      </c>
      <c r="O119" s="22">
        <f>ShoeSales[[#This Row],[Sell Price]]*ShoeSales[[#This Row],[Quantity]]</f>
        <v>1157</v>
      </c>
      <c r="P119" s="19">
        <f>ShoeSales[[#This Row],[Quantity]]*ShoeSales[[#This Row],[Cost Price]]</f>
        <v>611</v>
      </c>
      <c r="Q119" s="19">
        <f>ShoeSales[[#This Row],[Revenue]]-ShoeSales[[#This Row],[Cost]]</f>
        <v>546</v>
      </c>
      <c r="R119" s="24">
        <f>ShoeSales[[#This Row],[Profit]]/ShoeSales[[#This Row],[Revenue]]</f>
        <v>0.47191011235955055</v>
      </c>
      <c r="S119" s="19"/>
      <c r="T119" s="19" t="str">
        <f>UPPER(TEXT(ShoeSales[[#This Row],[Date]], "mmm"))</f>
        <v>JUN</v>
      </c>
    </row>
    <row r="120" spans="1:20" ht="14.25" customHeight="1" x14ac:dyDescent="0.25">
      <c r="A120" s="14">
        <v>46101</v>
      </c>
      <c r="B120" s="6" t="s">
        <v>7</v>
      </c>
      <c r="C120" s="16" t="str">
        <f>TRIM(PROPER(ShoeSales[[#This Row],[Product]]))</f>
        <v>Derby</v>
      </c>
      <c r="D120" s="6" t="s">
        <v>37</v>
      </c>
      <c r="E120" s="44" t="str">
        <f>UPPER(ShoeSales[[#This Row],[Category]])</f>
        <v>FORMAL</v>
      </c>
      <c r="F120" s="6" t="s">
        <v>38</v>
      </c>
      <c r="G120" s="6" t="s">
        <v>46</v>
      </c>
      <c r="H120" s="16" t="str">
        <f>PROPER(ShoeSales[[#This Row],[Brand]])</f>
        <v>Clarks</v>
      </c>
      <c r="I120" s="6" t="s">
        <v>40</v>
      </c>
      <c r="J120" s="7">
        <v>4</v>
      </c>
      <c r="K120" s="6" t="s">
        <v>62</v>
      </c>
      <c r="L120" s="22">
        <f>VLOOKUP(ShoeSales[[#This Row],[Product Cleaned]],Price!$A$2:$C$9,2,FALSE)</f>
        <v>32</v>
      </c>
      <c r="M120" s="19">
        <f>_xlfn.XLOOKUP(ShoeSales[[#This Row],[Product Cleaned]],Price!$A$2:$A$9,Price!$B$2:$B$9)</f>
        <v>32</v>
      </c>
      <c r="N120" s="19">
        <f>_xlfn.XLOOKUP(ShoeSales[[#This Row],[Product Cleaned]],Price!$A$2:$A$9,Price!$C$2:$C$9)</f>
        <v>14</v>
      </c>
      <c r="O120" s="22">
        <f>ShoeSales[[#This Row],[Sell Price]]*ShoeSales[[#This Row],[Quantity]]</f>
        <v>128</v>
      </c>
      <c r="P120" s="19">
        <f>ShoeSales[[#This Row],[Quantity]]*ShoeSales[[#This Row],[Cost Price]]</f>
        <v>56</v>
      </c>
      <c r="Q120" s="19">
        <f>ShoeSales[[#This Row],[Revenue]]-ShoeSales[[#This Row],[Cost]]</f>
        <v>72</v>
      </c>
      <c r="R120" s="24">
        <f>ShoeSales[[#This Row],[Profit]]/ShoeSales[[#This Row],[Revenue]]</f>
        <v>0.5625</v>
      </c>
      <c r="S120" s="19"/>
      <c r="T120" s="19" t="str">
        <f>UPPER(TEXT(ShoeSales[[#This Row],[Date]], "mmm"))</f>
        <v>MAR</v>
      </c>
    </row>
    <row r="121" spans="1:20" ht="14.25" customHeight="1" x14ac:dyDescent="0.25">
      <c r="A121" s="15">
        <v>46162</v>
      </c>
      <c r="B121" s="9" t="s">
        <v>8</v>
      </c>
      <c r="C121" s="9" t="str">
        <f>TRIM(PROPER(ShoeSales[[#This Row],[Product]]))</f>
        <v>Boots</v>
      </c>
      <c r="D121" s="9" t="s">
        <v>28</v>
      </c>
      <c r="E121" s="45" t="str">
        <f>UPPER(ShoeSales[[#This Row],[Category]])</f>
        <v>FORMAL</v>
      </c>
      <c r="F121" s="9" t="s">
        <v>34</v>
      </c>
      <c r="G121" s="9" t="s">
        <v>46</v>
      </c>
      <c r="H121" s="9" t="str">
        <f>PROPER(ShoeSales[[#This Row],[Brand]])</f>
        <v>Clarks</v>
      </c>
      <c r="I121" s="9" t="s">
        <v>47</v>
      </c>
      <c r="J121" s="10">
        <v>12</v>
      </c>
      <c r="K121" s="9" t="s">
        <v>32</v>
      </c>
      <c r="L121" s="22">
        <f>VLOOKUP(ShoeSales[[#This Row],[Product Cleaned]],Price!$A$2:$C$9,2,FALSE)</f>
        <v>76</v>
      </c>
      <c r="M121" s="19">
        <f>_xlfn.XLOOKUP(ShoeSales[[#This Row],[Product Cleaned]],Price!$A$2:$A$9,Price!$B$2:$B$9)</f>
        <v>76</v>
      </c>
      <c r="N121" s="19">
        <f>_xlfn.XLOOKUP(ShoeSales[[#This Row],[Product Cleaned]],Price!$A$2:$A$9,Price!$C$2:$C$9)</f>
        <v>39</v>
      </c>
      <c r="O121" s="22">
        <f>ShoeSales[[#This Row],[Sell Price]]*ShoeSales[[#This Row],[Quantity]]</f>
        <v>912</v>
      </c>
      <c r="P121" s="19">
        <f>ShoeSales[[#This Row],[Quantity]]*ShoeSales[[#This Row],[Cost Price]]</f>
        <v>468</v>
      </c>
      <c r="Q121" s="19">
        <f>ShoeSales[[#This Row],[Revenue]]-ShoeSales[[#This Row],[Cost]]</f>
        <v>444</v>
      </c>
      <c r="R121" s="24">
        <f>ShoeSales[[#This Row],[Profit]]/ShoeSales[[#This Row],[Revenue]]</f>
        <v>0.48684210526315791</v>
      </c>
      <c r="S121" s="19"/>
      <c r="T121" s="19" t="str">
        <f>UPPER(TEXT(ShoeSales[[#This Row],[Date]], "mmm"))</f>
        <v>MAY</v>
      </c>
    </row>
    <row r="122" spans="1:20" ht="14.25" customHeight="1" x14ac:dyDescent="0.25">
      <c r="A122" s="14">
        <v>46248</v>
      </c>
      <c r="B122" s="6" t="s">
        <v>5</v>
      </c>
      <c r="C122" s="16" t="str">
        <f>TRIM(PROPER(ShoeSales[[#This Row],[Product]]))</f>
        <v>Monk Straps</v>
      </c>
      <c r="D122" s="6" t="s">
        <v>28</v>
      </c>
      <c r="E122" s="44" t="str">
        <f>UPPER(ShoeSales[[#This Row],[Category]])</f>
        <v>FORMAL</v>
      </c>
      <c r="F122" s="6" t="s">
        <v>38</v>
      </c>
      <c r="G122" s="6" t="s">
        <v>82</v>
      </c>
      <c r="H122" s="16" t="str">
        <f>PROPER(ShoeSales[[#This Row],[Brand]])</f>
        <v>Zara</v>
      </c>
      <c r="I122" s="6" t="s">
        <v>53</v>
      </c>
      <c r="J122" s="7">
        <v>5</v>
      </c>
      <c r="K122" s="6" t="s">
        <v>62</v>
      </c>
      <c r="L122" s="22">
        <f>VLOOKUP(ShoeSales[[#This Row],[Product Cleaned]],Price!$A$2:$C$9,2,FALSE)</f>
        <v>89</v>
      </c>
      <c r="M122" s="19">
        <f>_xlfn.XLOOKUP(ShoeSales[[#This Row],[Product Cleaned]],Price!$A$2:$A$9,Price!$B$2:$B$9)</f>
        <v>89</v>
      </c>
      <c r="N122" s="19">
        <f>_xlfn.XLOOKUP(ShoeSales[[#This Row],[Product Cleaned]],Price!$A$2:$A$9,Price!$C$2:$C$9)</f>
        <v>47</v>
      </c>
      <c r="O122" s="22">
        <f>ShoeSales[[#This Row],[Sell Price]]*ShoeSales[[#This Row],[Quantity]]</f>
        <v>445</v>
      </c>
      <c r="P122" s="19">
        <f>ShoeSales[[#This Row],[Quantity]]*ShoeSales[[#This Row],[Cost Price]]</f>
        <v>235</v>
      </c>
      <c r="Q122" s="19">
        <f>ShoeSales[[#This Row],[Revenue]]-ShoeSales[[#This Row],[Cost]]</f>
        <v>210</v>
      </c>
      <c r="R122" s="24">
        <f>ShoeSales[[#This Row],[Profit]]/ShoeSales[[#This Row],[Revenue]]</f>
        <v>0.47191011235955055</v>
      </c>
      <c r="S122" s="19"/>
      <c r="T122" s="19" t="str">
        <f>UPPER(TEXT(ShoeSales[[#This Row],[Date]], "mmm"))</f>
        <v>AUG</v>
      </c>
    </row>
    <row r="123" spans="1:20" ht="14.25" customHeight="1" x14ac:dyDescent="0.25">
      <c r="A123" s="15">
        <v>46049</v>
      </c>
      <c r="B123" s="9" t="s">
        <v>33</v>
      </c>
      <c r="C123" s="9" t="str">
        <f>TRIM(PROPER(ShoeSales[[#This Row],[Product]]))</f>
        <v>Loafers</v>
      </c>
      <c r="D123" s="9" t="s">
        <v>93</v>
      </c>
      <c r="E123" s="45" t="str">
        <f>UPPER(ShoeSales[[#This Row],[Category]])</f>
        <v>UTILITY</v>
      </c>
      <c r="F123" s="9" t="s">
        <v>29</v>
      </c>
      <c r="G123" s="9" t="s">
        <v>30</v>
      </c>
      <c r="H123" s="9" t="str">
        <f>PROPER(ShoeSales[[#This Row],[Brand]])</f>
        <v>Nike</v>
      </c>
      <c r="I123" s="9" t="s">
        <v>61</v>
      </c>
      <c r="J123" s="10">
        <v>7</v>
      </c>
      <c r="K123" s="9" t="s">
        <v>32</v>
      </c>
      <c r="L123" s="22">
        <f>VLOOKUP(ShoeSales[[#This Row],[Product Cleaned]],Price!$A$2:$C$9,2,FALSE)</f>
        <v>54</v>
      </c>
      <c r="M123" s="19">
        <f>_xlfn.XLOOKUP(ShoeSales[[#This Row],[Product Cleaned]],Price!$A$2:$A$9,Price!$B$2:$B$9)</f>
        <v>54</v>
      </c>
      <c r="N123" s="19">
        <f>_xlfn.XLOOKUP(ShoeSales[[#This Row],[Product Cleaned]],Price!$A$2:$A$9,Price!$C$2:$C$9)</f>
        <v>28</v>
      </c>
      <c r="O123" s="22">
        <f>ShoeSales[[#This Row],[Sell Price]]*ShoeSales[[#This Row],[Quantity]]</f>
        <v>378</v>
      </c>
      <c r="P123" s="19">
        <f>ShoeSales[[#This Row],[Quantity]]*ShoeSales[[#This Row],[Cost Price]]</f>
        <v>196</v>
      </c>
      <c r="Q123" s="19">
        <f>ShoeSales[[#This Row],[Revenue]]-ShoeSales[[#This Row],[Cost]]</f>
        <v>182</v>
      </c>
      <c r="R123" s="24">
        <f>ShoeSales[[#This Row],[Profit]]/ShoeSales[[#This Row],[Revenue]]</f>
        <v>0.48148148148148145</v>
      </c>
      <c r="S123" s="19"/>
      <c r="T123" s="19" t="str">
        <f>UPPER(TEXT(ShoeSales[[#This Row],[Date]], "mmm"))</f>
        <v>JAN</v>
      </c>
    </row>
    <row r="124" spans="1:20" ht="14.25" customHeight="1" x14ac:dyDescent="0.25">
      <c r="A124" s="14">
        <v>46190</v>
      </c>
      <c r="B124" s="6" t="s">
        <v>6</v>
      </c>
      <c r="C124" s="16" t="str">
        <f>TRIM(PROPER(ShoeSales[[#This Row],[Product]]))</f>
        <v>Loafers</v>
      </c>
      <c r="D124" s="6" t="s">
        <v>37</v>
      </c>
      <c r="E124" s="44" t="str">
        <f>UPPER(ShoeSales[[#This Row],[Category]])</f>
        <v>FORMAL</v>
      </c>
      <c r="F124" s="6" t="s">
        <v>56</v>
      </c>
      <c r="G124" s="6" t="s">
        <v>57</v>
      </c>
      <c r="H124" s="16" t="str">
        <f>PROPER(ShoeSales[[#This Row],[Brand]])</f>
        <v>Timberland</v>
      </c>
      <c r="I124" s="6" t="s">
        <v>47</v>
      </c>
      <c r="J124" s="7">
        <v>15</v>
      </c>
      <c r="K124" s="6" t="s">
        <v>32</v>
      </c>
      <c r="L124" s="22">
        <f>VLOOKUP(ShoeSales[[#This Row],[Product Cleaned]],Price!$A$2:$C$9,2,FALSE)</f>
        <v>54</v>
      </c>
      <c r="M124" s="19">
        <f>_xlfn.XLOOKUP(ShoeSales[[#This Row],[Product Cleaned]],Price!$A$2:$A$9,Price!$B$2:$B$9)</f>
        <v>54</v>
      </c>
      <c r="N124" s="19">
        <f>_xlfn.XLOOKUP(ShoeSales[[#This Row],[Product Cleaned]],Price!$A$2:$A$9,Price!$C$2:$C$9)</f>
        <v>28</v>
      </c>
      <c r="O124" s="22">
        <f>ShoeSales[[#This Row],[Sell Price]]*ShoeSales[[#This Row],[Quantity]]</f>
        <v>810</v>
      </c>
      <c r="P124" s="19">
        <f>ShoeSales[[#This Row],[Quantity]]*ShoeSales[[#This Row],[Cost Price]]</f>
        <v>420</v>
      </c>
      <c r="Q124" s="19">
        <f>ShoeSales[[#This Row],[Revenue]]-ShoeSales[[#This Row],[Cost]]</f>
        <v>390</v>
      </c>
      <c r="R124" s="24">
        <f>ShoeSales[[#This Row],[Profit]]/ShoeSales[[#This Row],[Revenue]]</f>
        <v>0.48148148148148145</v>
      </c>
      <c r="S124" s="19"/>
      <c r="T124" s="19" t="str">
        <f>UPPER(TEXT(ShoeSales[[#This Row],[Date]], "mmm"))</f>
        <v>JUN</v>
      </c>
    </row>
    <row r="125" spans="1:20" ht="14.25" customHeight="1" x14ac:dyDescent="0.25">
      <c r="A125" s="15">
        <v>46175</v>
      </c>
      <c r="B125" s="9" t="s">
        <v>67</v>
      </c>
      <c r="C125" s="9" t="str">
        <f>TRIM(PROPER(ShoeSales[[#This Row],[Product]]))</f>
        <v>Oxford</v>
      </c>
      <c r="D125" s="9" t="s">
        <v>28</v>
      </c>
      <c r="E125" s="45" t="str">
        <f>UPPER(ShoeSales[[#This Row],[Category]])</f>
        <v>FORMAL</v>
      </c>
      <c r="F125" s="9" t="s">
        <v>29</v>
      </c>
      <c r="G125" s="9" t="s">
        <v>46</v>
      </c>
      <c r="H125" s="9" t="str">
        <f>PROPER(ShoeSales[[#This Row],[Brand]])</f>
        <v>Clarks</v>
      </c>
      <c r="I125" s="9" t="s">
        <v>64</v>
      </c>
      <c r="J125" s="10">
        <v>15</v>
      </c>
      <c r="K125" s="9" t="s">
        <v>32</v>
      </c>
      <c r="L125" s="22">
        <f>VLOOKUP(ShoeSales[[#This Row],[Product Cleaned]],Price!$A$2:$C$9,2,FALSE)</f>
        <v>105</v>
      </c>
      <c r="M125" s="19">
        <f>_xlfn.XLOOKUP(ShoeSales[[#This Row],[Product Cleaned]],Price!$A$2:$A$9,Price!$B$2:$B$9)</f>
        <v>105</v>
      </c>
      <c r="N125" s="19">
        <f>_xlfn.XLOOKUP(ShoeSales[[#This Row],[Product Cleaned]],Price!$A$2:$A$9,Price!$C$2:$C$9)</f>
        <v>58</v>
      </c>
      <c r="O125" s="22">
        <f>ShoeSales[[#This Row],[Sell Price]]*ShoeSales[[#This Row],[Quantity]]</f>
        <v>1575</v>
      </c>
      <c r="P125" s="19">
        <f>ShoeSales[[#This Row],[Quantity]]*ShoeSales[[#This Row],[Cost Price]]</f>
        <v>870</v>
      </c>
      <c r="Q125" s="19">
        <f>ShoeSales[[#This Row],[Revenue]]-ShoeSales[[#This Row],[Cost]]</f>
        <v>705</v>
      </c>
      <c r="R125" s="24">
        <f>ShoeSales[[#This Row],[Profit]]/ShoeSales[[#This Row],[Revenue]]</f>
        <v>0.44761904761904764</v>
      </c>
      <c r="S125" s="19"/>
      <c r="T125" s="19" t="str">
        <f>UPPER(TEXT(ShoeSales[[#This Row],[Date]], "mmm"))</f>
        <v>JUN</v>
      </c>
    </row>
    <row r="126" spans="1:20" ht="14.25" customHeight="1" x14ac:dyDescent="0.25">
      <c r="A126" s="14">
        <v>46050</v>
      </c>
      <c r="B126" s="6" t="s">
        <v>76</v>
      </c>
      <c r="C126" s="16" t="str">
        <f>TRIM(PROPER(ShoeSales[[#This Row],[Product]]))</f>
        <v>Derby</v>
      </c>
      <c r="D126" s="6" t="s">
        <v>28</v>
      </c>
      <c r="E126" s="44" t="str">
        <f>UPPER(ShoeSales[[#This Row],[Category]])</f>
        <v>FORMAL</v>
      </c>
      <c r="F126" s="6" t="s">
        <v>29</v>
      </c>
      <c r="G126" s="6" t="s">
        <v>46</v>
      </c>
      <c r="H126" s="16" t="str">
        <f>PROPER(ShoeSales[[#This Row],[Brand]])</f>
        <v>Clarks</v>
      </c>
      <c r="I126" s="6" t="s">
        <v>73</v>
      </c>
      <c r="J126" s="7">
        <v>5</v>
      </c>
      <c r="K126" s="6" t="s">
        <v>32</v>
      </c>
      <c r="L126" s="22">
        <f>VLOOKUP(ShoeSales[[#This Row],[Product Cleaned]],Price!$A$2:$C$9,2,FALSE)</f>
        <v>32</v>
      </c>
      <c r="M126" s="19">
        <f>_xlfn.XLOOKUP(ShoeSales[[#This Row],[Product Cleaned]],Price!$A$2:$A$9,Price!$B$2:$B$9)</f>
        <v>32</v>
      </c>
      <c r="N126" s="19">
        <f>_xlfn.XLOOKUP(ShoeSales[[#This Row],[Product Cleaned]],Price!$A$2:$A$9,Price!$C$2:$C$9)</f>
        <v>14</v>
      </c>
      <c r="O126" s="22">
        <f>ShoeSales[[#This Row],[Sell Price]]*ShoeSales[[#This Row],[Quantity]]</f>
        <v>160</v>
      </c>
      <c r="P126" s="19">
        <f>ShoeSales[[#This Row],[Quantity]]*ShoeSales[[#This Row],[Cost Price]]</f>
        <v>70</v>
      </c>
      <c r="Q126" s="19">
        <f>ShoeSales[[#This Row],[Revenue]]-ShoeSales[[#This Row],[Cost]]</f>
        <v>90</v>
      </c>
      <c r="R126" s="24">
        <f>ShoeSales[[#This Row],[Profit]]/ShoeSales[[#This Row],[Revenue]]</f>
        <v>0.5625</v>
      </c>
      <c r="S126" s="19"/>
      <c r="T126" s="19" t="str">
        <f>UPPER(TEXT(ShoeSales[[#This Row],[Date]], "mmm"))</f>
        <v>JAN</v>
      </c>
    </row>
    <row r="127" spans="1:20" ht="14.25" customHeight="1" x14ac:dyDescent="0.25">
      <c r="A127" s="15">
        <v>46205</v>
      </c>
      <c r="B127" s="9" t="s">
        <v>68</v>
      </c>
      <c r="C127" s="9" t="str">
        <f>TRIM(PROPER(ShoeSales[[#This Row],[Product]]))</f>
        <v>Slippers</v>
      </c>
      <c r="D127" s="9" t="s">
        <v>45</v>
      </c>
      <c r="E127" s="45" t="str">
        <f>UPPER(ShoeSales[[#This Row],[Category]])</f>
        <v>CASUAL</v>
      </c>
      <c r="F127" s="9" t="s">
        <v>49</v>
      </c>
      <c r="G127" s="9" t="s">
        <v>81</v>
      </c>
      <c r="H127" s="9" t="str">
        <f>PROPER(ShoeSales[[#This Row],[Brand]])</f>
        <v>Steve Madden</v>
      </c>
      <c r="I127" s="9" t="s">
        <v>84</v>
      </c>
      <c r="J127" s="10">
        <v>3</v>
      </c>
      <c r="K127" s="9" t="s">
        <v>54</v>
      </c>
      <c r="L127" s="22">
        <f>VLOOKUP(ShoeSales[[#This Row],[Product Cleaned]],Price!$A$2:$C$9,2,FALSE)</f>
        <v>119</v>
      </c>
      <c r="M127" s="19">
        <f>_xlfn.XLOOKUP(ShoeSales[[#This Row],[Product Cleaned]],Price!$A$2:$A$9,Price!$B$2:$B$9)</f>
        <v>119</v>
      </c>
      <c r="N127" s="19">
        <f>_xlfn.XLOOKUP(ShoeSales[[#This Row],[Product Cleaned]],Price!$A$2:$A$9,Price!$C$2:$C$9)</f>
        <v>67</v>
      </c>
      <c r="O127" s="22">
        <f>ShoeSales[[#This Row],[Sell Price]]*ShoeSales[[#This Row],[Quantity]]</f>
        <v>357</v>
      </c>
      <c r="P127" s="19">
        <f>ShoeSales[[#This Row],[Quantity]]*ShoeSales[[#This Row],[Cost Price]]</f>
        <v>201</v>
      </c>
      <c r="Q127" s="19">
        <f>ShoeSales[[#This Row],[Revenue]]-ShoeSales[[#This Row],[Cost]]</f>
        <v>156</v>
      </c>
      <c r="R127" s="24">
        <f>ShoeSales[[#This Row],[Profit]]/ShoeSales[[#This Row],[Revenue]]</f>
        <v>0.43697478991596639</v>
      </c>
      <c r="S127" s="19"/>
      <c r="T127" s="19" t="str">
        <f>UPPER(TEXT(ShoeSales[[#This Row],[Date]], "mmm"))</f>
        <v>JUL</v>
      </c>
    </row>
    <row r="128" spans="1:20" ht="14.25" customHeight="1" x14ac:dyDescent="0.25">
      <c r="A128" s="14">
        <v>46121</v>
      </c>
      <c r="B128" s="6" t="s">
        <v>60</v>
      </c>
      <c r="C128" s="16" t="str">
        <f>TRIM(PROPER(ShoeSales[[#This Row],[Product]]))</f>
        <v>Oxford</v>
      </c>
      <c r="D128" s="6" t="s">
        <v>37</v>
      </c>
      <c r="E128" s="44" t="str">
        <f>UPPER(ShoeSales[[#This Row],[Category]])</f>
        <v>FORMAL</v>
      </c>
      <c r="F128" s="6" t="s">
        <v>49</v>
      </c>
      <c r="G128" s="6" t="s">
        <v>30</v>
      </c>
      <c r="H128" s="16" t="str">
        <f>PROPER(ShoeSales[[#This Row],[Brand]])</f>
        <v>Nike</v>
      </c>
      <c r="I128" s="6" t="s">
        <v>31</v>
      </c>
      <c r="J128" s="7">
        <v>14</v>
      </c>
      <c r="K128" s="6" t="s">
        <v>54</v>
      </c>
      <c r="L128" s="22">
        <f>VLOOKUP(ShoeSales[[#This Row],[Product Cleaned]],Price!$A$2:$C$9,2,FALSE)</f>
        <v>105</v>
      </c>
      <c r="M128" s="19">
        <f>_xlfn.XLOOKUP(ShoeSales[[#This Row],[Product Cleaned]],Price!$A$2:$A$9,Price!$B$2:$B$9)</f>
        <v>105</v>
      </c>
      <c r="N128" s="19">
        <f>_xlfn.XLOOKUP(ShoeSales[[#This Row],[Product Cleaned]],Price!$A$2:$A$9,Price!$C$2:$C$9)</f>
        <v>58</v>
      </c>
      <c r="O128" s="22">
        <f>ShoeSales[[#This Row],[Sell Price]]*ShoeSales[[#This Row],[Quantity]]</f>
        <v>1470</v>
      </c>
      <c r="P128" s="19">
        <f>ShoeSales[[#This Row],[Quantity]]*ShoeSales[[#This Row],[Cost Price]]</f>
        <v>812</v>
      </c>
      <c r="Q128" s="19">
        <f>ShoeSales[[#This Row],[Revenue]]-ShoeSales[[#This Row],[Cost]]</f>
        <v>658</v>
      </c>
      <c r="R128" s="24">
        <f>ShoeSales[[#This Row],[Profit]]/ShoeSales[[#This Row],[Revenue]]</f>
        <v>0.44761904761904764</v>
      </c>
      <c r="S128" s="19"/>
      <c r="T128" s="19" t="str">
        <f>UPPER(TEXT(ShoeSales[[#This Row],[Date]], "mmm"))</f>
        <v>APR</v>
      </c>
    </row>
    <row r="129" spans="1:20" ht="14.25" customHeight="1" x14ac:dyDescent="0.25">
      <c r="A129" s="15">
        <v>46056</v>
      </c>
      <c r="B129" s="9" t="s">
        <v>79</v>
      </c>
      <c r="C129" s="9" t="str">
        <f>TRIM(PROPER(ShoeSales[[#This Row],[Product]]))</f>
        <v>Brogues</v>
      </c>
      <c r="D129" s="9" t="s">
        <v>37</v>
      </c>
      <c r="E129" s="45" t="str">
        <f>UPPER(ShoeSales[[#This Row],[Category]])</f>
        <v>FORMAL</v>
      </c>
      <c r="F129" s="9" t="s">
        <v>34</v>
      </c>
      <c r="G129" s="9" t="s">
        <v>39</v>
      </c>
      <c r="H129" s="9" t="str">
        <f>PROPER(ShoeSales[[#This Row],[Brand]])</f>
        <v>Clarks</v>
      </c>
      <c r="I129" s="9" t="s">
        <v>66</v>
      </c>
      <c r="J129" s="10">
        <v>7</v>
      </c>
      <c r="K129" s="9" t="s">
        <v>54</v>
      </c>
      <c r="L129" s="22">
        <f>VLOOKUP(ShoeSales[[#This Row],[Product Cleaned]],Price!$A$2:$C$9,2,FALSE)</f>
        <v>112</v>
      </c>
      <c r="M129" s="19">
        <f>_xlfn.XLOOKUP(ShoeSales[[#This Row],[Product Cleaned]],Price!$A$2:$A$9,Price!$B$2:$B$9)</f>
        <v>112</v>
      </c>
      <c r="N129" s="19">
        <f>_xlfn.XLOOKUP(ShoeSales[[#This Row],[Product Cleaned]],Price!$A$2:$A$9,Price!$C$2:$C$9)</f>
        <v>64</v>
      </c>
      <c r="O129" s="22">
        <f>ShoeSales[[#This Row],[Sell Price]]*ShoeSales[[#This Row],[Quantity]]</f>
        <v>784</v>
      </c>
      <c r="P129" s="19">
        <f>ShoeSales[[#This Row],[Quantity]]*ShoeSales[[#This Row],[Cost Price]]</f>
        <v>448</v>
      </c>
      <c r="Q129" s="19">
        <f>ShoeSales[[#This Row],[Revenue]]-ShoeSales[[#This Row],[Cost]]</f>
        <v>336</v>
      </c>
      <c r="R129" s="24">
        <f>ShoeSales[[#This Row],[Profit]]/ShoeSales[[#This Row],[Revenue]]</f>
        <v>0.42857142857142855</v>
      </c>
      <c r="S129" s="19"/>
      <c r="T129" s="19" t="str">
        <f>UPPER(TEXT(ShoeSales[[#This Row],[Date]], "mmm"))</f>
        <v>FEB</v>
      </c>
    </row>
    <row r="130" spans="1:20" ht="14.25" customHeight="1" x14ac:dyDescent="0.25">
      <c r="A130" s="14">
        <v>46222</v>
      </c>
      <c r="B130" s="6" t="s">
        <v>70</v>
      </c>
      <c r="C130" s="16" t="str">
        <f>TRIM(PROPER(ShoeSales[[#This Row],[Product]]))</f>
        <v>Derby</v>
      </c>
      <c r="D130" s="6" t="s">
        <v>93</v>
      </c>
      <c r="E130" s="44" t="str">
        <f>UPPER(ShoeSales[[#This Row],[Category]])</f>
        <v>UTILITY</v>
      </c>
      <c r="F130" s="6" t="s">
        <v>56</v>
      </c>
      <c r="G130" s="6" t="s">
        <v>69</v>
      </c>
      <c r="H130" s="16" t="str">
        <f>PROPER(ShoeSales[[#This Row],[Brand]])</f>
        <v>Zara</v>
      </c>
      <c r="I130" s="6" t="s">
        <v>43</v>
      </c>
      <c r="J130" s="7">
        <v>8</v>
      </c>
      <c r="K130" s="6" t="s">
        <v>54</v>
      </c>
      <c r="L130" s="22">
        <f>VLOOKUP(ShoeSales[[#This Row],[Product Cleaned]],Price!$A$2:$C$9,2,FALSE)</f>
        <v>32</v>
      </c>
      <c r="M130" s="19">
        <f>_xlfn.XLOOKUP(ShoeSales[[#This Row],[Product Cleaned]],Price!$A$2:$A$9,Price!$B$2:$B$9)</f>
        <v>32</v>
      </c>
      <c r="N130" s="19">
        <f>_xlfn.XLOOKUP(ShoeSales[[#This Row],[Product Cleaned]],Price!$A$2:$A$9,Price!$C$2:$C$9)</f>
        <v>14</v>
      </c>
      <c r="O130" s="22">
        <f>ShoeSales[[#This Row],[Sell Price]]*ShoeSales[[#This Row],[Quantity]]</f>
        <v>256</v>
      </c>
      <c r="P130" s="19">
        <f>ShoeSales[[#This Row],[Quantity]]*ShoeSales[[#This Row],[Cost Price]]</f>
        <v>112</v>
      </c>
      <c r="Q130" s="19">
        <f>ShoeSales[[#This Row],[Revenue]]-ShoeSales[[#This Row],[Cost]]</f>
        <v>144</v>
      </c>
      <c r="R130" s="24">
        <f>ShoeSales[[#This Row],[Profit]]/ShoeSales[[#This Row],[Revenue]]</f>
        <v>0.5625</v>
      </c>
      <c r="S130" s="19"/>
      <c r="T130" s="19" t="str">
        <f>UPPER(TEXT(ShoeSales[[#This Row],[Date]], "mmm"))</f>
        <v>JUL</v>
      </c>
    </row>
    <row r="131" spans="1:20" ht="14.25" customHeight="1" x14ac:dyDescent="0.25">
      <c r="A131" s="15">
        <v>46210</v>
      </c>
      <c r="B131" s="9" t="s">
        <v>8</v>
      </c>
      <c r="C131" s="9" t="str">
        <f>TRIM(PROPER(ShoeSales[[#This Row],[Product]]))</f>
        <v>Boots</v>
      </c>
      <c r="D131" s="9" t="s">
        <v>58</v>
      </c>
      <c r="E131" s="45" t="str">
        <f>UPPER(ShoeSales[[#This Row],[Category]])</f>
        <v>FORMAL</v>
      </c>
      <c r="F131" s="9" t="s">
        <v>38</v>
      </c>
      <c r="G131" s="9" t="s">
        <v>82</v>
      </c>
      <c r="H131" s="9" t="str">
        <f>PROPER(ShoeSales[[#This Row],[Brand]])</f>
        <v>Zara</v>
      </c>
      <c r="I131" s="9" t="s">
        <v>43</v>
      </c>
      <c r="J131" s="10">
        <v>3</v>
      </c>
      <c r="K131" s="9" t="s">
        <v>36</v>
      </c>
      <c r="L131" s="22">
        <f>VLOOKUP(ShoeSales[[#This Row],[Product Cleaned]],Price!$A$2:$C$9,2,FALSE)</f>
        <v>76</v>
      </c>
      <c r="M131" s="19">
        <f>_xlfn.XLOOKUP(ShoeSales[[#This Row],[Product Cleaned]],Price!$A$2:$A$9,Price!$B$2:$B$9)</f>
        <v>76</v>
      </c>
      <c r="N131" s="19">
        <f>_xlfn.XLOOKUP(ShoeSales[[#This Row],[Product Cleaned]],Price!$A$2:$A$9,Price!$C$2:$C$9)</f>
        <v>39</v>
      </c>
      <c r="O131" s="22">
        <f>ShoeSales[[#This Row],[Sell Price]]*ShoeSales[[#This Row],[Quantity]]</f>
        <v>228</v>
      </c>
      <c r="P131" s="19">
        <f>ShoeSales[[#This Row],[Quantity]]*ShoeSales[[#This Row],[Cost Price]]</f>
        <v>117</v>
      </c>
      <c r="Q131" s="19">
        <f>ShoeSales[[#This Row],[Revenue]]-ShoeSales[[#This Row],[Cost]]</f>
        <v>111</v>
      </c>
      <c r="R131" s="24">
        <f>ShoeSales[[#This Row],[Profit]]/ShoeSales[[#This Row],[Revenue]]</f>
        <v>0.48684210526315791</v>
      </c>
      <c r="S131" s="19"/>
      <c r="T131" s="19" t="str">
        <f>UPPER(TEXT(ShoeSales[[#This Row],[Date]], "mmm"))</f>
        <v>JUL</v>
      </c>
    </row>
    <row r="132" spans="1:20" ht="14.25" customHeight="1" x14ac:dyDescent="0.25">
      <c r="A132" s="14">
        <v>46065</v>
      </c>
      <c r="B132" s="6" t="s">
        <v>67</v>
      </c>
      <c r="C132" s="16" t="str">
        <f>TRIM(PROPER(ShoeSales[[#This Row],[Product]]))</f>
        <v>Oxford</v>
      </c>
      <c r="D132" s="6" t="s">
        <v>37</v>
      </c>
      <c r="E132" s="44" t="str">
        <f>UPPER(ShoeSales[[#This Row],[Category]])</f>
        <v>FORMAL</v>
      </c>
      <c r="F132" s="6" t="s">
        <v>56</v>
      </c>
      <c r="G132" s="6" t="s">
        <v>82</v>
      </c>
      <c r="H132" s="16" t="str">
        <f>PROPER(ShoeSales[[#This Row],[Brand]])</f>
        <v>Zara</v>
      </c>
      <c r="I132" s="6" t="s">
        <v>91</v>
      </c>
      <c r="J132" s="7">
        <v>10</v>
      </c>
      <c r="K132" s="6" t="s">
        <v>36</v>
      </c>
      <c r="L132" s="22">
        <f>VLOOKUP(ShoeSales[[#This Row],[Product Cleaned]],Price!$A$2:$C$9,2,FALSE)</f>
        <v>105</v>
      </c>
      <c r="M132" s="19">
        <f>_xlfn.XLOOKUP(ShoeSales[[#This Row],[Product Cleaned]],Price!$A$2:$A$9,Price!$B$2:$B$9)</f>
        <v>105</v>
      </c>
      <c r="N132" s="19">
        <f>_xlfn.XLOOKUP(ShoeSales[[#This Row],[Product Cleaned]],Price!$A$2:$A$9,Price!$C$2:$C$9)</f>
        <v>58</v>
      </c>
      <c r="O132" s="22">
        <f>ShoeSales[[#This Row],[Sell Price]]*ShoeSales[[#This Row],[Quantity]]</f>
        <v>1050</v>
      </c>
      <c r="P132" s="19">
        <f>ShoeSales[[#This Row],[Quantity]]*ShoeSales[[#This Row],[Cost Price]]</f>
        <v>580</v>
      </c>
      <c r="Q132" s="19">
        <f>ShoeSales[[#This Row],[Revenue]]-ShoeSales[[#This Row],[Cost]]</f>
        <v>470</v>
      </c>
      <c r="R132" s="24">
        <f>ShoeSales[[#This Row],[Profit]]/ShoeSales[[#This Row],[Revenue]]</f>
        <v>0.44761904761904764</v>
      </c>
      <c r="S132" s="19"/>
      <c r="T132" s="19" t="str">
        <f>UPPER(TEXT(ShoeSales[[#This Row],[Date]], "mmm"))</f>
        <v>FEB</v>
      </c>
    </row>
    <row r="133" spans="1:20" ht="14.25" customHeight="1" x14ac:dyDescent="0.25">
      <c r="A133" s="15">
        <v>46025</v>
      </c>
      <c r="B133" s="9" t="s">
        <v>70</v>
      </c>
      <c r="C133" s="9" t="str">
        <f>TRIM(PROPER(ShoeSales[[#This Row],[Product]]))</f>
        <v>Derby</v>
      </c>
      <c r="D133" s="9" t="s">
        <v>37</v>
      </c>
      <c r="E133" s="45" t="str">
        <f>UPPER(ShoeSales[[#This Row],[Category]])</f>
        <v>FORMAL</v>
      </c>
      <c r="F133" s="9" t="s">
        <v>29</v>
      </c>
      <c r="G133" s="9" t="s">
        <v>39</v>
      </c>
      <c r="H133" s="9" t="str">
        <f>PROPER(ShoeSales[[#This Row],[Brand]])</f>
        <v>Clarks</v>
      </c>
      <c r="I133" s="9" t="s">
        <v>73</v>
      </c>
      <c r="J133" s="10">
        <v>15</v>
      </c>
      <c r="K133" s="9" t="s">
        <v>62</v>
      </c>
      <c r="L133" s="22">
        <f>VLOOKUP(ShoeSales[[#This Row],[Product Cleaned]],Price!$A$2:$C$9,2,FALSE)</f>
        <v>32</v>
      </c>
      <c r="M133" s="19">
        <f>_xlfn.XLOOKUP(ShoeSales[[#This Row],[Product Cleaned]],Price!$A$2:$A$9,Price!$B$2:$B$9)</f>
        <v>32</v>
      </c>
      <c r="N133" s="19">
        <f>_xlfn.XLOOKUP(ShoeSales[[#This Row],[Product Cleaned]],Price!$A$2:$A$9,Price!$C$2:$C$9)</f>
        <v>14</v>
      </c>
      <c r="O133" s="22">
        <f>ShoeSales[[#This Row],[Sell Price]]*ShoeSales[[#This Row],[Quantity]]</f>
        <v>480</v>
      </c>
      <c r="P133" s="19">
        <f>ShoeSales[[#This Row],[Quantity]]*ShoeSales[[#This Row],[Cost Price]]</f>
        <v>210</v>
      </c>
      <c r="Q133" s="19">
        <f>ShoeSales[[#This Row],[Revenue]]-ShoeSales[[#This Row],[Cost]]</f>
        <v>270</v>
      </c>
      <c r="R133" s="24">
        <f>ShoeSales[[#This Row],[Profit]]/ShoeSales[[#This Row],[Revenue]]</f>
        <v>0.5625</v>
      </c>
      <c r="S133" s="19"/>
      <c r="T133" s="19" t="str">
        <f>UPPER(TEXT(ShoeSales[[#This Row],[Date]], "mmm"))</f>
        <v>JAN</v>
      </c>
    </row>
    <row r="134" spans="1:20" ht="14.25" customHeight="1" x14ac:dyDescent="0.25">
      <c r="A134" s="14">
        <v>46163</v>
      </c>
      <c r="B134" s="6" t="s">
        <v>90</v>
      </c>
      <c r="C134" s="16" t="str">
        <f>TRIM(PROPER(ShoeSales[[#This Row],[Product]]))</f>
        <v>Loafers</v>
      </c>
      <c r="D134" s="6" t="s">
        <v>37</v>
      </c>
      <c r="E134" s="44" t="str">
        <f>UPPER(ShoeSales[[#This Row],[Category]])</f>
        <v>FORMAL</v>
      </c>
      <c r="F134" s="6" t="s">
        <v>38</v>
      </c>
      <c r="G134" s="6" t="s">
        <v>95</v>
      </c>
      <c r="H134" s="16" t="str">
        <f>PROPER(ShoeSales[[#This Row],[Brand]])</f>
        <v>Timberland</v>
      </c>
      <c r="I134" s="6" t="s">
        <v>91</v>
      </c>
      <c r="J134" s="7">
        <v>8</v>
      </c>
      <c r="K134" s="6" t="s">
        <v>54</v>
      </c>
      <c r="L134" s="22">
        <f>VLOOKUP(ShoeSales[[#This Row],[Product Cleaned]],Price!$A$2:$C$9,2,FALSE)</f>
        <v>54</v>
      </c>
      <c r="M134" s="19">
        <f>_xlfn.XLOOKUP(ShoeSales[[#This Row],[Product Cleaned]],Price!$A$2:$A$9,Price!$B$2:$B$9)</f>
        <v>54</v>
      </c>
      <c r="N134" s="19">
        <f>_xlfn.XLOOKUP(ShoeSales[[#This Row],[Product Cleaned]],Price!$A$2:$A$9,Price!$C$2:$C$9)</f>
        <v>28</v>
      </c>
      <c r="O134" s="22">
        <f>ShoeSales[[#This Row],[Sell Price]]*ShoeSales[[#This Row],[Quantity]]</f>
        <v>432</v>
      </c>
      <c r="P134" s="19">
        <f>ShoeSales[[#This Row],[Quantity]]*ShoeSales[[#This Row],[Cost Price]]</f>
        <v>224</v>
      </c>
      <c r="Q134" s="19">
        <f>ShoeSales[[#This Row],[Revenue]]-ShoeSales[[#This Row],[Cost]]</f>
        <v>208</v>
      </c>
      <c r="R134" s="24">
        <f>ShoeSales[[#This Row],[Profit]]/ShoeSales[[#This Row],[Revenue]]</f>
        <v>0.48148148148148145</v>
      </c>
      <c r="S134" s="19"/>
      <c r="T134" s="19" t="str">
        <f>UPPER(TEXT(ShoeSales[[#This Row],[Date]], "mmm"))</f>
        <v>MAY</v>
      </c>
    </row>
    <row r="135" spans="1:20" ht="14.25" customHeight="1" x14ac:dyDescent="0.25">
      <c r="A135" s="15">
        <v>46233</v>
      </c>
      <c r="B135" s="9" t="s">
        <v>41</v>
      </c>
      <c r="C135" s="9" t="str">
        <f>TRIM(PROPER(ShoeSales[[#This Row],[Product]]))</f>
        <v>Boots</v>
      </c>
      <c r="D135" s="9" t="s">
        <v>77</v>
      </c>
      <c r="E135" s="45" t="str">
        <f>UPPER(ShoeSales[[#This Row],[Category]])</f>
        <v>CASUAL</v>
      </c>
      <c r="F135" s="9" t="s">
        <v>38</v>
      </c>
      <c r="G135" s="9" t="s">
        <v>80</v>
      </c>
      <c r="H135" s="9" t="str">
        <f>PROPER(ShoeSales[[#This Row],[Brand]])</f>
        <v>Steve Madden</v>
      </c>
      <c r="I135" s="9" t="s">
        <v>61</v>
      </c>
      <c r="J135" s="10">
        <v>9</v>
      </c>
      <c r="K135" s="9" t="s">
        <v>62</v>
      </c>
      <c r="L135" s="22">
        <f>VLOOKUP(ShoeSales[[#This Row],[Product Cleaned]],Price!$A$2:$C$9,2,FALSE)</f>
        <v>76</v>
      </c>
      <c r="M135" s="19">
        <f>_xlfn.XLOOKUP(ShoeSales[[#This Row],[Product Cleaned]],Price!$A$2:$A$9,Price!$B$2:$B$9)</f>
        <v>76</v>
      </c>
      <c r="N135" s="19">
        <f>_xlfn.XLOOKUP(ShoeSales[[#This Row],[Product Cleaned]],Price!$A$2:$A$9,Price!$C$2:$C$9)</f>
        <v>39</v>
      </c>
      <c r="O135" s="22">
        <f>ShoeSales[[#This Row],[Sell Price]]*ShoeSales[[#This Row],[Quantity]]</f>
        <v>684</v>
      </c>
      <c r="P135" s="19">
        <f>ShoeSales[[#This Row],[Quantity]]*ShoeSales[[#This Row],[Cost Price]]</f>
        <v>351</v>
      </c>
      <c r="Q135" s="19">
        <f>ShoeSales[[#This Row],[Revenue]]-ShoeSales[[#This Row],[Cost]]</f>
        <v>333</v>
      </c>
      <c r="R135" s="24">
        <f>ShoeSales[[#This Row],[Profit]]/ShoeSales[[#This Row],[Revenue]]</f>
        <v>0.48684210526315791</v>
      </c>
      <c r="S135" s="19"/>
      <c r="T135" s="19" t="str">
        <f>UPPER(TEXT(ShoeSales[[#This Row],[Date]], "mmm"))</f>
        <v>JUL</v>
      </c>
    </row>
    <row r="136" spans="1:20" ht="14.25" customHeight="1" x14ac:dyDescent="0.25">
      <c r="A136" s="14">
        <v>46223</v>
      </c>
      <c r="B136" s="6" t="s">
        <v>15</v>
      </c>
      <c r="C136" s="16" t="str">
        <f>TRIM(PROPER(ShoeSales[[#This Row],[Product]]))</f>
        <v>Slippers</v>
      </c>
      <c r="D136" s="6" t="s">
        <v>28</v>
      </c>
      <c r="E136" s="44" t="str">
        <f>UPPER(ShoeSales[[#This Row],[Category]])</f>
        <v>FORMAL</v>
      </c>
      <c r="F136" s="6" t="s">
        <v>34</v>
      </c>
      <c r="G136" s="6" t="s">
        <v>72</v>
      </c>
      <c r="H136" s="16" t="str">
        <f>PROPER(ShoeSales[[#This Row],[Brand]])</f>
        <v>Zara</v>
      </c>
      <c r="I136" s="6" t="s">
        <v>78</v>
      </c>
      <c r="J136" s="7">
        <v>10</v>
      </c>
      <c r="K136" s="6" t="s">
        <v>32</v>
      </c>
      <c r="L136" s="22">
        <f>VLOOKUP(ShoeSales[[#This Row],[Product Cleaned]],Price!$A$2:$C$9,2,FALSE)</f>
        <v>119</v>
      </c>
      <c r="M136" s="19">
        <f>_xlfn.XLOOKUP(ShoeSales[[#This Row],[Product Cleaned]],Price!$A$2:$A$9,Price!$B$2:$B$9)</f>
        <v>119</v>
      </c>
      <c r="N136" s="19">
        <f>_xlfn.XLOOKUP(ShoeSales[[#This Row],[Product Cleaned]],Price!$A$2:$A$9,Price!$C$2:$C$9)</f>
        <v>67</v>
      </c>
      <c r="O136" s="22">
        <f>ShoeSales[[#This Row],[Sell Price]]*ShoeSales[[#This Row],[Quantity]]</f>
        <v>1190</v>
      </c>
      <c r="P136" s="19">
        <f>ShoeSales[[#This Row],[Quantity]]*ShoeSales[[#This Row],[Cost Price]]</f>
        <v>670</v>
      </c>
      <c r="Q136" s="19">
        <f>ShoeSales[[#This Row],[Revenue]]-ShoeSales[[#This Row],[Cost]]</f>
        <v>520</v>
      </c>
      <c r="R136" s="24">
        <f>ShoeSales[[#This Row],[Profit]]/ShoeSales[[#This Row],[Revenue]]</f>
        <v>0.43697478991596639</v>
      </c>
      <c r="S136" s="19"/>
      <c r="T136" s="19" t="str">
        <f>UPPER(TEXT(ShoeSales[[#This Row],[Date]], "mmm"))</f>
        <v>JUL</v>
      </c>
    </row>
    <row r="137" spans="1:20" ht="14.25" customHeight="1" x14ac:dyDescent="0.25">
      <c r="A137" s="15">
        <v>46121</v>
      </c>
      <c r="B137" s="9" t="s">
        <v>12</v>
      </c>
      <c r="C137" s="9" t="str">
        <f>TRIM(PROPER(ShoeSales[[#This Row],[Product]]))</f>
        <v>Brogues</v>
      </c>
      <c r="D137" s="9" t="s">
        <v>28</v>
      </c>
      <c r="E137" s="45" t="str">
        <f>UPPER(ShoeSales[[#This Row],[Category]])</f>
        <v>FORMAL</v>
      </c>
      <c r="F137" s="9" t="s">
        <v>29</v>
      </c>
      <c r="G137" s="9" t="s">
        <v>30</v>
      </c>
      <c r="H137" s="9" t="str">
        <f>PROPER(ShoeSales[[#This Row],[Brand]])</f>
        <v>Nike</v>
      </c>
      <c r="I137" s="9" t="s">
        <v>59</v>
      </c>
      <c r="J137" s="10">
        <v>6</v>
      </c>
      <c r="K137" s="9" t="s">
        <v>36</v>
      </c>
      <c r="L137" s="22">
        <f>VLOOKUP(ShoeSales[[#This Row],[Product Cleaned]],Price!$A$2:$C$9,2,FALSE)</f>
        <v>112</v>
      </c>
      <c r="M137" s="19">
        <f>_xlfn.XLOOKUP(ShoeSales[[#This Row],[Product Cleaned]],Price!$A$2:$A$9,Price!$B$2:$B$9)</f>
        <v>112</v>
      </c>
      <c r="N137" s="19">
        <f>_xlfn.XLOOKUP(ShoeSales[[#This Row],[Product Cleaned]],Price!$A$2:$A$9,Price!$C$2:$C$9)</f>
        <v>64</v>
      </c>
      <c r="O137" s="22">
        <f>ShoeSales[[#This Row],[Sell Price]]*ShoeSales[[#This Row],[Quantity]]</f>
        <v>672</v>
      </c>
      <c r="P137" s="19">
        <f>ShoeSales[[#This Row],[Quantity]]*ShoeSales[[#This Row],[Cost Price]]</f>
        <v>384</v>
      </c>
      <c r="Q137" s="19">
        <f>ShoeSales[[#This Row],[Revenue]]-ShoeSales[[#This Row],[Cost]]</f>
        <v>288</v>
      </c>
      <c r="R137" s="24">
        <f>ShoeSales[[#This Row],[Profit]]/ShoeSales[[#This Row],[Revenue]]</f>
        <v>0.42857142857142855</v>
      </c>
      <c r="S137" s="19"/>
      <c r="T137" s="19" t="str">
        <f>UPPER(TEXT(ShoeSales[[#This Row],[Date]], "mmm"))</f>
        <v>APR</v>
      </c>
    </row>
    <row r="138" spans="1:20" ht="14.25" customHeight="1" x14ac:dyDescent="0.25">
      <c r="A138" s="14">
        <v>46173</v>
      </c>
      <c r="B138" s="6" t="s">
        <v>52</v>
      </c>
      <c r="C138" s="16" t="str">
        <f>TRIM(PROPER(ShoeSales[[#This Row],[Product]]))</f>
        <v>Canvas</v>
      </c>
      <c r="D138" s="6" t="s">
        <v>28</v>
      </c>
      <c r="E138" s="44" t="str">
        <f>UPPER(ShoeSales[[#This Row],[Category]])</f>
        <v>FORMAL</v>
      </c>
      <c r="F138" s="6" t="s">
        <v>49</v>
      </c>
      <c r="G138" s="6" t="s">
        <v>82</v>
      </c>
      <c r="H138" s="16" t="str">
        <f>PROPER(ShoeSales[[#This Row],[Brand]])</f>
        <v>Zara</v>
      </c>
      <c r="I138" s="6" t="s">
        <v>73</v>
      </c>
      <c r="J138" s="7">
        <v>7</v>
      </c>
      <c r="K138" s="6" t="s">
        <v>36</v>
      </c>
      <c r="L138" s="22">
        <f>VLOOKUP(ShoeSales[[#This Row],[Product Cleaned]],Price!$A$2:$C$9,2,FALSE)</f>
        <v>128</v>
      </c>
      <c r="M138" s="19">
        <f>_xlfn.XLOOKUP(ShoeSales[[#This Row],[Product Cleaned]],Price!$A$2:$A$9,Price!$B$2:$B$9)</f>
        <v>128</v>
      </c>
      <c r="N138" s="19">
        <f>_xlfn.XLOOKUP(ShoeSales[[#This Row],[Product Cleaned]],Price!$A$2:$A$9,Price!$C$2:$C$9)</f>
        <v>72</v>
      </c>
      <c r="O138" s="22">
        <f>ShoeSales[[#This Row],[Sell Price]]*ShoeSales[[#This Row],[Quantity]]</f>
        <v>896</v>
      </c>
      <c r="P138" s="19">
        <f>ShoeSales[[#This Row],[Quantity]]*ShoeSales[[#This Row],[Cost Price]]</f>
        <v>504</v>
      </c>
      <c r="Q138" s="19">
        <f>ShoeSales[[#This Row],[Revenue]]-ShoeSales[[#This Row],[Cost]]</f>
        <v>392</v>
      </c>
      <c r="R138" s="24">
        <f>ShoeSales[[#This Row],[Profit]]/ShoeSales[[#This Row],[Revenue]]</f>
        <v>0.4375</v>
      </c>
      <c r="S138" s="19"/>
      <c r="T138" s="19" t="str">
        <f>UPPER(TEXT(ShoeSales[[#This Row],[Date]], "mmm"))</f>
        <v>MAY</v>
      </c>
    </row>
    <row r="139" spans="1:20" ht="14.25" customHeight="1" x14ac:dyDescent="0.25">
      <c r="A139" s="15">
        <v>46219</v>
      </c>
      <c r="B139" s="9" t="s">
        <v>41</v>
      </c>
      <c r="C139" s="9" t="str">
        <f>TRIM(PROPER(ShoeSales[[#This Row],[Product]]))</f>
        <v>Boots</v>
      </c>
      <c r="D139" s="9" t="s">
        <v>87</v>
      </c>
      <c r="E139" s="45" t="str">
        <f>UPPER(ShoeSales[[#This Row],[Category]])</f>
        <v>OPEN</v>
      </c>
      <c r="F139" s="9" t="s">
        <v>29</v>
      </c>
      <c r="G139" s="9" t="s">
        <v>81</v>
      </c>
      <c r="H139" s="9" t="str">
        <f>PROPER(ShoeSales[[#This Row],[Brand]])</f>
        <v>Steve Madden</v>
      </c>
      <c r="I139" s="9" t="s">
        <v>51</v>
      </c>
      <c r="J139" s="10">
        <v>15</v>
      </c>
      <c r="K139" s="9" t="s">
        <v>54</v>
      </c>
      <c r="L139" s="22">
        <f>VLOOKUP(ShoeSales[[#This Row],[Product Cleaned]],Price!$A$2:$C$9,2,FALSE)</f>
        <v>76</v>
      </c>
      <c r="M139" s="19">
        <f>_xlfn.XLOOKUP(ShoeSales[[#This Row],[Product Cleaned]],Price!$A$2:$A$9,Price!$B$2:$B$9)</f>
        <v>76</v>
      </c>
      <c r="N139" s="19">
        <f>_xlfn.XLOOKUP(ShoeSales[[#This Row],[Product Cleaned]],Price!$A$2:$A$9,Price!$C$2:$C$9)</f>
        <v>39</v>
      </c>
      <c r="O139" s="22">
        <f>ShoeSales[[#This Row],[Sell Price]]*ShoeSales[[#This Row],[Quantity]]</f>
        <v>1140</v>
      </c>
      <c r="P139" s="19">
        <f>ShoeSales[[#This Row],[Quantity]]*ShoeSales[[#This Row],[Cost Price]]</f>
        <v>585</v>
      </c>
      <c r="Q139" s="19">
        <f>ShoeSales[[#This Row],[Revenue]]-ShoeSales[[#This Row],[Cost]]</f>
        <v>555</v>
      </c>
      <c r="R139" s="24">
        <f>ShoeSales[[#This Row],[Profit]]/ShoeSales[[#This Row],[Revenue]]</f>
        <v>0.48684210526315791</v>
      </c>
      <c r="S139" s="19"/>
      <c r="T139" s="19" t="str">
        <f>UPPER(TEXT(ShoeSales[[#This Row],[Date]], "mmm"))</f>
        <v>JUL</v>
      </c>
    </row>
    <row r="140" spans="1:20" ht="14.25" customHeight="1" x14ac:dyDescent="0.25">
      <c r="A140" s="14">
        <v>46203</v>
      </c>
      <c r="B140" s="6" t="s">
        <v>5</v>
      </c>
      <c r="C140" s="16" t="str">
        <f>TRIM(PROPER(ShoeSales[[#This Row],[Product]]))</f>
        <v>Monk Straps</v>
      </c>
      <c r="D140" s="6" t="s">
        <v>58</v>
      </c>
      <c r="E140" s="44" t="str">
        <f>UPPER(ShoeSales[[#This Row],[Category]])</f>
        <v>FORMAL</v>
      </c>
      <c r="F140" s="6" t="s">
        <v>49</v>
      </c>
      <c r="G140" s="6" t="s">
        <v>72</v>
      </c>
      <c r="H140" s="16" t="str">
        <f>PROPER(ShoeSales[[#This Row],[Brand]])</f>
        <v>Zara</v>
      </c>
      <c r="I140" s="6" t="s">
        <v>59</v>
      </c>
      <c r="J140" s="7">
        <v>11</v>
      </c>
      <c r="K140" s="6" t="s">
        <v>32</v>
      </c>
      <c r="L140" s="22">
        <f>VLOOKUP(ShoeSales[[#This Row],[Product Cleaned]],Price!$A$2:$C$9,2,FALSE)</f>
        <v>89</v>
      </c>
      <c r="M140" s="19">
        <f>_xlfn.XLOOKUP(ShoeSales[[#This Row],[Product Cleaned]],Price!$A$2:$A$9,Price!$B$2:$B$9)</f>
        <v>89</v>
      </c>
      <c r="N140" s="19">
        <f>_xlfn.XLOOKUP(ShoeSales[[#This Row],[Product Cleaned]],Price!$A$2:$A$9,Price!$C$2:$C$9)</f>
        <v>47</v>
      </c>
      <c r="O140" s="22">
        <f>ShoeSales[[#This Row],[Sell Price]]*ShoeSales[[#This Row],[Quantity]]</f>
        <v>979</v>
      </c>
      <c r="P140" s="19">
        <f>ShoeSales[[#This Row],[Quantity]]*ShoeSales[[#This Row],[Cost Price]]</f>
        <v>517</v>
      </c>
      <c r="Q140" s="19">
        <f>ShoeSales[[#This Row],[Revenue]]-ShoeSales[[#This Row],[Cost]]</f>
        <v>462</v>
      </c>
      <c r="R140" s="24">
        <f>ShoeSales[[#This Row],[Profit]]/ShoeSales[[#This Row],[Revenue]]</f>
        <v>0.47191011235955055</v>
      </c>
      <c r="S140" s="19"/>
      <c r="T140" s="19" t="str">
        <f>UPPER(TEXT(ShoeSales[[#This Row],[Date]], "mmm"))</f>
        <v>JUN</v>
      </c>
    </row>
    <row r="141" spans="1:20" ht="14.25" customHeight="1" x14ac:dyDescent="0.25">
      <c r="A141" s="15">
        <v>46156</v>
      </c>
      <c r="B141" s="9" t="s">
        <v>52</v>
      </c>
      <c r="C141" s="9" t="str">
        <f>TRIM(PROPER(ShoeSales[[#This Row],[Product]]))</f>
        <v>Canvas</v>
      </c>
      <c r="D141" s="9" t="s">
        <v>71</v>
      </c>
      <c r="E141" s="45" t="str">
        <f>UPPER(ShoeSales[[#This Row],[Category]])</f>
        <v>CASUAL</v>
      </c>
      <c r="F141" s="9" t="s">
        <v>29</v>
      </c>
      <c r="G141" s="9" t="s">
        <v>35</v>
      </c>
      <c r="H141" s="9" t="str">
        <f>PROPER(ShoeSales[[#This Row],[Brand]])</f>
        <v>Nike</v>
      </c>
      <c r="I141" s="9" t="s">
        <v>40</v>
      </c>
      <c r="J141" s="10">
        <v>8</v>
      </c>
      <c r="K141" s="9" t="s">
        <v>36</v>
      </c>
      <c r="L141" s="22">
        <f>VLOOKUP(ShoeSales[[#This Row],[Product Cleaned]],Price!$A$2:$C$9,2,FALSE)</f>
        <v>128</v>
      </c>
      <c r="M141" s="19">
        <f>_xlfn.XLOOKUP(ShoeSales[[#This Row],[Product Cleaned]],Price!$A$2:$A$9,Price!$B$2:$B$9)</f>
        <v>128</v>
      </c>
      <c r="N141" s="19">
        <f>_xlfn.XLOOKUP(ShoeSales[[#This Row],[Product Cleaned]],Price!$A$2:$A$9,Price!$C$2:$C$9)</f>
        <v>72</v>
      </c>
      <c r="O141" s="22">
        <f>ShoeSales[[#This Row],[Sell Price]]*ShoeSales[[#This Row],[Quantity]]</f>
        <v>1024</v>
      </c>
      <c r="P141" s="19">
        <f>ShoeSales[[#This Row],[Quantity]]*ShoeSales[[#This Row],[Cost Price]]</f>
        <v>576</v>
      </c>
      <c r="Q141" s="19">
        <f>ShoeSales[[#This Row],[Revenue]]-ShoeSales[[#This Row],[Cost]]</f>
        <v>448</v>
      </c>
      <c r="R141" s="24">
        <f>ShoeSales[[#This Row],[Profit]]/ShoeSales[[#This Row],[Revenue]]</f>
        <v>0.4375</v>
      </c>
      <c r="S141" s="19"/>
      <c r="T141" s="19" t="str">
        <f>UPPER(TEXT(ShoeSales[[#This Row],[Date]], "mmm"))</f>
        <v>MAY</v>
      </c>
    </row>
    <row r="142" spans="1:20" ht="14.25" customHeight="1" x14ac:dyDescent="0.25">
      <c r="A142" s="14">
        <v>46244</v>
      </c>
      <c r="B142" s="6" t="s">
        <v>5</v>
      </c>
      <c r="C142" s="16" t="str">
        <f>TRIM(PROPER(ShoeSales[[#This Row],[Product]]))</f>
        <v>Monk Straps</v>
      </c>
      <c r="D142" s="6" t="s">
        <v>58</v>
      </c>
      <c r="E142" s="44" t="str">
        <f>UPPER(ShoeSales[[#This Row],[Category]])</f>
        <v>FORMAL</v>
      </c>
      <c r="F142" s="6" t="s">
        <v>38</v>
      </c>
      <c r="G142" s="6" t="s">
        <v>69</v>
      </c>
      <c r="H142" s="16" t="str">
        <f>PROPER(ShoeSales[[#This Row],[Brand]])</f>
        <v>Zara</v>
      </c>
      <c r="I142" s="6" t="s">
        <v>66</v>
      </c>
      <c r="J142" s="7">
        <v>8</v>
      </c>
      <c r="K142" s="6" t="s">
        <v>32</v>
      </c>
      <c r="L142" s="22">
        <f>VLOOKUP(ShoeSales[[#This Row],[Product Cleaned]],Price!$A$2:$C$9,2,FALSE)</f>
        <v>89</v>
      </c>
      <c r="M142" s="19">
        <f>_xlfn.XLOOKUP(ShoeSales[[#This Row],[Product Cleaned]],Price!$A$2:$A$9,Price!$B$2:$B$9)</f>
        <v>89</v>
      </c>
      <c r="N142" s="19">
        <f>_xlfn.XLOOKUP(ShoeSales[[#This Row],[Product Cleaned]],Price!$A$2:$A$9,Price!$C$2:$C$9)</f>
        <v>47</v>
      </c>
      <c r="O142" s="22">
        <f>ShoeSales[[#This Row],[Sell Price]]*ShoeSales[[#This Row],[Quantity]]</f>
        <v>712</v>
      </c>
      <c r="P142" s="19">
        <f>ShoeSales[[#This Row],[Quantity]]*ShoeSales[[#This Row],[Cost Price]]</f>
        <v>376</v>
      </c>
      <c r="Q142" s="19">
        <f>ShoeSales[[#This Row],[Revenue]]-ShoeSales[[#This Row],[Cost]]</f>
        <v>336</v>
      </c>
      <c r="R142" s="24">
        <f>ShoeSales[[#This Row],[Profit]]/ShoeSales[[#This Row],[Revenue]]</f>
        <v>0.47191011235955055</v>
      </c>
      <c r="S142" s="19"/>
      <c r="T142" s="19" t="str">
        <f>UPPER(TEXT(ShoeSales[[#This Row],[Date]], "mmm"))</f>
        <v>AUG</v>
      </c>
    </row>
    <row r="143" spans="1:20" ht="14.25" customHeight="1" x14ac:dyDescent="0.25">
      <c r="A143" s="15">
        <v>46050</v>
      </c>
      <c r="B143" s="9" t="s">
        <v>52</v>
      </c>
      <c r="C143" s="9" t="str">
        <f>TRIM(PROPER(ShoeSales[[#This Row],[Product]]))</f>
        <v>Canvas</v>
      </c>
      <c r="D143" s="9" t="s">
        <v>42</v>
      </c>
      <c r="E143" s="45" t="str">
        <f>UPPER(ShoeSales[[#This Row],[Category]])</f>
        <v>UTILITY</v>
      </c>
      <c r="F143" s="9" t="s">
        <v>56</v>
      </c>
      <c r="G143" s="9" t="s">
        <v>35</v>
      </c>
      <c r="H143" s="9" t="str">
        <f>PROPER(ShoeSales[[#This Row],[Brand]])</f>
        <v>Nike</v>
      </c>
      <c r="I143" s="9" t="s">
        <v>59</v>
      </c>
      <c r="J143" s="10">
        <v>2</v>
      </c>
      <c r="K143" s="9" t="s">
        <v>62</v>
      </c>
      <c r="L143" s="22">
        <f>VLOOKUP(ShoeSales[[#This Row],[Product Cleaned]],Price!$A$2:$C$9,2,FALSE)</f>
        <v>128</v>
      </c>
      <c r="M143" s="19">
        <f>_xlfn.XLOOKUP(ShoeSales[[#This Row],[Product Cleaned]],Price!$A$2:$A$9,Price!$B$2:$B$9)</f>
        <v>128</v>
      </c>
      <c r="N143" s="19">
        <f>_xlfn.XLOOKUP(ShoeSales[[#This Row],[Product Cleaned]],Price!$A$2:$A$9,Price!$C$2:$C$9)</f>
        <v>72</v>
      </c>
      <c r="O143" s="22">
        <f>ShoeSales[[#This Row],[Sell Price]]*ShoeSales[[#This Row],[Quantity]]</f>
        <v>256</v>
      </c>
      <c r="P143" s="19">
        <f>ShoeSales[[#This Row],[Quantity]]*ShoeSales[[#This Row],[Cost Price]]</f>
        <v>144</v>
      </c>
      <c r="Q143" s="19">
        <f>ShoeSales[[#This Row],[Revenue]]-ShoeSales[[#This Row],[Cost]]</f>
        <v>112</v>
      </c>
      <c r="R143" s="24">
        <f>ShoeSales[[#This Row],[Profit]]/ShoeSales[[#This Row],[Revenue]]</f>
        <v>0.4375</v>
      </c>
      <c r="S143" s="19"/>
      <c r="T143" s="19" t="str">
        <f>UPPER(TEXT(ShoeSales[[#This Row],[Date]], "mmm"))</f>
        <v>JAN</v>
      </c>
    </row>
    <row r="144" spans="1:20" ht="14.25" customHeight="1" x14ac:dyDescent="0.25">
      <c r="A144" s="14">
        <v>46069</v>
      </c>
      <c r="B144" s="6" t="s">
        <v>60</v>
      </c>
      <c r="C144" s="16" t="str">
        <f>TRIM(PROPER(ShoeSales[[#This Row],[Product]]))</f>
        <v>Oxford</v>
      </c>
      <c r="D144" s="6" t="s">
        <v>37</v>
      </c>
      <c r="E144" s="44" t="str">
        <f>UPPER(ShoeSales[[#This Row],[Category]])</f>
        <v>FORMAL</v>
      </c>
      <c r="F144" s="6" t="s">
        <v>29</v>
      </c>
      <c r="G144" s="6" t="s">
        <v>46</v>
      </c>
      <c r="H144" s="16" t="str">
        <f>PROPER(ShoeSales[[#This Row],[Brand]])</f>
        <v>Clarks</v>
      </c>
      <c r="I144" s="6" t="s">
        <v>51</v>
      </c>
      <c r="J144" s="7">
        <v>12</v>
      </c>
      <c r="K144" s="6" t="s">
        <v>36</v>
      </c>
      <c r="L144" s="22">
        <f>VLOOKUP(ShoeSales[[#This Row],[Product Cleaned]],Price!$A$2:$C$9,2,FALSE)</f>
        <v>105</v>
      </c>
      <c r="M144" s="19">
        <f>_xlfn.XLOOKUP(ShoeSales[[#This Row],[Product Cleaned]],Price!$A$2:$A$9,Price!$B$2:$B$9)</f>
        <v>105</v>
      </c>
      <c r="N144" s="19">
        <f>_xlfn.XLOOKUP(ShoeSales[[#This Row],[Product Cleaned]],Price!$A$2:$A$9,Price!$C$2:$C$9)</f>
        <v>58</v>
      </c>
      <c r="O144" s="22">
        <f>ShoeSales[[#This Row],[Sell Price]]*ShoeSales[[#This Row],[Quantity]]</f>
        <v>1260</v>
      </c>
      <c r="P144" s="19">
        <f>ShoeSales[[#This Row],[Quantity]]*ShoeSales[[#This Row],[Cost Price]]</f>
        <v>696</v>
      </c>
      <c r="Q144" s="19">
        <f>ShoeSales[[#This Row],[Revenue]]-ShoeSales[[#This Row],[Cost]]</f>
        <v>564</v>
      </c>
      <c r="R144" s="24">
        <f>ShoeSales[[#This Row],[Profit]]/ShoeSales[[#This Row],[Revenue]]</f>
        <v>0.44761904761904764</v>
      </c>
      <c r="S144" s="19"/>
      <c r="T144" s="19" t="str">
        <f>UPPER(TEXT(ShoeSales[[#This Row],[Date]], "mmm"))</f>
        <v>FEB</v>
      </c>
    </row>
    <row r="145" spans="1:20" ht="14.25" customHeight="1" x14ac:dyDescent="0.25">
      <c r="A145" s="15">
        <v>46229</v>
      </c>
      <c r="B145" s="9" t="s">
        <v>92</v>
      </c>
      <c r="C145" s="9" t="str">
        <f>TRIM(PROPER(ShoeSales[[#This Row],[Product]]))</f>
        <v>Canvas</v>
      </c>
      <c r="D145" s="9" t="s">
        <v>28</v>
      </c>
      <c r="E145" s="45" t="str">
        <f>UPPER(ShoeSales[[#This Row],[Category]])</f>
        <v>FORMAL</v>
      </c>
      <c r="F145" s="9" t="s">
        <v>49</v>
      </c>
      <c r="G145" s="9" t="s">
        <v>69</v>
      </c>
      <c r="H145" s="9" t="str">
        <f>PROPER(ShoeSales[[#This Row],[Brand]])</f>
        <v>Zara</v>
      </c>
      <c r="I145" s="9" t="s">
        <v>91</v>
      </c>
      <c r="J145" s="10">
        <v>13</v>
      </c>
      <c r="K145" s="9" t="s">
        <v>54</v>
      </c>
      <c r="L145" s="22">
        <f>VLOOKUP(ShoeSales[[#This Row],[Product Cleaned]],Price!$A$2:$C$9,2,FALSE)</f>
        <v>128</v>
      </c>
      <c r="M145" s="19">
        <f>_xlfn.XLOOKUP(ShoeSales[[#This Row],[Product Cleaned]],Price!$A$2:$A$9,Price!$B$2:$B$9)</f>
        <v>128</v>
      </c>
      <c r="N145" s="19">
        <f>_xlfn.XLOOKUP(ShoeSales[[#This Row],[Product Cleaned]],Price!$A$2:$A$9,Price!$C$2:$C$9)</f>
        <v>72</v>
      </c>
      <c r="O145" s="22">
        <f>ShoeSales[[#This Row],[Sell Price]]*ShoeSales[[#This Row],[Quantity]]</f>
        <v>1664</v>
      </c>
      <c r="P145" s="19">
        <f>ShoeSales[[#This Row],[Quantity]]*ShoeSales[[#This Row],[Cost Price]]</f>
        <v>936</v>
      </c>
      <c r="Q145" s="19">
        <f>ShoeSales[[#This Row],[Revenue]]-ShoeSales[[#This Row],[Cost]]</f>
        <v>728</v>
      </c>
      <c r="R145" s="24">
        <f>ShoeSales[[#This Row],[Profit]]/ShoeSales[[#This Row],[Revenue]]</f>
        <v>0.4375</v>
      </c>
      <c r="S145" s="19"/>
      <c r="T145" s="19" t="str">
        <f>UPPER(TEXT(ShoeSales[[#This Row],[Date]], "mmm"))</f>
        <v>JUL</v>
      </c>
    </row>
    <row r="146" spans="1:20" ht="14.25" customHeight="1" x14ac:dyDescent="0.25">
      <c r="A146" s="14">
        <v>46109</v>
      </c>
      <c r="B146" s="6" t="s">
        <v>6</v>
      </c>
      <c r="C146" s="16" t="str">
        <f>TRIM(PROPER(ShoeSales[[#This Row],[Product]]))</f>
        <v>Loafers</v>
      </c>
      <c r="D146" s="6" t="s">
        <v>71</v>
      </c>
      <c r="E146" s="44" t="str">
        <f>UPPER(ShoeSales[[#This Row],[Category]])</f>
        <v>CASUAL</v>
      </c>
      <c r="F146" s="6" t="s">
        <v>34</v>
      </c>
      <c r="G146" s="6" t="s">
        <v>57</v>
      </c>
      <c r="H146" s="16" t="str">
        <f>PROPER(ShoeSales[[#This Row],[Brand]])</f>
        <v>Timberland</v>
      </c>
      <c r="I146" s="6" t="s">
        <v>91</v>
      </c>
      <c r="J146" s="7">
        <v>3</v>
      </c>
      <c r="K146" s="6" t="s">
        <v>32</v>
      </c>
      <c r="L146" s="22">
        <f>VLOOKUP(ShoeSales[[#This Row],[Product Cleaned]],Price!$A$2:$C$9,2,FALSE)</f>
        <v>54</v>
      </c>
      <c r="M146" s="19">
        <f>_xlfn.XLOOKUP(ShoeSales[[#This Row],[Product Cleaned]],Price!$A$2:$A$9,Price!$B$2:$B$9)</f>
        <v>54</v>
      </c>
      <c r="N146" s="19">
        <f>_xlfn.XLOOKUP(ShoeSales[[#This Row],[Product Cleaned]],Price!$A$2:$A$9,Price!$C$2:$C$9)</f>
        <v>28</v>
      </c>
      <c r="O146" s="22">
        <f>ShoeSales[[#This Row],[Sell Price]]*ShoeSales[[#This Row],[Quantity]]</f>
        <v>162</v>
      </c>
      <c r="P146" s="19">
        <f>ShoeSales[[#This Row],[Quantity]]*ShoeSales[[#This Row],[Cost Price]]</f>
        <v>84</v>
      </c>
      <c r="Q146" s="19">
        <f>ShoeSales[[#This Row],[Revenue]]-ShoeSales[[#This Row],[Cost]]</f>
        <v>78</v>
      </c>
      <c r="R146" s="24">
        <f>ShoeSales[[#This Row],[Profit]]/ShoeSales[[#This Row],[Revenue]]</f>
        <v>0.48148148148148145</v>
      </c>
      <c r="S146" s="19"/>
      <c r="T146" s="19" t="str">
        <f>UPPER(TEXT(ShoeSales[[#This Row],[Date]], "mmm"))</f>
        <v>MAR</v>
      </c>
    </row>
    <row r="147" spans="1:20" ht="14.25" customHeight="1" x14ac:dyDescent="0.25">
      <c r="A147" s="15">
        <v>46130</v>
      </c>
      <c r="B147" s="9" t="s">
        <v>9</v>
      </c>
      <c r="C147" s="9" t="str">
        <f>TRIM(PROPER(ShoeSales[[#This Row],[Product]]))</f>
        <v>Canvas</v>
      </c>
      <c r="D147" s="9" t="s">
        <v>58</v>
      </c>
      <c r="E147" s="45" t="str">
        <f>UPPER(ShoeSales[[#This Row],[Category]])</f>
        <v>FORMAL</v>
      </c>
      <c r="F147" s="9" t="s">
        <v>34</v>
      </c>
      <c r="G147" s="9" t="s">
        <v>72</v>
      </c>
      <c r="H147" s="9" t="str">
        <f>PROPER(ShoeSales[[#This Row],[Brand]])</f>
        <v>Zara</v>
      </c>
      <c r="I147" s="9" t="s">
        <v>61</v>
      </c>
      <c r="J147" s="10">
        <v>11</v>
      </c>
      <c r="K147" s="9" t="s">
        <v>36</v>
      </c>
      <c r="L147" s="22">
        <f>VLOOKUP(ShoeSales[[#This Row],[Product Cleaned]],Price!$A$2:$C$9,2,FALSE)</f>
        <v>128</v>
      </c>
      <c r="M147" s="19">
        <f>_xlfn.XLOOKUP(ShoeSales[[#This Row],[Product Cleaned]],Price!$A$2:$A$9,Price!$B$2:$B$9)</f>
        <v>128</v>
      </c>
      <c r="N147" s="19">
        <f>_xlfn.XLOOKUP(ShoeSales[[#This Row],[Product Cleaned]],Price!$A$2:$A$9,Price!$C$2:$C$9)</f>
        <v>72</v>
      </c>
      <c r="O147" s="22">
        <f>ShoeSales[[#This Row],[Sell Price]]*ShoeSales[[#This Row],[Quantity]]</f>
        <v>1408</v>
      </c>
      <c r="P147" s="19">
        <f>ShoeSales[[#This Row],[Quantity]]*ShoeSales[[#This Row],[Cost Price]]</f>
        <v>792</v>
      </c>
      <c r="Q147" s="19">
        <f>ShoeSales[[#This Row],[Revenue]]-ShoeSales[[#This Row],[Cost]]</f>
        <v>616</v>
      </c>
      <c r="R147" s="24">
        <f>ShoeSales[[#This Row],[Profit]]/ShoeSales[[#This Row],[Revenue]]</f>
        <v>0.4375</v>
      </c>
      <c r="S147" s="19"/>
      <c r="T147" s="19" t="str">
        <f>UPPER(TEXT(ShoeSales[[#This Row],[Date]], "mmm"))</f>
        <v>APR</v>
      </c>
    </row>
    <row r="148" spans="1:20" ht="14.25" customHeight="1" x14ac:dyDescent="0.25">
      <c r="A148" s="14">
        <v>46194</v>
      </c>
      <c r="B148" s="6" t="s">
        <v>79</v>
      </c>
      <c r="C148" s="16" t="str">
        <f>TRIM(PROPER(ShoeSales[[#This Row],[Product]]))</f>
        <v>Brogues</v>
      </c>
      <c r="D148" s="6" t="s">
        <v>37</v>
      </c>
      <c r="E148" s="44" t="str">
        <f>UPPER(ShoeSales[[#This Row],[Category]])</f>
        <v>FORMAL</v>
      </c>
      <c r="F148" s="6" t="s">
        <v>29</v>
      </c>
      <c r="G148" s="6" t="s">
        <v>82</v>
      </c>
      <c r="H148" s="16" t="str">
        <f>PROPER(ShoeSales[[#This Row],[Brand]])</f>
        <v>Zara</v>
      </c>
      <c r="I148" s="6" t="s">
        <v>47</v>
      </c>
      <c r="J148" s="7">
        <v>3</v>
      </c>
      <c r="K148" s="6" t="s">
        <v>32</v>
      </c>
      <c r="L148" s="22">
        <f>VLOOKUP(ShoeSales[[#This Row],[Product Cleaned]],Price!$A$2:$C$9,2,FALSE)</f>
        <v>112</v>
      </c>
      <c r="M148" s="19">
        <f>_xlfn.XLOOKUP(ShoeSales[[#This Row],[Product Cleaned]],Price!$A$2:$A$9,Price!$B$2:$B$9)</f>
        <v>112</v>
      </c>
      <c r="N148" s="19">
        <f>_xlfn.XLOOKUP(ShoeSales[[#This Row],[Product Cleaned]],Price!$A$2:$A$9,Price!$C$2:$C$9)</f>
        <v>64</v>
      </c>
      <c r="O148" s="22">
        <f>ShoeSales[[#This Row],[Sell Price]]*ShoeSales[[#This Row],[Quantity]]</f>
        <v>336</v>
      </c>
      <c r="P148" s="19">
        <f>ShoeSales[[#This Row],[Quantity]]*ShoeSales[[#This Row],[Cost Price]]</f>
        <v>192</v>
      </c>
      <c r="Q148" s="19">
        <f>ShoeSales[[#This Row],[Revenue]]-ShoeSales[[#This Row],[Cost]]</f>
        <v>144</v>
      </c>
      <c r="R148" s="24">
        <f>ShoeSales[[#This Row],[Profit]]/ShoeSales[[#This Row],[Revenue]]</f>
        <v>0.42857142857142855</v>
      </c>
      <c r="S148" s="19"/>
      <c r="T148" s="19" t="str">
        <f>UPPER(TEXT(ShoeSales[[#This Row],[Date]], "mmm"))</f>
        <v>JUN</v>
      </c>
    </row>
    <row r="149" spans="1:20" ht="14.25" customHeight="1" x14ac:dyDescent="0.25">
      <c r="A149" s="15">
        <v>46060</v>
      </c>
      <c r="B149" s="9" t="s">
        <v>10</v>
      </c>
      <c r="C149" s="9" t="str">
        <f>TRIM(PROPER(ShoeSales[[#This Row],[Product]]))</f>
        <v>Oxford</v>
      </c>
      <c r="D149" s="9" t="s">
        <v>89</v>
      </c>
      <c r="E149" s="45" t="str">
        <f>UPPER(ShoeSales[[#This Row],[Category]])</f>
        <v>OPEN</v>
      </c>
      <c r="F149" s="9" t="s">
        <v>38</v>
      </c>
      <c r="G149" s="9" t="s">
        <v>82</v>
      </c>
      <c r="H149" s="9" t="str">
        <f>PROPER(ShoeSales[[#This Row],[Brand]])</f>
        <v>Zara</v>
      </c>
      <c r="I149" s="9" t="s">
        <v>47</v>
      </c>
      <c r="J149" s="10">
        <v>14</v>
      </c>
      <c r="K149" s="9" t="s">
        <v>36</v>
      </c>
      <c r="L149" s="22">
        <f>VLOOKUP(ShoeSales[[#This Row],[Product Cleaned]],Price!$A$2:$C$9,2,FALSE)</f>
        <v>105</v>
      </c>
      <c r="M149" s="19">
        <f>_xlfn.XLOOKUP(ShoeSales[[#This Row],[Product Cleaned]],Price!$A$2:$A$9,Price!$B$2:$B$9)</f>
        <v>105</v>
      </c>
      <c r="N149" s="19">
        <f>_xlfn.XLOOKUP(ShoeSales[[#This Row],[Product Cleaned]],Price!$A$2:$A$9,Price!$C$2:$C$9)</f>
        <v>58</v>
      </c>
      <c r="O149" s="22">
        <f>ShoeSales[[#This Row],[Sell Price]]*ShoeSales[[#This Row],[Quantity]]</f>
        <v>1470</v>
      </c>
      <c r="P149" s="19">
        <f>ShoeSales[[#This Row],[Quantity]]*ShoeSales[[#This Row],[Cost Price]]</f>
        <v>812</v>
      </c>
      <c r="Q149" s="19">
        <f>ShoeSales[[#This Row],[Revenue]]-ShoeSales[[#This Row],[Cost]]</f>
        <v>658</v>
      </c>
      <c r="R149" s="24">
        <f>ShoeSales[[#This Row],[Profit]]/ShoeSales[[#This Row],[Revenue]]</f>
        <v>0.44761904761904764</v>
      </c>
      <c r="S149" s="19"/>
      <c r="T149" s="19" t="str">
        <f>UPPER(TEXT(ShoeSales[[#This Row],[Date]], "mmm"))</f>
        <v>FEB</v>
      </c>
    </row>
    <row r="150" spans="1:20" ht="14.25" customHeight="1" x14ac:dyDescent="0.25">
      <c r="A150" s="14">
        <v>46065</v>
      </c>
      <c r="B150" s="6" t="s">
        <v>15</v>
      </c>
      <c r="C150" s="16" t="str">
        <f>TRIM(PROPER(ShoeSales[[#This Row],[Product]]))</f>
        <v>Slippers</v>
      </c>
      <c r="D150" s="6" t="s">
        <v>45</v>
      </c>
      <c r="E150" s="44" t="str">
        <f>UPPER(ShoeSales[[#This Row],[Category]])</f>
        <v>CASUAL</v>
      </c>
      <c r="F150" s="6" t="s">
        <v>56</v>
      </c>
      <c r="G150" s="6" t="s">
        <v>63</v>
      </c>
      <c r="H150" s="16" t="str">
        <f>PROPER(ShoeSales[[#This Row],[Brand]])</f>
        <v>Clarks</v>
      </c>
      <c r="I150" s="6" t="s">
        <v>47</v>
      </c>
      <c r="J150" s="7">
        <v>1</v>
      </c>
      <c r="K150" s="6" t="s">
        <v>54</v>
      </c>
      <c r="L150" s="22">
        <f>VLOOKUP(ShoeSales[[#This Row],[Product Cleaned]],Price!$A$2:$C$9,2,FALSE)</f>
        <v>119</v>
      </c>
      <c r="M150" s="19">
        <f>_xlfn.XLOOKUP(ShoeSales[[#This Row],[Product Cleaned]],Price!$A$2:$A$9,Price!$B$2:$B$9)</f>
        <v>119</v>
      </c>
      <c r="N150" s="19">
        <f>_xlfn.XLOOKUP(ShoeSales[[#This Row],[Product Cleaned]],Price!$A$2:$A$9,Price!$C$2:$C$9)</f>
        <v>67</v>
      </c>
      <c r="O150" s="22">
        <f>ShoeSales[[#This Row],[Sell Price]]*ShoeSales[[#This Row],[Quantity]]</f>
        <v>119</v>
      </c>
      <c r="P150" s="19">
        <f>ShoeSales[[#This Row],[Quantity]]*ShoeSales[[#This Row],[Cost Price]]</f>
        <v>67</v>
      </c>
      <c r="Q150" s="19">
        <f>ShoeSales[[#This Row],[Revenue]]-ShoeSales[[#This Row],[Cost]]</f>
        <v>52</v>
      </c>
      <c r="R150" s="24">
        <f>ShoeSales[[#This Row],[Profit]]/ShoeSales[[#This Row],[Revenue]]</f>
        <v>0.43697478991596639</v>
      </c>
      <c r="S150" s="19"/>
      <c r="T150" s="19" t="str">
        <f>UPPER(TEXT(ShoeSales[[#This Row],[Date]], "mmm"))</f>
        <v>FEB</v>
      </c>
    </row>
    <row r="151" spans="1:20" ht="14.25" customHeight="1" x14ac:dyDescent="0.25">
      <c r="A151" s="15">
        <v>46166</v>
      </c>
      <c r="B151" s="9" t="s">
        <v>79</v>
      </c>
      <c r="C151" s="9" t="str">
        <f>TRIM(PROPER(ShoeSales[[#This Row],[Product]]))</f>
        <v>Brogues</v>
      </c>
      <c r="D151" s="9" t="s">
        <v>28</v>
      </c>
      <c r="E151" s="45" t="str">
        <f>UPPER(ShoeSales[[#This Row],[Category]])</f>
        <v>FORMAL</v>
      </c>
      <c r="F151" s="9" t="s">
        <v>38</v>
      </c>
      <c r="G151" s="9" t="s">
        <v>75</v>
      </c>
      <c r="H151" s="9" t="str">
        <f>PROPER(ShoeSales[[#This Row],[Brand]])</f>
        <v>Steve Madden</v>
      </c>
      <c r="I151" s="9" t="s">
        <v>91</v>
      </c>
      <c r="J151" s="10">
        <v>10</v>
      </c>
      <c r="K151" s="9" t="s">
        <v>32</v>
      </c>
      <c r="L151" s="22">
        <f>VLOOKUP(ShoeSales[[#This Row],[Product Cleaned]],Price!$A$2:$C$9,2,FALSE)</f>
        <v>112</v>
      </c>
      <c r="M151" s="19">
        <f>_xlfn.XLOOKUP(ShoeSales[[#This Row],[Product Cleaned]],Price!$A$2:$A$9,Price!$B$2:$B$9)</f>
        <v>112</v>
      </c>
      <c r="N151" s="19">
        <f>_xlfn.XLOOKUP(ShoeSales[[#This Row],[Product Cleaned]],Price!$A$2:$A$9,Price!$C$2:$C$9)</f>
        <v>64</v>
      </c>
      <c r="O151" s="22">
        <f>ShoeSales[[#This Row],[Sell Price]]*ShoeSales[[#This Row],[Quantity]]</f>
        <v>1120</v>
      </c>
      <c r="P151" s="19">
        <f>ShoeSales[[#This Row],[Quantity]]*ShoeSales[[#This Row],[Cost Price]]</f>
        <v>640</v>
      </c>
      <c r="Q151" s="19">
        <f>ShoeSales[[#This Row],[Revenue]]-ShoeSales[[#This Row],[Cost]]</f>
        <v>480</v>
      </c>
      <c r="R151" s="24">
        <f>ShoeSales[[#This Row],[Profit]]/ShoeSales[[#This Row],[Revenue]]</f>
        <v>0.42857142857142855</v>
      </c>
      <c r="S151" s="19"/>
      <c r="T151" s="19" t="str">
        <f>UPPER(TEXT(ShoeSales[[#This Row],[Date]], "mmm"))</f>
        <v>MAY</v>
      </c>
    </row>
    <row r="152" spans="1:20" ht="14.25" customHeight="1" x14ac:dyDescent="0.25">
      <c r="A152" s="14">
        <v>46210</v>
      </c>
      <c r="B152" s="6" t="s">
        <v>83</v>
      </c>
      <c r="C152" s="16" t="str">
        <f>TRIM(PROPER(ShoeSales[[#This Row],[Product]]))</f>
        <v>Monk Straps</v>
      </c>
      <c r="D152" s="6" t="s">
        <v>37</v>
      </c>
      <c r="E152" s="44" t="str">
        <f>UPPER(ShoeSales[[#This Row],[Category]])</f>
        <v>FORMAL</v>
      </c>
      <c r="F152" s="6" t="s">
        <v>38</v>
      </c>
      <c r="G152" s="6" t="s">
        <v>50</v>
      </c>
      <c r="H152" s="16" t="str">
        <f>PROPER(ShoeSales[[#This Row],[Brand]])</f>
        <v>Nike</v>
      </c>
      <c r="I152" s="6" t="s">
        <v>43</v>
      </c>
      <c r="J152" s="7">
        <v>7</v>
      </c>
      <c r="K152" s="6" t="s">
        <v>32</v>
      </c>
      <c r="L152" s="22">
        <f>VLOOKUP(ShoeSales[[#This Row],[Product Cleaned]],Price!$A$2:$C$9,2,FALSE)</f>
        <v>89</v>
      </c>
      <c r="M152" s="19">
        <f>_xlfn.XLOOKUP(ShoeSales[[#This Row],[Product Cleaned]],Price!$A$2:$A$9,Price!$B$2:$B$9)</f>
        <v>89</v>
      </c>
      <c r="N152" s="19">
        <f>_xlfn.XLOOKUP(ShoeSales[[#This Row],[Product Cleaned]],Price!$A$2:$A$9,Price!$C$2:$C$9)</f>
        <v>47</v>
      </c>
      <c r="O152" s="22">
        <f>ShoeSales[[#This Row],[Sell Price]]*ShoeSales[[#This Row],[Quantity]]</f>
        <v>623</v>
      </c>
      <c r="P152" s="19">
        <f>ShoeSales[[#This Row],[Quantity]]*ShoeSales[[#This Row],[Cost Price]]</f>
        <v>329</v>
      </c>
      <c r="Q152" s="19">
        <f>ShoeSales[[#This Row],[Revenue]]-ShoeSales[[#This Row],[Cost]]</f>
        <v>294</v>
      </c>
      <c r="R152" s="24">
        <f>ShoeSales[[#This Row],[Profit]]/ShoeSales[[#This Row],[Revenue]]</f>
        <v>0.47191011235955055</v>
      </c>
      <c r="S152" s="19"/>
      <c r="T152" s="19" t="str">
        <f>UPPER(TEXT(ShoeSales[[#This Row],[Date]], "mmm"))</f>
        <v>JUL</v>
      </c>
    </row>
    <row r="153" spans="1:20" ht="14.25" customHeight="1" x14ac:dyDescent="0.25">
      <c r="A153" s="15">
        <v>46125</v>
      </c>
      <c r="B153" s="9" t="s">
        <v>67</v>
      </c>
      <c r="C153" s="9" t="str">
        <f>TRIM(PROPER(ShoeSales[[#This Row],[Product]]))</f>
        <v>Oxford</v>
      </c>
      <c r="D153" s="9" t="s">
        <v>93</v>
      </c>
      <c r="E153" s="45" t="str">
        <f>UPPER(ShoeSales[[#This Row],[Category]])</f>
        <v>UTILITY</v>
      </c>
      <c r="F153" s="9" t="s">
        <v>56</v>
      </c>
      <c r="G153" s="9" t="s">
        <v>72</v>
      </c>
      <c r="H153" s="9" t="str">
        <f>PROPER(ShoeSales[[#This Row],[Brand]])</f>
        <v>Zara</v>
      </c>
      <c r="I153" s="9" t="s">
        <v>73</v>
      </c>
      <c r="J153" s="10">
        <v>6</v>
      </c>
      <c r="K153" s="9" t="s">
        <v>62</v>
      </c>
      <c r="L153" s="22">
        <f>VLOOKUP(ShoeSales[[#This Row],[Product Cleaned]],Price!$A$2:$C$9,2,FALSE)</f>
        <v>105</v>
      </c>
      <c r="M153" s="19">
        <f>_xlfn.XLOOKUP(ShoeSales[[#This Row],[Product Cleaned]],Price!$A$2:$A$9,Price!$B$2:$B$9)</f>
        <v>105</v>
      </c>
      <c r="N153" s="19">
        <f>_xlfn.XLOOKUP(ShoeSales[[#This Row],[Product Cleaned]],Price!$A$2:$A$9,Price!$C$2:$C$9)</f>
        <v>58</v>
      </c>
      <c r="O153" s="22">
        <f>ShoeSales[[#This Row],[Sell Price]]*ShoeSales[[#This Row],[Quantity]]</f>
        <v>630</v>
      </c>
      <c r="P153" s="19">
        <f>ShoeSales[[#This Row],[Quantity]]*ShoeSales[[#This Row],[Cost Price]]</f>
        <v>348</v>
      </c>
      <c r="Q153" s="19">
        <f>ShoeSales[[#This Row],[Revenue]]-ShoeSales[[#This Row],[Cost]]</f>
        <v>282</v>
      </c>
      <c r="R153" s="24">
        <f>ShoeSales[[#This Row],[Profit]]/ShoeSales[[#This Row],[Revenue]]</f>
        <v>0.44761904761904764</v>
      </c>
      <c r="S153" s="19"/>
      <c r="T153" s="19" t="str">
        <f>UPPER(TEXT(ShoeSales[[#This Row],[Date]], "mmm"))</f>
        <v>APR</v>
      </c>
    </row>
    <row r="154" spans="1:20" ht="14.25" customHeight="1" x14ac:dyDescent="0.25">
      <c r="A154" s="14">
        <v>46199</v>
      </c>
      <c r="B154" s="6" t="s">
        <v>79</v>
      </c>
      <c r="C154" s="16" t="str">
        <f>TRIM(PROPER(ShoeSales[[#This Row],[Product]]))</f>
        <v>Brogues</v>
      </c>
      <c r="D154" s="6" t="s">
        <v>42</v>
      </c>
      <c r="E154" s="44" t="str">
        <f>UPPER(ShoeSales[[#This Row],[Category]])</f>
        <v>UTILITY</v>
      </c>
      <c r="F154" s="6" t="s">
        <v>56</v>
      </c>
      <c r="G154" s="6" t="s">
        <v>50</v>
      </c>
      <c r="H154" s="16" t="str">
        <f>PROPER(ShoeSales[[#This Row],[Brand]])</f>
        <v>Nike</v>
      </c>
      <c r="I154" s="6" t="s">
        <v>64</v>
      </c>
      <c r="J154" s="7">
        <v>8</v>
      </c>
      <c r="K154" s="6" t="s">
        <v>32</v>
      </c>
      <c r="L154" s="22">
        <f>VLOOKUP(ShoeSales[[#This Row],[Product Cleaned]],Price!$A$2:$C$9,2,FALSE)</f>
        <v>112</v>
      </c>
      <c r="M154" s="19">
        <f>_xlfn.XLOOKUP(ShoeSales[[#This Row],[Product Cleaned]],Price!$A$2:$A$9,Price!$B$2:$B$9)</f>
        <v>112</v>
      </c>
      <c r="N154" s="19">
        <f>_xlfn.XLOOKUP(ShoeSales[[#This Row],[Product Cleaned]],Price!$A$2:$A$9,Price!$C$2:$C$9)</f>
        <v>64</v>
      </c>
      <c r="O154" s="22">
        <f>ShoeSales[[#This Row],[Sell Price]]*ShoeSales[[#This Row],[Quantity]]</f>
        <v>896</v>
      </c>
      <c r="P154" s="19">
        <f>ShoeSales[[#This Row],[Quantity]]*ShoeSales[[#This Row],[Cost Price]]</f>
        <v>512</v>
      </c>
      <c r="Q154" s="19">
        <f>ShoeSales[[#This Row],[Revenue]]-ShoeSales[[#This Row],[Cost]]</f>
        <v>384</v>
      </c>
      <c r="R154" s="24">
        <f>ShoeSales[[#This Row],[Profit]]/ShoeSales[[#This Row],[Revenue]]</f>
        <v>0.42857142857142855</v>
      </c>
      <c r="S154" s="19"/>
      <c r="T154" s="19" t="str">
        <f>UPPER(TEXT(ShoeSales[[#This Row],[Date]], "mmm"))</f>
        <v>JUN</v>
      </c>
    </row>
    <row r="155" spans="1:20" ht="14.25" customHeight="1" x14ac:dyDescent="0.25">
      <c r="A155" s="15">
        <v>46092</v>
      </c>
      <c r="B155" s="9" t="s">
        <v>41</v>
      </c>
      <c r="C155" s="9" t="str">
        <f>TRIM(PROPER(ShoeSales[[#This Row],[Product]]))</f>
        <v>Boots</v>
      </c>
      <c r="D155" s="9" t="s">
        <v>28</v>
      </c>
      <c r="E155" s="45" t="str">
        <f>UPPER(ShoeSales[[#This Row],[Category]])</f>
        <v>FORMAL</v>
      </c>
      <c r="F155" s="9" t="s">
        <v>38</v>
      </c>
      <c r="G155" s="9" t="s">
        <v>69</v>
      </c>
      <c r="H155" s="9" t="str">
        <f>PROPER(ShoeSales[[#This Row],[Brand]])</f>
        <v>Zara</v>
      </c>
      <c r="I155" s="9" t="s">
        <v>43</v>
      </c>
      <c r="J155" s="10">
        <v>13</v>
      </c>
      <c r="K155" s="9" t="s">
        <v>36</v>
      </c>
      <c r="L155" s="22">
        <f>VLOOKUP(ShoeSales[[#This Row],[Product Cleaned]],Price!$A$2:$C$9,2,FALSE)</f>
        <v>76</v>
      </c>
      <c r="M155" s="19">
        <f>_xlfn.XLOOKUP(ShoeSales[[#This Row],[Product Cleaned]],Price!$A$2:$A$9,Price!$B$2:$B$9)</f>
        <v>76</v>
      </c>
      <c r="N155" s="19">
        <f>_xlfn.XLOOKUP(ShoeSales[[#This Row],[Product Cleaned]],Price!$A$2:$A$9,Price!$C$2:$C$9)</f>
        <v>39</v>
      </c>
      <c r="O155" s="22">
        <f>ShoeSales[[#This Row],[Sell Price]]*ShoeSales[[#This Row],[Quantity]]</f>
        <v>988</v>
      </c>
      <c r="P155" s="19">
        <f>ShoeSales[[#This Row],[Quantity]]*ShoeSales[[#This Row],[Cost Price]]</f>
        <v>507</v>
      </c>
      <c r="Q155" s="19">
        <f>ShoeSales[[#This Row],[Revenue]]-ShoeSales[[#This Row],[Cost]]</f>
        <v>481</v>
      </c>
      <c r="R155" s="24">
        <f>ShoeSales[[#This Row],[Profit]]/ShoeSales[[#This Row],[Revenue]]</f>
        <v>0.48684210526315791</v>
      </c>
      <c r="S155" s="19"/>
      <c r="T155" s="19" t="str">
        <f>UPPER(TEXT(ShoeSales[[#This Row],[Date]], "mmm"))</f>
        <v>MAR</v>
      </c>
    </row>
    <row r="156" spans="1:20" ht="14.25" customHeight="1" x14ac:dyDescent="0.25">
      <c r="A156" s="14">
        <v>46194</v>
      </c>
      <c r="B156" s="6" t="s">
        <v>52</v>
      </c>
      <c r="C156" s="16" t="str">
        <f>TRIM(PROPER(ShoeSales[[#This Row],[Product]]))</f>
        <v>Canvas</v>
      </c>
      <c r="D156" s="6" t="s">
        <v>58</v>
      </c>
      <c r="E156" s="44" t="str">
        <f>UPPER(ShoeSales[[#This Row],[Category]])</f>
        <v>FORMAL</v>
      </c>
      <c r="F156" s="6" t="s">
        <v>34</v>
      </c>
      <c r="G156" s="6" t="s">
        <v>57</v>
      </c>
      <c r="H156" s="16" t="str">
        <f>PROPER(ShoeSales[[#This Row],[Brand]])</f>
        <v>Timberland</v>
      </c>
      <c r="I156" s="6" t="s">
        <v>40</v>
      </c>
      <c r="J156" s="7">
        <v>11</v>
      </c>
      <c r="K156" s="6" t="s">
        <v>36</v>
      </c>
      <c r="L156" s="22">
        <f>VLOOKUP(ShoeSales[[#This Row],[Product Cleaned]],Price!$A$2:$C$9,2,FALSE)</f>
        <v>128</v>
      </c>
      <c r="M156" s="19">
        <f>_xlfn.XLOOKUP(ShoeSales[[#This Row],[Product Cleaned]],Price!$A$2:$A$9,Price!$B$2:$B$9)</f>
        <v>128</v>
      </c>
      <c r="N156" s="19">
        <f>_xlfn.XLOOKUP(ShoeSales[[#This Row],[Product Cleaned]],Price!$A$2:$A$9,Price!$C$2:$C$9)</f>
        <v>72</v>
      </c>
      <c r="O156" s="22">
        <f>ShoeSales[[#This Row],[Sell Price]]*ShoeSales[[#This Row],[Quantity]]</f>
        <v>1408</v>
      </c>
      <c r="P156" s="19">
        <f>ShoeSales[[#This Row],[Quantity]]*ShoeSales[[#This Row],[Cost Price]]</f>
        <v>792</v>
      </c>
      <c r="Q156" s="19">
        <f>ShoeSales[[#This Row],[Revenue]]-ShoeSales[[#This Row],[Cost]]</f>
        <v>616</v>
      </c>
      <c r="R156" s="24">
        <f>ShoeSales[[#This Row],[Profit]]/ShoeSales[[#This Row],[Revenue]]</f>
        <v>0.4375</v>
      </c>
      <c r="S156" s="19"/>
      <c r="T156" s="19" t="str">
        <f>UPPER(TEXT(ShoeSales[[#This Row],[Date]], "mmm"))</f>
        <v>JUN</v>
      </c>
    </row>
    <row r="157" spans="1:20" ht="14.25" customHeight="1" x14ac:dyDescent="0.25">
      <c r="A157" s="15">
        <v>46179</v>
      </c>
      <c r="B157" s="9" t="s">
        <v>85</v>
      </c>
      <c r="C157" s="9" t="str">
        <f>TRIM(PROPER(ShoeSales[[#This Row],[Product]]))</f>
        <v>Brogues</v>
      </c>
      <c r="D157" s="9" t="s">
        <v>58</v>
      </c>
      <c r="E157" s="45" t="str">
        <f>UPPER(ShoeSales[[#This Row],[Category]])</f>
        <v>FORMAL</v>
      </c>
      <c r="F157" s="9" t="s">
        <v>56</v>
      </c>
      <c r="G157" s="9" t="s">
        <v>69</v>
      </c>
      <c r="H157" s="9" t="str">
        <f>PROPER(ShoeSales[[#This Row],[Brand]])</f>
        <v>Zara</v>
      </c>
      <c r="I157" s="9" t="s">
        <v>51</v>
      </c>
      <c r="J157" s="10">
        <v>8</v>
      </c>
      <c r="K157" s="9" t="s">
        <v>62</v>
      </c>
      <c r="L157" s="22">
        <f>VLOOKUP(ShoeSales[[#This Row],[Product Cleaned]],Price!$A$2:$C$9,2,FALSE)</f>
        <v>112</v>
      </c>
      <c r="M157" s="19">
        <f>_xlfn.XLOOKUP(ShoeSales[[#This Row],[Product Cleaned]],Price!$A$2:$A$9,Price!$B$2:$B$9)</f>
        <v>112</v>
      </c>
      <c r="N157" s="19">
        <f>_xlfn.XLOOKUP(ShoeSales[[#This Row],[Product Cleaned]],Price!$A$2:$A$9,Price!$C$2:$C$9)</f>
        <v>64</v>
      </c>
      <c r="O157" s="22">
        <f>ShoeSales[[#This Row],[Sell Price]]*ShoeSales[[#This Row],[Quantity]]</f>
        <v>896</v>
      </c>
      <c r="P157" s="19">
        <f>ShoeSales[[#This Row],[Quantity]]*ShoeSales[[#This Row],[Cost Price]]</f>
        <v>512</v>
      </c>
      <c r="Q157" s="19">
        <f>ShoeSales[[#This Row],[Revenue]]-ShoeSales[[#This Row],[Cost]]</f>
        <v>384</v>
      </c>
      <c r="R157" s="24">
        <f>ShoeSales[[#This Row],[Profit]]/ShoeSales[[#This Row],[Revenue]]</f>
        <v>0.42857142857142855</v>
      </c>
      <c r="S157" s="19"/>
      <c r="T157" s="19" t="str">
        <f>UPPER(TEXT(ShoeSales[[#This Row],[Date]], "mmm"))</f>
        <v>JUN</v>
      </c>
    </row>
    <row r="158" spans="1:20" ht="14.25" customHeight="1" x14ac:dyDescent="0.25">
      <c r="A158" s="14">
        <v>46024</v>
      </c>
      <c r="B158" s="6" t="s">
        <v>33</v>
      </c>
      <c r="C158" s="16" t="str">
        <f>TRIM(PROPER(ShoeSales[[#This Row],[Product]]))</f>
        <v>Loafers</v>
      </c>
      <c r="D158" s="6" t="s">
        <v>37</v>
      </c>
      <c r="E158" s="44" t="str">
        <f>UPPER(ShoeSales[[#This Row],[Category]])</f>
        <v>FORMAL</v>
      </c>
      <c r="F158" s="6" t="s">
        <v>34</v>
      </c>
      <c r="G158" s="6" t="s">
        <v>80</v>
      </c>
      <c r="H158" s="16" t="str">
        <f>PROPER(ShoeSales[[#This Row],[Brand]])</f>
        <v>Steve Madden</v>
      </c>
      <c r="I158" s="6" t="s">
        <v>61</v>
      </c>
      <c r="J158" s="7">
        <v>13</v>
      </c>
      <c r="K158" s="6" t="s">
        <v>62</v>
      </c>
      <c r="L158" s="22">
        <f>VLOOKUP(ShoeSales[[#This Row],[Product Cleaned]],Price!$A$2:$C$9,2,FALSE)</f>
        <v>54</v>
      </c>
      <c r="M158" s="19">
        <f>_xlfn.XLOOKUP(ShoeSales[[#This Row],[Product Cleaned]],Price!$A$2:$A$9,Price!$B$2:$B$9)</f>
        <v>54</v>
      </c>
      <c r="N158" s="19">
        <f>_xlfn.XLOOKUP(ShoeSales[[#This Row],[Product Cleaned]],Price!$A$2:$A$9,Price!$C$2:$C$9)</f>
        <v>28</v>
      </c>
      <c r="O158" s="22">
        <f>ShoeSales[[#This Row],[Sell Price]]*ShoeSales[[#This Row],[Quantity]]</f>
        <v>702</v>
      </c>
      <c r="P158" s="19">
        <f>ShoeSales[[#This Row],[Quantity]]*ShoeSales[[#This Row],[Cost Price]]</f>
        <v>364</v>
      </c>
      <c r="Q158" s="19">
        <f>ShoeSales[[#This Row],[Revenue]]-ShoeSales[[#This Row],[Cost]]</f>
        <v>338</v>
      </c>
      <c r="R158" s="24">
        <f>ShoeSales[[#This Row],[Profit]]/ShoeSales[[#This Row],[Revenue]]</f>
        <v>0.48148148148148145</v>
      </c>
      <c r="S158" s="19"/>
      <c r="T158" s="19" t="str">
        <f>UPPER(TEXT(ShoeSales[[#This Row],[Date]], "mmm"))</f>
        <v>JAN</v>
      </c>
    </row>
    <row r="159" spans="1:20" ht="14.25" customHeight="1" x14ac:dyDescent="0.25">
      <c r="A159" s="15">
        <v>46024</v>
      </c>
      <c r="B159" s="9" t="s">
        <v>83</v>
      </c>
      <c r="C159" s="9" t="str">
        <f>TRIM(PROPER(ShoeSales[[#This Row],[Product]]))</f>
        <v>Monk Straps</v>
      </c>
      <c r="D159" s="9" t="s">
        <v>42</v>
      </c>
      <c r="E159" s="45" t="str">
        <f>UPPER(ShoeSales[[#This Row],[Category]])</f>
        <v>UTILITY</v>
      </c>
      <c r="F159" s="9" t="s">
        <v>49</v>
      </c>
      <c r="G159" s="9" t="s">
        <v>82</v>
      </c>
      <c r="H159" s="9" t="str">
        <f>PROPER(ShoeSales[[#This Row],[Brand]])</f>
        <v>Zara</v>
      </c>
      <c r="I159" s="9" t="s">
        <v>40</v>
      </c>
      <c r="J159" s="10">
        <v>12</v>
      </c>
      <c r="K159" s="9" t="s">
        <v>54</v>
      </c>
      <c r="L159" s="22">
        <f>VLOOKUP(ShoeSales[[#This Row],[Product Cleaned]],Price!$A$2:$C$9,2,FALSE)</f>
        <v>89</v>
      </c>
      <c r="M159" s="19">
        <f>_xlfn.XLOOKUP(ShoeSales[[#This Row],[Product Cleaned]],Price!$A$2:$A$9,Price!$B$2:$B$9)</f>
        <v>89</v>
      </c>
      <c r="N159" s="19">
        <f>_xlfn.XLOOKUP(ShoeSales[[#This Row],[Product Cleaned]],Price!$A$2:$A$9,Price!$C$2:$C$9)</f>
        <v>47</v>
      </c>
      <c r="O159" s="22">
        <f>ShoeSales[[#This Row],[Sell Price]]*ShoeSales[[#This Row],[Quantity]]</f>
        <v>1068</v>
      </c>
      <c r="P159" s="19">
        <f>ShoeSales[[#This Row],[Quantity]]*ShoeSales[[#This Row],[Cost Price]]</f>
        <v>564</v>
      </c>
      <c r="Q159" s="19">
        <f>ShoeSales[[#This Row],[Revenue]]-ShoeSales[[#This Row],[Cost]]</f>
        <v>504</v>
      </c>
      <c r="R159" s="24">
        <f>ShoeSales[[#This Row],[Profit]]/ShoeSales[[#This Row],[Revenue]]</f>
        <v>0.47191011235955055</v>
      </c>
      <c r="S159" s="19"/>
      <c r="T159" s="19" t="str">
        <f>UPPER(TEXT(ShoeSales[[#This Row],[Date]], "mmm"))</f>
        <v>JAN</v>
      </c>
    </row>
    <row r="160" spans="1:20" ht="14.25" customHeight="1" x14ac:dyDescent="0.25">
      <c r="A160" s="14">
        <v>46106</v>
      </c>
      <c r="B160" s="6" t="s">
        <v>44</v>
      </c>
      <c r="C160" s="16" t="str">
        <f>TRIM(PROPER(ShoeSales[[#This Row],[Product]]))</f>
        <v>Boots</v>
      </c>
      <c r="D160" s="6" t="s">
        <v>45</v>
      </c>
      <c r="E160" s="44" t="str">
        <f>UPPER(ShoeSales[[#This Row],[Category]])</f>
        <v>CASUAL</v>
      </c>
      <c r="F160" s="6" t="s">
        <v>38</v>
      </c>
      <c r="G160" s="6" t="s">
        <v>39</v>
      </c>
      <c r="H160" s="16" t="str">
        <f>PROPER(ShoeSales[[#This Row],[Brand]])</f>
        <v>Clarks</v>
      </c>
      <c r="I160" s="6" t="s">
        <v>64</v>
      </c>
      <c r="J160" s="7">
        <v>1</v>
      </c>
      <c r="K160" s="6" t="s">
        <v>36</v>
      </c>
      <c r="L160" s="22">
        <f>VLOOKUP(ShoeSales[[#This Row],[Product Cleaned]],Price!$A$2:$C$9,2,FALSE)</f>
        <v>76</v>
      </c>
      <c r="M160" s="19">
        <f>_xlfn.XLOOKUP(ShoeSales[[#This Row],[Product Cleaned]],Price!$A$2:$A$9,Price!$B$2:$B$9)</f>
        <v>76</v>
      </c>
      <c r="N160" s="19">
        <f>_xlfn.XLOOKUP(ShoeSales[[#This Row],[Product Cleaned]],Price!$A$2:$A$9,Price!$C$2:$C$9)</f>
        <v>39</v>
      </c>
      <c r="O160" s="22">
        <f>ShoeSales[[#This Row],[Sell Price]]*ShoeSales[[#This Row],[Quantity]]</f>
        <v>76</v>
      </c>
      <c r="P160" s="19">
        <f>ShoeSales[[#This Row],[Quantity]]*ShoeSales[[#This Row],[Cost Price]]</f>
        <v>39</v>
      </c>
      <c r="Q160" s="19">
        <f>ShoeSales[[#This Row],[Revenue]]-ShoeSales[[#This Row],[Cost]]</f>
        <v>37</v>
      </c>
      <c r="R160" s="24">
        <f>ShoeSales[[#This Row],[Profit]]/ShoeSales[[#This Row],[Revenue]]</f>
        <v>0.48684210526315791</v>
      </c>
      <c r="S160" s="19"/>
      <c r="T160" s="19" t="str">
        <f>UPPER(TEXT(ShoeSales[[#This Row],[Date]], "mmm"))</f>
        <v>MAR</v>
      </c>
    </row>
    <row r="161" spans="1:20" ht="14.25" customHeight="1" x14ac:dyDescent="0.25">
      <c r="A161" s="15">
        <v>46187</v>
      </c>
      <c r="B161" s="9" t="s">
        <v>90</v>
      </c>
      <c r="C161" s="9" t="str">
        <f>TRIM(PROPER(ShoeSales[[#This Row],[Product]]))</f>
        <v>Loafers</v>
      </c>
      <c r="D161" s="9" t="s">
        <v>37</v>
      </c>
      <c r="E161" s="45" t="str">
        <f>UPPER(ShoeSales[[#This Row],[Category]])</f>
        <v>FORMAL</v>
      </c>
      <c r="F161" s="9" t="s">
        <v>29</v>
      </c>
      <c r="G161" s="9" t="s">
        <v>63</v>
      </c>
      <c r="H161" s="9" t="str">
        <f>PROPER(ShoeSales[[#This Row],[Brand]])</f>
        <v>Clarks</v>
      </c>
      <c r="I161" s="9" t="s">
        <v>47</v>
      </c>
      <c r="J161" s="10">
        <v>10</v>
      </c>
      <c r="K161" s="9" t="s">
        <v>62</v>
      </c>
      <c r="L161" s="22">
        <f>VLOOKUP(ShoeSales[[#This Row],[Product Cleaned]],Price!$A$2:$C$9,2,FALSE)</f>
        <v>54</v>
      </c>
      <c r="M161" s="19">
        <f>_xlfn.XLOOKUP(ShoeSales[[#This Row],[Product Cleaned]],Price!$A$2:$A$9,Price!$B$2:$B$9)</f>
        <v>54</v>
      </c>
      <c r="N161" s="19">
        <f>_xlfn.XLOOKUP(ShoeSales[[#This Row],[Product Cleaned]],Price!$A$2:$A$9,Price!$C$2:$C$9)</f>
        <v>28</v>
      </c>
      <c r="O161" s="22">
        <f>ShoeSales[[#This Row],[Sell Price]]*ShoeSales[[#This Row],[Quantity]]</f>
        <v>540</v>
      </c>
      <c r="P161" s="19">
        <f>ShoeSales[[#This Row],[Quantity]]*ShoeSales[[#This Row],[Cost Price]]</f>
        <v>280</v>
      </c>
      <c r="Q161" s="19">
        <f>ShoeSales[[#This Row],[Revenue]]-ShoeSales[[#This Row],[Cost]]</f>
        <v>260</v>
      </c>
      <c r="R161" s="24">
        <f>ShoeSales[[#This Row],[Profit]]/ShoeSales[[#This Row],[Revenue]]</f>
        <v>0.48148148148148145</v>
      </c>
      <c r="S161" s="19"/>
      <c r="T161" s="19" t="str">
        <f>UPPER(TEXT(ShoeSales[[#This Row],[Date]], "mmm"))</f>
        <v>JUN</v>
      </c>
    </row>
    <row r="162" spans="1:20" ht="14.25" customHeight="1" x14ac:dyDescent="0.25">
      <c r="A162" s="14">
        <v>46124</v>
      </c>
      <c r="B162" s="6" t="s">
        <v>83</v>
      </c>
      <c r="C162" s="16" t="str">
        <f>TRIM(PROPER(ShoeSales[[#This Row],[Product]]))</f>
        <v>Monk Straps</v>
      </c>
      <c r="D162" s="6" t="s">
        <v>77</v>
      </c>
      <c r="E162" s="44" t="str">
        <f>UPPER(ShoeSales[[#This Row],[Category]])</f>
        <v>CASUAL</v>
      </c>
      <c r="F162" s="6" t="s">
        <v>29</v>
      </c>
      <c r="G162" s="6" t="s">
        <v>80</v>
      </c>
      <c r="H162" s="16" t="str">
        <f>PROPER(ShoeSales[[#This Row],[Brand]])</f>
        <v>Steve Madden</v>
      </c>
      <c r="I162" s="6" t="s">
        <v>47</v>
      </c>
      <c r="J162" s="7">
        <v>15</v>
      </c>
      <c r="K162" s="6" t="s">
        <v>54</v>
      </c>
      <c r="L162" s="22">
        <f>VLOOKUP(ShoeSales[[#This Row],[Product Cleaned]],Price!$A$2:$C$9,2,FALSE)</f>
        <v>89</v>
      </c>
      <c r="M162" s="19">
        <f>_xlfn.XLOOKUP(ShoeSales[[#This Row],[Product Cleaned]],Price!$A$2:$A$9,Price!$B$2:$B$9)</f>
        <v>89</v>
      </c>
      <c r="N162" s="19">
        <f>_xlfn.XLOOKUP(ShoeSales[[#This Row],[Product Cleaned]],Price!$A$2:$A$9,Price!$C$2:$C$9)</f>
        <v>47</v>
      </c>
      <c r="O162" s="22">
        <f>ShoeSales[[#This Row],[Sell Price]]*ShoeSales[[#This Row],[Quantity]]</f>
        <v>1335</v>
      </c>
      <c r="P162" s="19">
        <f>ShoeSales[[#This Row],[Quantity]]*ShoeSales[[#This Row],[Cost Price]]</f>
        <v>705</v>
      </c>
      <c r="Q162" s="19">
        <f>ShoeSales[[#This Row],[Revenue]]-ShoeSales[[#This Row],[Cost]]</f>
        <v>630</v>
      </c>
      <c r="R162" s="24">
        <f>ShoeSales[[#This Row],[Profit]]/ShoeSales[[#This Row],[Revenue]]</f>
        <v>0.47191011235955055</v>
      </c>
      <c r="S162" s="19"/>
      <c r="T162" s="19" t="str">
        <f>UPPER(TEXT(ShoeSales[[#This Row],[Date]], "mmm"))</f>
        <v>APR</v>
      </c>
    </row>
    <row r="163" spans="1:20" ht="14.25" customHeight="1" x14ac:dyDescent="0.25">
      <c r="A163" s="15">
        <v>46086</v>
      </c>
      <c r="B163" s="9" t="s">
        <v>15</v>
      </c>
      <c r="C163" s="9" t="str">
        <f>TRIM(PROPER(ShoeSales[[#This Row],[Product]]))</f>
        <v>Slippers</v>
      </c>
      <c r="D163" s="9" t="s">
        <v>28</v>
      </c>
      <c r="E163" s="45" t="str">
        <f>UPPER(ShoeSales[[#This Row],[Category]])</f>
        <v>FORMAL</v>
      </c>
      <c r="F163" s="9" t="s">
        <v>56</v>
      </c>
      <c r="G163" s="9" t="s">
        <v>63</v>
      </c>
      <c r="H163" s="9" t="str">
        <f>PROPER(ShoeSales[[#This Row],[Brand]])</f>
        <v>Clarks</v>
      </c>
      <c r="I163" s="9" t="s">
        <v>43</v>
      </c>
      <c r="J163" s="10">
        <v>3</v>
      </c>
      <c r="K163" s="9" t="s">
        <v>62</v>
      </c>
      <c r="L163" s="22">
        <f>VLOOKUP(ShoeSales[[#This Row],[Product Cleaned]],Price!$A$2:$C$9,2,FALSE)</f>
        <v>119</v>
      </c>
      <c r="M163" s="19">
        <f>_xlfn.XLOOKUP(ShoeSales[[#This Row],[Product Cleaned]],Price!$A$2:$A$9,Price!$B$2:$B$9)</f>
        <v>119</v>
      </c>
      <c r="N163" s="19">
        <f>_xlfn.XLOOKUP(ShoeSales[[#This Row],[Product Cleaned]],Price!$A$2:$A$9,Price!$C$2:$C$9)</f>
        <v>67</v>
      </c>
      <c r="O163" s="22">
        <f>ShoeSales[[#This Row],[Sell Price]]*ShoeSales[[#This Row],[Quantity]]</f>
        <v>357</v>
      </c>
      <c r="P163" s="19">
        <f>ShoeSales[[#This Row],[Quantity]]*ShoeSales[[#This Row],[Cost Price]]</f>
        <v>201</v>
      </c>
      <c r="Q163" s="19">
        <f>ShoeSales[[#This Row],[Revenue]]-ShoeSales[[#This Row],[Cost]]</f>
        <v>156</v>
      </c>
      <c r="R163" s="24">
        <f>ShoeSales[[#This Row],[Profit]]/ShoeSales[[#This Row],[Revenue]]</f>
        <v>0.43697478991596639</v>
      </c>
      <c r="S163" s="19"/>
      <c r="T163" s="19" t="str">
        <f>UPPER(TEXT(ShoeSales[[#This Row],[Date]], "mmm"))</f>
        <v>MAR</v>
      </c>
    </row>
    <row r="164" spans="1:20" ht="14.25" customHeight="1" x14ac:dyDescent="0.25">
      <c r="A164" s="14">
        <v>46028</v>
      </c>
      <c r="B164" s="6" t="s">
        <v>44</v>
      </c>
      <c r="C164" s="16" t="str">
        <f>TRIM(PROPER(ShoeSales[[#This Row],[Product]]))</f>
        <v>Boots</v>
      </c>
      <c r="D164" s="6" t="s">
        <v>77</v>
      </c>
      <c r="E164" s="44" t="str">
        <f>UPPER(ShoeSales[[#This Row],[Category]])</f>
        <v>CASUAL</v>
      </c>
      <c r="F164" s="6" t="s">
        <v>49</v>
      </c>
      <c r="G164" s="6" t="s">
        <v>80</v>
      </c>
      <c r="H164" s="16" t="str">
        <f>PROPER(ShoeSales[[#This Row],[Brand]])</f>
        <v>Steve Madden</v>
      </c>
      <c r="I164" s="6" t="s">
        <v>40</v>
      </c>
      <c r="J164" s="7">
        <v>1</v>
      </c>
      <c r="K164" s="6" t="s">
        <v>32</v>
      </c>
      <c r="L164" s="22">
        <f>VLOOKUP(ShoeSales[[#This Row],[Product Cleaned]],Price!$A$2:$C$9,2,FALSE)</f>
        <v>76</v>
      </c>
      <c r="M164" s="19">
        <f>_xlfn.XLOOKUP(ShoeSales[[#This Row],[Product Cleaned]],Price!$A$2:$A$9,Price!$B$2:$B$9)</f>
        <v>76</v>
      </c>
      <c r="N164" s="19">
        <f>_xlfn.XLOOKUP(ShoeSales[[#This Row],[Product Cleaned]],Price!$A$2:$A$9,Price!$C$2:$C$9)</f>
        <v>39</v>
      </c>
      <c r="O164" s="22">
        <f>ShoeSales[[#This Row],[Sell Price]]*ShoeSales[[#This Row],[Quantity]]</f>
        <v>76</v>
      </c>
      <c r="P164" s="19">
        <f>ShoeSales[[#This Row],[Quantity]]*ShoeSales[[#This Row],[Cost Price]]</f>
        <v>39</v>
      </c>
      <c r="Q164" s="19">
        <f>ShoeSales[[#This Row],[Revenue]]-ShoeSales[[#This Row],[Cost]]</f>
        <v>37</v>
      </c>
      <c r="R164" s="24">
        <f>ShoeSales[[#This Row],[Profit]]/ShoeSales[[#This Row],[Revenue]]</f>
        <v>0.48684210526315791</v>
      </c>
      <c r="S164" s="19"/>
      <c r="T164" s="19" t="str">
        <f>UPPER(TEXT(ShoeSales[[#This Row],[Date]], "mmm"))</f>
        <v>JAN</v>
      </c>
    </row>
    <row r="165" spans="1:20" ht="14.25" customHeight="1" x14ac:dyDescent="0.25">
      <c r="A165" s="15">
        <v>46218</v>
      </c>
      <c r="B165" s="9" t="s">
        <v>33</v>
      </c>
      <c r="C165" s="9" t="str">
        <f>TRIM(PROPER(ShoeSales[[#This Row],[Product]]))</f>
        <v>Loafers</v>
      </c>
      <c r="D165" s="9" t="s">
        <v>77</v>
      </c>
      <c r="E165" s="45" t="str">
        <f>UPPER(ShoeSales[[#This Row],[Category]])</f>
        <v>CASUAL</v>
      </c>
      <c r="F165" s="9" t="s">
        <v>29</v>
      </c>
      <c r="G165" s="9" t="s">
        <v>46</v>
      </c>
      <c r="H165" s="9" t="str">
        <f>PROPER(ShoeSales[[#This Row],[Brand]])</f>
        <v>Clarks</v>
      </c>
      <c r="I165" s="9" t="s">
        <v>51</v>
      </c>
      <c r="J165" s="10">
        <v>9</v>
      </c>
      <c r="K165" s="9" t="s">
        <v>54</v>
      </c>
      <c r="L165" s="22">
        <f>VLOOKUP(ShoeSales[[#This Row],[Product Cleaned]],Price!$A$2:$C$9,2,FALSE)</f>
        <v>54</v>
      </c>
      <c r="M165" s="19">
        <f>_xlfn.XLOOKUP(ShoeSales[[#This Row],[Product Cleaned]],Price!$A$2:$A$9,Price!$B$2:$B$9)</f>
        <v>54</v>
      </c>
      <c r="N165" s="19">
        <f>_xlfn.XLOOKUP(ShoeSales[[#This Row],[Product Cleaned]],Price!$A$2:$A$9,Price!$C$2:$C$9)</f>
        <v>28</v>
      </c>
      <c r="O165" s="22">
        <f>ShoeSales[[#This Row],[Sell Price]]*ShoeSales[[#This Row],[Quantity]]</f>
        <v>486</v>
      </c>
      <c r="P165" s="19">
        <f>ShoeSales[[#This Row],[Quantity]]*ShoeSales[[#This Row],[Cost Price]]</f>
        <v>252</v>
      </c>
      <c r="Q165" s="19">
        <f>ShoeSales[[#This Row],[Revenue]]-ShoeSales[[#This Row],[Cost]]</f>
        <v>234</v>
      </c>
      <c r="R165" s="24">
        <f>ShoeSales[[#This Row],[Profit]]/ShoeSales[[#This Row],[Revenue]]</f>
        <v>0.48148148148148145</v>
      </c>
      <c r="S165" s="19"/>
      <c r="T165" s="19" t="str">
        <f>UPPER(TEXT(ShoeSales[[#This Row],[Date]], "mmm"))</f>
        <v>JUL</v>
      </c>
    </row>
    <row r="166" spans="1:20" ht="14.25" customHeight="1" x14ac:dyDescent="0.25">
      <c r="A166" s="14">
        <v>46147</v>
      </c>
      <c r="B166" s="6" t="s">
        <v>7</v>
      </c>
      <c r="C166" s="16" t="str">
        <f>TRIM(PROPER(ShoeSales[[#This Row],[Product]]))</f>
        <v>Derby</v>
      </c>
      <c r="D166" s="6" t="s">
        <v>42</v>
      </c>
      <c r="E166" s="44" t="str">
        <f>UPPER(ShoeSales[[#This Row],[Category]])</f>
        <v>UTILITY</v>
      </c>
      <c r="F166" s="6" t="s">
        <v>34</v>
      </c>
      <c r="G166" s="6" t="s">
        <v>69</v>
      </c>
      <c r="H166" s="16" t="str">
        <f>PROPER(ShoeSales[[#This Row],[Brand]])</f>
        <v>Zara</v>
      </c>
      <c r="I166" s="6" t="s">
        <v>61</v>
      </c>
      <c r="J166" s="7">
        <v>13</v>
      </c>
      <c r="K166" s="6" t="s">
        <v>32</v>
      </c>
      <c r="L166" s="22">
        <f>VLOOKUP(ShoeSales[[#This Row],[Product Cleaned]],Price!$A$2:$C$9,2,FALSE)</f>
        <v>32</v>
      </c>
      <c r="M166" s="19">
        <f>_xlfn.XLOOKUP(ShoeSales[[#This Row],[Product Cleaned]],Price!$A$2:$A$9,Price!$B$2:$B$9)</f>
        <v>32</v>
      </c>
      <c r="N166" s="19">
        <f>_xlfn.XLOOKUP(ShoeSales[[#This Row],[Product Cleaned]],Price!$A$2:$A$9,Price!$C$2:$C$9)</f>
        <v>14</v>
      </c>
      <c r="O166" s="22">
        <f>ShoeSales[[#This Row],[Sell Price]]*ShoeSales[[#This Row],[Quantity]]</f>
        <v>416</v>
      </c>
      <c r="P166" s="19">
        <f>ShoeSales[[#This Row],[Quantity]]*ShoeSales[[#This Row],[Cost Price]]</f>
        <v>182</v>
      </c>
      <c r="Q166" s="19">
        <f>ShoeSales[[#This Row],[Revenue]]-ShoeSales[[#This Row],[Cost]]</f>
        <v>234</v>
      </c>
      <c r="R166" s="24">
        <f>ShoeSales[[#This Row],[Profit]]/ShoeSales[[#This Row],[Revenue]]</f>
        <v>0.5625</v>
      </c>
      <c r="S166" s="19"/>
      <c r="T166" s="19" t="str">
        <f>UPPER(TEXT(ShoeSales[[#This Row],[Date]], "mmm"))</f>
        <v>MAY</v>
      </c>
    </row>
    <row r="167" spans="1:20" ht="14.25" customHeight="1" x14ac:dyDescent="0.25">
      <c r="A167" s="15">
        <v>46187</v>
      </c>
      <c r="B167" s="9" t="s">
        <v>15</v>
      </c>
      <c r="C167" s="9" t="str">
        <f>TRIM(PROPER(ShoeSales[[#This Row],[Product]]))</f>
        <v>Slippers</v>
      </c>
      <c r="D167" s="9" t="s">
        <v>87</v>
      </c>
      <c r="E167" s="45" t="str">
        <f>UPPER(ShoeSales[[#This Row],[Category]])</f>
        <v>OPEN</v>
      </c>
      <c r="F167" s="9" t="s">
        <v>34</v>
      </c>
      <c r="G167" s="9" t="s">
        <v>63</v>
      </c>
      <c r="H167" s="9" t="str">
        <f>PROPER(ShoeSales[[#This Row],[Brand]])</f>
        <v>Clarks</v>
      </c>
      <c r="I167" s="9" t="s">
        <v>73</v>
      </c>
      <c r="J167" s="10">
        <v>10</v>
      </c>
      <c r="K167" s="9" t="s">
        <v>36</v>
      </c>
      <c r="L167" s="22">
        <f>VLOOKUP(ShoeSales[[#This Row],[Product Cleaned]],Price!$A$2:$C$9,2,FALSE)</f>
        <v>119</v>
      </c>
      <c r="M167" s="19">
        <f>_xlfn.XLOOKUP(ShoeSales[[#This Row],[Product Cleaned]],Price!$A$2:$A$9,Price!$B$2:$B$9)</f>
        <v>119</v>
      </c>
      <c r="N167" s="19">
        <f>_xlfn.XLOOKUP(ShoeSales[[#This Row],[Product Cleaned]],Price!$A$2:$A$9,Price!$C$2:$C$9)</f>
        <v>67</v>
      </c>
      <c r="O167" s="22">
        <f>ShoeSales[[#This Row],[Sell Price]]*ShoeSales[[#This Row],[Quantity]]</f>
        <v>1190</v>
      </c>
      <c r="P167" s="19">
        <f>ShoeSales[[#This Row],[Quantity]]*ShoeSales[[#This Row],[Cost Price]]</f>
        <v>670</v>
      </c>
      <c r="Q167" s="19">
        <f>ShoeSales[[#This Row],[Revenue]]-ShoeSales[[#This Row],[Cost]]</f>
        <v>520</v>
      </c>
      <c r="R167" s="24">
        <f>ShoeSales[[#This Row],[Profit]]/ShoeSales[[#This Row],[Revenue]]</f>
        <v>0.43697478991596639</v>
      </c>
      <c r="S167" s="19"/>
      <c r="T167" s="19" t="str">
        <f>UPPER(TEXT(ShoeSales[[#This Row],[Date]], "mmm"))</f>
        <v>JUN</v>
      </c>
    </row>
    <row r="168" spans="1:20" ht="14.25" customHeight="1" x14ac:dyDescent="0.25">
      <c r="A168" s="14">
        <v>46179</v>
      </c>
      <c r="B168" s="6" t="s">
        <v>5</v>
      </c>
      <c r="C168" s="16" t="str">
        <f>TRIM(PROPER(ShoeSales[[#This Row],[Product]]))</f>
        <v>Monk Straps</v>
      </c>
      <c r="D168" s="6" t="s">
        <v>28</v>
      </c>
      <c r="E168" s="44" t="str">
        <f>UPPER(ShoeSales[[#This Row],[Category]])</f>
        <v>FORMAL</v>
      </c>
      <c r="F168" s="6" t="s">
        <v>38</v>
      </c>
      <c r="G168" s="6" t="s">
        <v>30</v>
      </c>
      <c r="H168" s="16" t="str">
        <f>PROPER(ShoeSales[[#This Row],[Brand]])</f>
        <v>Nike</v>
      </c>
      <c r="I168" s="6" t="s">
        <v>78</v>
      </c>
      <c r="J168" s="7">
        <v>10</v>
      </c>
      <c r="K168" s="6" t="s">
        <v>32</v>
      </c>
      <c r="L168" s="22">
        <f>VLOOKUP(ShoeSales[[#This Row],[Product Cleaned]],Price!$A$2:$C$9,2,FALSE)</f>
        <v>89</v>
      </c>
      <c r="M168" s="19">
        <f>_xlfn.XLOOKUP(ShoeSales[[#This Row],[Product Cleaned]],Price!$A$2:$A$9,Price!$B$2:$B$9)</f>
        <v>89</v>
      </c>
      <c r="N168" s="19">
        <f>_xlfn.XLOOKUP(ShoeSales[[#This Row],[Product Cleaned]],Price!$A$2:$A$9,Price!$C$2:$C$9)</f>
        <v>47</v>
      </c>
      <c r="O168" s="22">
        <f>ShoeSales[[#This Row],[Sell Price]]*ShoeSales[[#This Row],[Quantity]]</f>
        <v>890</v>
      </c>
      <c r="P168" s="19">
        <f>ShoeSales[[#This Row],[Quantity]]*ShoeSales[[#This Row],[Cost Price]]</f>
        <v>470</v>
      </c>
      <c r="Q168" s="19">
        <f>ShoeSales[[#This Row],[Revenue]]-ShoeSales[[#This Row],[Cost]]</f>
        <v>420</v>
      </c>
      <c r="R168" s="24">
        <f>ShoeSales[[#This Row],[Profit]]/ShoeSales[[#This Row],[Revenue]]</f>
        <v>0.47191011235955055</v>
      </c>
      <c r="S168" s="19"/>
      <c r="T168" s="19" t="str">
        <f>UPPER(TEXT(ShoeSales[[#This Row],[Date]], "mmm"))</f>
        <v>JUN</v>
      </c>
    </row>
    <row r="169" spans="1:20" ht="14.25" customHeight="1" x14ac:dyDescent="0.25">
      <c r="A169" s="15">
        <v>46220</v>
      </c>
      <c r="B169" s="9" t="s">
        <v>92</v>
      </c>
      <c r="C169" s="9" t="str">
        <f>TRIM(PROPER(ShoeSales[[#This Row],[Product]]))</f>
        <v>Canvas</v>
      </c>
      <c r="D169" s="9" t="s">
        <v>58</v>
      </c>
      <c r="E169" s="45" t="str">
        <f>UPPER(ShoeSales[[#This Row],[Category]])</f>
        <v>FORMAL</v>
      </c>
      <c r="F169" s="9" t="s">
        <v>56</v>
      </c>
      <c r="G169" s="9" t="s">
        <v>82</v>
      </c>
      <c r="H169" s="9" t="str">
        <f>PROPER(ShoeSales[[#This Row],[Brand]])</f>
        <v>Zara</v>
      </c>
      <c r="I169" s="9" t="s">
        <v>53</v>
      </c>
      <c r="J169" s="10">
        <v>15</v>
      </c>
      <c r="K169" s="9" t="s">
        <v>36</v>
      </c>
      <c r="L169" s="22">
        <f>VLOOKUP(ShoeSales[[#This Row],[Product Cleaned]],Price!$A$2:$C$9,2,FALSE)</f>
        <v>128</v>
      </c>
      <c r="M169" s="19">
        <f>_xlfn.XLOOKUP(ShoeSales[[#This Row],[Product Cleaned]],Price!$A$2:$A$9,Price!$B$2:$B$9)</f>
        <v>128</v>
      </c>
      <c r="N169" s="19">
        <f>_xlfn.XLOOKUP(ShoeSales[[#This Row],[Product Cleaned]],Price!$A$2:$A$9,Price!$C$2:$C$9)</f>
        <v>72</v>
      </c>
      <c r="O169" s="22">
        <f>ShoeSales[[#This Row],[Sell Price]]*ShoeSales[[#This Row],[Quantity]]</f>
        <v>1920</v>
      </c>
      <c r="P169" s="19">
        <f>ShoeSales[[#This Row],[Quantity]]*ShoeSales[[#This Row],[Cost Price]]</f>
        <v>1080</v>
      </c>
      <c r="Q169" s="19">
        <f>ShoeSales[[#This Row],[Revenue]]-ShoeSales[[#This Row],[Cost]]</f>
        <v>840</v>
      </c>
      <c r="R169" s="24">
        <f>ShoeSales[[#This Row],[Profit]]/ShoeSales[[#This Row],[Revenue]]</f>
        <v>0.4375</v>
      </c>
      <c r="S169" s="19"/>
      <c r="T169" s="19" t="str">
        <f>UPPER(TEXT(ShoeSales[[#This Row],[Date]], "mmm"))</f>
        <v>JUL</v>
      </c>
    </row>
    <row r="170" spans="1:20" ht="14.25" customHeight="1" x14ac:dyDescent="0.25">
      <c r="A170" s="14">
        <v>46140</v>
      </c>
      <c r="B170" s="6" t="s">
        <v>76</v>
      </c>
      <c r="C170" s="16" t="str">
        <f>TRIM(PROPER(ShoeSales[[#This Row],[Product]]))</f>
        <v>Derby</v>
      </c>
      <c r="D170" s="6" t="s">
        <v>45</v>
      </c>
      <c r="E170" s="44" t="str">
        <f>UPPER(ShoeSales[[#This Row],[Category]])</f>
        <v>CASUAL</v>
      </c>
      <c r="F170" s="6" t="s">
        <v>29</v>
      </c>
      <c r="G170" s="6" t="s">
        <v>82</v>
      </c>
      <c r="H170" s="16" t="str">
        <f>PROPER(ShoeSales[[#This Row],[Brand]])</f>
        <v>Zara</v>
      </c>
      <c r="I170" s="6" t="s">
        <v>59</v>
      </c>
      <c r="J170" s="7">
        <v>9</v>
      </c>
      <c r="K170" s="6" t="s">
        <v>62</v>
      </c>
      <c r="L170" s="22">
        <f>VLOOKUP(ShoeSales[[#This Row],[Product Cleaned]],Price!$A$2:$C$9,2,FALSE)</f>
        <v>32</v>
      </c>
      <c r="M170" s="19">
        <f>_xlfn.XLOOKUP(ShoeSales[[#This Row],[Product Cleaned]],Price!$A$2:$A$9,Price!$B$2:$B$9)</f>
        <v>32</v>
      </c>
      <c r="N170" s="19">
        <f>_xlfn.XLOOKUP(ShoeSales[[#This Row],[Product Cleaned]],Price!$A$2:$A$9,Price!$C$2:$C$9)</f>
        <v>14</v>
      </c>
      <c r="O170" s="22">
        <f>ShoeSales[[#This Row],[Sell Price]]*ShoeSales[[#This Row],[Quantity]]</f>
        <v>288</v>
      </c>
      <c r="P170" s="19">
        <f>ShoeSales[[#This Row],[Quantity]]*ShoeSales[[#This Row],[Cost Price]]</f>
        <v>126</v>
      </c>
      <c r="Q170" s="19">
        <f>ShoeSales[[#This Row],[Revenue]]-ShoeSales[[#This Row],[Cost]]</f>
        <v>162</v>
      </c>
      <c r="R170" s="24">
        <f>ShoeSales[[#This Row],[Profit]]/ShoeSales[[#This Row],[Revenue]]</f>
        <v>0.5625</v>
      </c>
      <c r="S170" s="19"/>
      <c r="T170" s="19" t="str">
        <f>UPPER(TEXT(ShoeSales[[#This Row],[Date]], "mmm"))</f>
        <v>APR</v>
      </c>
    </row>
    <row r="171" spans="1:20" ht="14.25" customHeight="1" x14ac:dyDescent="0.25">
      <c r="A171" s="15">
        <v>46198</v>
      </c>
      <c r="B171" s="9" t="s">
        <v>79</v>
      </c>
      <c r="C171" s="9" t="str">
        <f>TRIM(PROPER(ShoeSales[[#This Row],[Product]]))</f>
        <v>Brogues</v>
      </c>
      <c r="D171" s="9" t="s">
        <v>45</v>
      </c>
      <c r="E171" s="45" t="str">
        <f>UPPER(ShoeSales[[#This Row],[Category]])</f>
        <v>CASUAL</v>
      </c>
      <c r="F171" s="9" t="s">
        <v>56</v>
      </c>
      <c r="G171" s="9" t="s">
        <v>81</v>
      </c>
      <c r="H171" s="9" t="str">
        <f>PROPER(ShoeSales[[#This Row],[Brand]])</f>
        <v>Steve Madden</v>
      </c>
      <c r="I171" s="9" t="s">
        <v>78</v>
      </c>
      <c r="J171" s="10">
        <v>14</v>
      </c>
      <c r="K171" s="9" t="s">
        <v>54</v>
      </c>
      <c r="L171" s="22">
        <f>VLOOKUP(ShoeSales[[#This Row],[Product Cleaned]],Price!$A$2:$C$9,2,FALSE)</f>
        <v>112</v>
      </c>
      <c r="M171" s="19">
        <f>_xlfn.XLOOKUP(ShoeSales[[#This Row],[Product Cleaned]],Price!$A$2:$A$9,Price!$B$2:$B$9)</f>
        <v>112</v>
      </c>
      <c r="N171" s="19">
        <f>_xlfn.XLOOKUP(ShoeSales[[#This Row],[Product Cleaned]],Price!$A$2:$A$9,Price!$C$2:$C$9)</f>
        <v>64</v>
      </c>
      <c r="O171" s="22">
        <f>ShoeSales[[#This Row],[Sell Price]]*ShoeSales[[#This Row],[Quantity]]</f>
        <v>1568</v>
      </c>
      <c r="P171" s="19">
        <f>ShoeSales[[#This Row],[Quantity]]*ShoeSales[[#This Row],[Cost Price]]</f>
        <v>896</v>
      </c>
      <c r="Q171" s="19">
        <f>ShoeSales[[#This Row],[Revenue]]-ShoeSales[[#This Row],[Cost]]</f>
        <v>672</v>
      </c>
      <c r="R171" s="24">
        <f>ShoeSales[[#This Row],[Profit]]/ShoeSales[[#This Row],[Revenue]]</f>
        <v>0.42857142857142855</v>
      </c>
      <c r="S171" s="19"/>
      <c r="T171" s="19" t="str">
        <f>UPPER(TEXT(ShoeSales[[#This Row],[Date]], "mmm"))</f>
        <v>JUN</v>
      </c>
    </row>
    <row r="172" spans="1:20" ht="14.25" customHeight="1" x14ac:dyDescent="0.25">
      <c r="A172" s="14">
        <v>46120</v>
      </c>
      <c r="B172" s="6" t="s">
        <v>12</v>
      </c>
      <c r="C172" s="16" t="str">
        <f>TRIM(PROPER(ShoeSales[[#This Row],[Product]]))</f>
        <v>Brogues</v>
      </c>
      <c r="D172" s="6" t="s">
        <v>28</v>
      </c>
      <c r="E172" s="44" t="str">
        <f>UPPER(ShoeSales[[#This Row],[Category]])</f>
        <v>FORMAL</v>
      </c>
      <c r="F172" s="6" t="s">
        <v>34</v>
      </c>
      <c r="G172" s="6" t="s">
        <v>46</v>
      </c>
      <c r="H172" s="16" t="str">
        <f>PROPER(ShoeSales[[#This Row],[Brand]])</f>
        <v>Clarks</v>
      </c>
      <c r="I172" s="6" t="s">
        <v>51</v>
      </c>
      <c r="J172" s="7">
        <v>14</v>
      </c>
      <c r="K172" s="6" t="s">
        <v>62</v>
      </c>
      <c r="L172" s="22">
        <f>VLOOKUP(ShoeSales[[#This Row],[Product Cleaned]],Price!$A$2:$C$9,2,FALSE)</f>
        <v>112</v>
      </c>
      <c r="M172" s="19">
        <f>_xlfn.XLOOKUP(ShoeSales[[#This Row],[Product Cleaned]],Price!$A$2:$A$9,Price!$B$2:$B$9)</f>
        <v>112</v>
      </c>
      <c r="N172" s="19">
        <f>_xlfn.XLOOKUP(ShoeSales[[#This Row],[Product Cleaned]],Price!$A$2:$A$9,Price!$C$2:$C$9)</f>
        <v>64</v>
      </c>
      <c r="O172" s="22">
        <f>ShoeSales[[#This Row],[Sell Price]]*ShoeSales[[#This Row],[Quantity]]</f>
        <v>1568</v>
      </c>
      <c r="P172" s="19">
        <f>ShoeSales[[#This Row],[Quantity]]*ShoeSales[[#This Row],[Cost Price]]</f>
        <v>896</v>
      </c>
      <c r="Q172" s="19">
        <f>ShoeSales[[#This Row],[Revenue]]-ShoeSales[[#This Row],[Cost]]</f>
        <v>672</v>
      </c>
      <c r="R172" s="24">
        <f>ShoeSales[[#This Row],[Profit]]/ShoeSales[[#This Row],[Revenue]]</f>
        <v>0.42857142857142855</v>
      </c>
      <c r="S172" s="19"/>
      <c r="T172" s="19" t="str">
        <f>UPPER(TEXT(ShoeSales[[#This Row],[Date]], "mmm"))</f>
        <v>APR</v>
      </c>
    </row>
    <row r="173" spans="1:20" ht="14.25" customHeight="1" x14ac:dyDescent="0.25">
      <c r="A173" s="15">
        <v>46246</v>
      </c>
      <c r="B173" s="9" t="s">
        <v>9</v>
      </c>
      <c r="C173" s="9" t="str">
        <f>TRIM(PROPER(ShoeSales[[#This Row],[Product]]))</f>
        <v>Canvas</v>
      </c>
      <c r="D173" s="9" t="s">
        <v>37</v>
      </c>
      <c r="E173" s="45" t="str">
        <f>UPPER(ShoeSales[[#This Row],[Category]])</f>
        <v>FORMAL</v>
      </c>
      <c r="F173" s="9" t="s">
        <v>34</v>
      </c>
      <c r="G173" s="9" t="s">
        <v>72</v>
      </c>
      <c r="H173" s="9" t="str">
        <f>PROPER(ShoeSales[[#This Row],[Brand]])</f>
        <v>Zara</v>
      </c>
      <c r="I173" s="9" t="s">
        <v>53</v>
      </c>
      <c r="J173" s="10">
        <v>10</v>
      </c>
      <c r="K173" s="9" t="s">
        <v>36</v>
      </c>
      <c r="L173" s="22">
        <f>VLOOKUP(ShoeSales[[#This Row],[Product Cleaned]],Price!$A$2:$C$9,2,FALSE)</f>
        <v>128</v>
      </c>
      <c r="M173" s="19">
        <f>_xlfn.XLOOKUP(ShoeSales[[#This Row],[Product Cleaned]],Price!$A$2:$A$9,Price!$B$2:$B$9)</f>
        <v>128</v>
      </c>
      <c r="N173" s="19">
        <f>_xlfn.XLOOKUP(ShoeSales[[#This Row],[Product Cleaned]],Price!$A$2:$A$9,Price!$C$2:$C$9)</f>
        <v>72</v>
      </c>
      <c r="O173" s="22">
        <f>ShoeSales[[#This Row],[Sell Price]]*ShoeSales[[#This Row],[Quantity]]</f>
        <v>1280</v>
      </c>
      <c r="P173" s="19">
        <f>ShoeSales[[#This Row],[Quantity]]*ShoeSales[[#This Row],[Cost Price]]</f>
        <v>720</v>
      </c>
      <c r="Q173" s="19">
        <f>ShoeSales[[#This Row],[Revenue]]-ShoeSales[[#This Row],[Cost]]</f>
        <v>560</v>
      </c>
      <c r="R173" s="24">
        <f>ShoeSales[[#This Row],[Profit]]/ShoeSales[[#This Row],[Revenue]]</f>
        <v>0.4375</v>
      </c>
      <c r="S173" s="19"/>
      <c r="T173" s="19" t="str">
        <f>UPPER(TEXT(ShoeSales[[#This Row],[Date]], "mmm"))</f>
        <v>AUG</v>
      </c>
    </row>
    <row r="174" spans="1:20" ht="14.25" customHeight="1" x14ac:dyDescent="0.25">
      <c r="A174" s="14">
        <v>46072</v>
      </c>
      <c r="B174" s="6" t="s">
        <v>79</v>
      </c>
      <c r="C174" s="16" t="str">
        <f>TRIM(PROPER(ShoeSales[[#This Row],[Product]]))</f>
        <v>Brogues</v>
      </c>
      <c r="D174" s="6" t="s">
        <v>45</v>
      </c>
      <c r="E174" s="44" t="str">
        <f>UPPER(ShoeSales[[#This Row],[Category]])</f>
        <v>CASUAL</v>
      </c>
      <c r="F174" s="6" t="s">
        <v>38</v>
      </c>
      <c r="G174" s="6" t="s">
        <v>82</v>
      </c>
      <c r="H174" s="16" t="str">
        <f>PROPER(ShoeSales[[#This Row],[Brand]])</f>
        <v>Zara</v>
      </c>
      <c r="I174" s="6" t="s">
        <v>59</v>
      </c>
      <c r="J174" s="7">
        <v>15</v>
      </c>
      <c r="K174" s="6" t="s">
        <v>32</v>
      </c>
      <c r="L174" s="22">
        <f>VLOOKUP(ShoeSales[[#This Row],[Product Cleaned]],Price!$A$2:$C$9,2,FALSE)</f>
        <v>112</v>
      </c>
      <c r="M174" s="19">
        <f>_xlfn.XLOOKUP(ShoeSales[[#This Row],[Product Cleaned]],Price!$A$2:$A$9,Price!$B$2:$B$9)</f>
        <v>112</v>
      </c>
      <c r="N174" s="19">
        <f>_xlfn.XLOOKUP(ShoeSales[[#This Row],[Product Cleaned]],Price!$A$2:$A$9,Price!$C$2:$C$9)</f>
        <v>64</v>
      </c>
      <c r="O174" s="22">
        <f>ShoeSales[[#This Row],[Sell Price]]*ShoeSales[[#This Row],[Quantity]]</f>
        <v>1680</v>
      </c>
      <c r="P174" s="19">
        <f>ShoeSales[[#This Row],[Quantity]]*ShoeSales[[#This Row],[Cost Price]]</f>
        <v>960</v>
      </c>
      <c r="Q174" s="19">
        <f>ShoeSales[[#This Row],[Revenue]]-ShoeSales[[#This Row],[Cost]]</f>
        <v>720</v>
      </c>
      <c r="R174" s="24">
        <f>ShoeSales[[#This Row],[Profit]]/ShoeSales[[#This Row],[Revenue]]</f>
        <v>0.42857142857142855</v>
      </c>
      <c r="S174" s="19"/>
      <c r="T174" s="19" t="str">
        <f>UPPER(TEXT(ShoeSales[[#This Row],[Date]], "mmm"))</f>
        <v>FEB</v>
      </c>
    </row>
    <row r="175" spans="1:20" ht="14.25" customHeight="1" x14ac:dyDescent="0.25">
      <c r="A175" s="15">
        <v>46197</v>
      </c>
      <c r="B175" s="9" t="s">
        <v>70</v>
      </c>
      <c r="C175" s="9" t="str">
        <f>TRIM(PROPER(ShoeSales[[#This Row],[Product]]))</f>
        <v>Derby</v>
      </c>
      <c r="D175" s="9" t="s">
        <v>77</v>
      </c>
      <c r="E175" s="45" t="str">
        <f>UPPER(ShoeSales[[#This Row],[Category]])</f>
        <v>CASUAL</v>
      </c>
      <c r="F175" s="9" t="s">
        <v>49</v>
      </c>
      <c r="G175" s="9" t="s">
        <v>94</v>
      </c>
      <c r="H175" s="9" t="str">
        <f>PROPER(ShoeSales[[#This Row],[Brand]])</f>
        <v>Timberland</v>
      </c>
      <c r="I175" s="9" t="s">
        <v>61</v>
      </c>
      <c r="J175" s="10">
        <v>5</v>
      </c>
      <c r="K175" s="9" t="s">
        <v>62</v>
      </c>
      <c r="L175" s="22">
        <f>VLOOKUP(ShoeSales[[#This Row],[Product Cleaned]],Price!$A$2:$C$9,2,FALSE)</f>
        <v>32</v>
      </c>
      <c r="M175" s="19">
        <f>_xlfn.XLOOKUP(ShoeSales[[#This Row],[Product Cleaned]],Price!$A$2:$A$9,Price!$B$2:$B$9)</f>
        <v>32</v>
      </c>
      <c r="N175" s="19">
        <f>_xlfn.XLOOKUP(ShoeSales[[#This Row],[Product Cleaned]],Price!$A$2:$A$9,Price!$C$2:$C$9)</f>
        <v>14</v>
      </c>
      <c r="O175" s="22">
        <f>ShoeSales[[#This Row],[Sell Price]]*ShoeSales[[#This Row],[Quantity]]</f>
        <v>160</v>
      </c>
      <c r="P175" s="19">
        <f>ShoeSales[[#This Row],[Quantity]]*ShoeSales[[#This Row],[Cost Price]]</f>
        <v>70</v>
      </c>
      <c r="Q175" s="19">
        <f>ShoeSales[[#This Row],[Revenue]]-ShoeSales[[#This Row],[Cost]]</f>
        <v>90</v>
      </c>
      <c r="R175" s="24">
        <f>ShoeSales[[#This Row],[Profit]]/ShoeSales[[#This Row],[Revenue]]</f>
        <v>0.5625</v>
      </c>
      <c r="S175" s="19"/>
      <c r="T175" s="19" t="str">
        <f>UPPER(TEXT(ShoeSales[[#This Row],[Date]], "mmm"))</f>
        <v>JUN</v>
      </c>
    </row>
    <row r="176" spans="1:20" ht="14.25" customHeight="1" x14ac:dyDescent="0.25">
      <c r="A176" s="14">
        <v>46057</v>
      </c>
      <c r="B176" s="6" t="s">
        <v>7</v>
      </c>
      <c r="C176" s="16" t="str">
        <f>TRIM(PROPER(ShoeSales[[#This Row],[Product]]))</f>
        <v>Derby</v>
      </c>
      <c r="D176" s="6" t="s">
        <v>28</v>
      </c>
      <c r="E176" s="44" t="str">
        <f>UPPER(ShoeSales[[#This Row],[Category]])</f>
        <v>FORMAL</v>
      </c>
      <c r="F176" s="6" t="s">
        <v>56</v>
      </c>
      <c r="G176" s="6" t="s">
        <v>94</v>
      </c>
      <c r="H176" s="16" t="str">
        <f>PROPER(ShoeSales[[#This Row],[Brand]])</f>
        <v>Timberland</v>
      </c>
      <c r="I176" s="6" t="s">
        <v>61</v>
      </c>
      <c r="J176" s="7">
        <v>15</v>
      </c>
      <c r="K176" s="6" t="s">
        <v>32</v>
      </c>
      <c r="L176" s="22">
        <f>VLOOKUP(ShoeSales[[#This Row],[Product Cleaned]],Price!$A$2:$C$9,2,FALSE)</f>
        <v>32</v>
      </c>
      <c r="M176" s="19">
        <f>_xlfn.XLOOKUP(ShoeSales[[#This Row],[Product Cleaned]],Price!$A$2:$A$9,Price!$B$2:$B$9)</f>
        <v>32</v>
      </c>
      <c r="N176" s="19">
        <f>_xlfn.XLOOKUP(ShoeSales[[#This Row],[Product Cleaned]],Price!$A$2:$A$9,Price!$C$2:$C$9)</f>
        <v>14</v>
      </c>
      <c r="O176" s="22">
        <f>ShoeSales[[#This Row],[Sell Price]]*ShoeSales[[#This Row],[Quantity]]</f>
        <v>480</v>
      </c>
      <c r="P176" s="19">
        <f>ShoeSales[[#This Row],[Quantity]]*ShoeSales[[#This Row],[Cost Price]]</f>
        <v>210</v>
      </c>
      <c r="Q176" s="19">
        <f>ShoeSales[[#This Row],[Revenue]]-ShoeSales[[#This Row],[Cost]]</f>
        <v>270</v>
      </c>
      <c r="R176" s="24">
        <f>ShoeSales[[#This Row],[Profit]]/ShoeSales[[#This Row],[Revenue]]</f>
        <v>0.5625</v>
      </c>
      <c r="S176" s="19"/>
      <c r="T176" s="19" t="str">
        <f>UPPER(TEXT(ShoeSales[[#This Row],[Date]], "mmm"))</f>
        <v>FEB</v>
      </c>
    </row>
    <row r="177" spans="1:20" ht="14.25" customHeight="1" x14ac:dyDescent="0.25">
      <c r="A177" s="15">
        <v>46033</v>
      </c>
      <c r="B177" s="9" t="s">
        <v>9</v>
      </c>
      <c r="C177" s="9" t="str">
        <f>TRIM(PROPER(ShoeSales[[#This Row],[Product]]))</f>
        <v>Canvas</v>
      </c>
      <c r="D177" s="9" t="s">
        <v>45</v>
      </c>
      <c r="E177" s="45" t="str">
        <f>UPPER(ShoeSales[[#This Row],[Category]])</f>
        <v>CASUAL</v>
      </c>
      <c r="F177" s="9" t="s">
        <v>34</v>
      </c>
      <c r="G177" s="9" t="s">
        <v>57</v>
      </c>
      <c r="H177" s="9" t="str">
        <f>PROPER(ShoeSales[[#This Row],[Brand]])</f>
        <v>Timberland</v>
      </c>
      <c r="I177" s="9" t="s">
        <v>73</v>
      </c>
      <c r="J177" s="10">
        <v>13</v>
      </c>
      <c r="K177" s="9" t="s">
        <v>54</v>
      </c>
      <c r="L177" s="22">
        <f>VLOOKUP(ShoeSales[[#This Row],[Product Cleaned]],Price!$A$2:$C$9,2,FALSE)</f>
        <v>128</v>
      </c>
      <c r="M177" s="19">
        <f>_xlfn.XLOOKUP(ShoeSales[[#This Row],[Product Cleaned]],Price!$A$2:$A$9,Price!$B$2:$B$9)</f>
        <v>128</v>
      </c>
      <c r="N177" s="19">
        <f>_xlfn.XLOOKUP(ShoeSales[[#This Row],[Product Cleaned]],Price!$A$2:$A$9,Price!$C$2:$C$9)</f>
        <v>72</v>
      </c>
      <c r="O177" s="22">
        <f>ShoeSales[[#This Row],[Sell Price]]*ShoeSales[[#This Row],[Quantity]]</f>
        <v>1664</v>
      </c>
      <c r="P177" s="19">
        <f>ShoeSales[[#This Row],[Quantity]]*ShoeSales[[#This Row],[Cost Price]]</f>
        <v>936</v>
      </c>
      <c r="Q177" s="19">
        <f>ShoeSales[[#This Row],[Revenue]]-ShoeSales[[#This Row],[Cost]]</f>
        <v>728</v>
      </c>
      <c r="R177" s="24">
        <f>ShoeSales[[#This Row],[Profit]]/ShoeSales[[#This Row],[Revenue]]</f>
        <v>0.4375</v>
      </c>
      <c r="S177" s="19"/>
      <c r="T177" s="19" t="str">
        <f>UPPER(TEXT(ShoeSales[[#This Row],[Date]], "mmm"))</f>
        <v>JAN</v>
      </c>
    </row>
    <row r="178" spans="1:20" ht="14.25" customHeight="1" x14ac:dyDescent="0.25">
      <c r="A178" s="14">
        <v>46241</v>
      </c>
      <c r="B178" s="6" t="s">
        <v>79</v>
      </c>
      <c r="C178" s="16" t="str">
        <f>TRIM(PROPER(ShoeSales[[#This Row],[Product]]))</f>
        <v>Brogues</v>
      </c>
      <c r="D178" s="6" t="s">
        <v>89</v>
      </c>
      <c r="E178" s="44" t="str">
        <f>UPPER(ShoeSales[[#This Row],[Category]])</f>
        <v>OPEN</v>
      </c>
      <c r="F178" s="6" t="s">
        <v>38</v>
      </c>
      <c r="G178" s="6" t="s">
        <v>57</v>
      </c>
      <c r="H178" s="16" t="str">
        <f>PROPER(ShoeSales[[#This Row],[Brand]])</f>
        <v>Timberland</v>
      </c>
      <c r="I178" s="6" t="s">
        <v>40</v>
      </c>
      <c r="J178" s="7">
        <v>9</v>
      </c>
      <c r="K178" s="6" t="s">
        <v>54</v>
      </c>
      <c r="L178" s="22">
        <f>VLOOKUP(ShoeSales[[#This Row],[Product Cleaned]],Price!$A$2:$C$9,2,FALSE)</f>
        <v>112</v>
      </c>
      <c r="M178" s="19">
        <f>_xlfn.XLOOKUP(ShoeSales[[#This Row],[Product Cleaned]],Price!$A$2:$A$9,Price!$B$2:$B$9)</f>
        <v>112</v>
      </c>
      <c r="N178" s="19">
        <f>_xlfn.XLOOKUP(ShoeSales[[#This Row],[Product Cleaned]],Price!$A$2:$A$9,Price!$C$2:$C$9)</f>
        <v>64</v>
      </c>
      <c r="O178" s="22">
        <f>ShoeSales[[#This Row],[Sell Price]]*ShoeSales[[#This Row],[Quantity]]</f>
        <v>1008</v>
      </c>
      <c r="P178" s="19">
        <f>ShoeSales[[#This Row],[Quantity]]*ShoeSales[[#This Row],[Cost Price]]</f>
        <v>576</v>
      </c>
      <c r="Q178" s="19">
        <f>ShoeSales[[#This Row],[Revenue]]-ShoeSales[[#This Row],[Cost]]</f>
        <v>432</v>
      </c>
      <c r="R178" s="24">
        <f>ShoeSales[[#This Row],[Profit]]/ShoeSales[[#This Row],[Revenue]]</f>
        <v>0.42857142857142855</v>
      </c>
      <c r="S178" s="19"/>
      <c r="T178" s="19" t="str">
        <f>UPPER(TEXT(ShoeSales[[#This Row],[Date]], "mmm"))</f>
        <v>AUG</v>
      </c>
    </row>
    <row r="179" spans="1:20" ht="14.25" customHeight="1" x14ac:dyDescent="0.25">
      <c r="A179" s="15">
        <v>46123</v>
      </c>
      <c r="B179" s="9" t="s">
        <v>70</v>
      </c>
      <c r="C179" s="9" t="str">
        <f>TRIM(PROPER(ShoeSales[[#This Row],[Product]]))</f>
        <v>Derby</v>
      </c>
      <c r="D179" s="9" t="s">
        <v>48</v>
      </c>
      <c r="E179" s="45" t="str">
        <f>UPPER(ShoeSales[[#This Row],[Category]])</f>
        <v>UTILITY</v>
      </c>
      <c r="F179" s="9" t="s">
        <v>34</v>
      </c>
      <c r="G179" s="9" t="s">
        <v>39</v>
      </c>
      <c r="H179" s="9" t="str">
        <f>PROPER(ShoeSales[[#This Row],[Brand]])</f>
        <v>Clarks</v>
      </c>
      <c r="I179" s="9" t="s">
        <v>73</v>
      </c>
      <c r="J179" s="10">
        <v>9</v>
      </c>
      <c r="K179" s="9" t="s">
        <v>36</v>
      </c>
      <c r="L179" s="22">
        <f>VLOOKUP(ShoeSales[[#This Row],[Product Cleaned]],Price!$A$2:$C$9,2,FALSE)</f>
        <v>32</v>
      </c>
      <c r="M179" s="19">
        <f>_xlfn.XLOOKUP(ShoeSales[[#This Row],[Product Cleaned]],Price!$A$2:$A$9,Price!$B$2:$B$9)</f>
        <v>32</v>
      </c>
      <c r="N179" s="19">
        <f>_xlfn.XLOOKUP(ShoeSales[[#This Row],[Product Cleaned]],Price!$A$2:$A$9,Price!$C$2:$C$9)</f>
        <v>14</v>
      </c>
      <c r="O179" s="22">
        <f>ShoeSales[[#This Row],[Sell Price]]*ShoeSales[[#This Row],[Quantity]]</f>
        <v>288</v>
      </c>
      <c r="P179" s="19">
        <f>ShoeSales[[#This Row],[Quantity]]*ShoeSales[[#This Row],[Cost Price]]</f>
        <v>126</v>
      </c>
      <c r="Q179" s="19">
        <f>ShoeSales[[#This Row],[Revenue]]-ShoeSales[[#This Row],[Cost]]</f>
        <v>162</v>
      </c>
      <c r="R179" s="24">
        <f>ShoeSales[[#This Row],[Profit]]/ShoeSales[[#This Row],[Revenue]]</f>
        <v>0.5625</v>
      </c>
      <c r="S179" s="19"/>
      <c r="T179" s="19" t="str">
        <f>UPPER(TEXT(ShoeSales[[#This Row],[Date]], "mmm"))</f>
        <v>APR</v>
      </c>
    </row>
    <row r="180" spans="1:20" ht="14.25" customHeight="1" x14ac:dyDescent="0.25">
      <c r="A180" s="14">
        <v>46026</v>
      </c>
      <c r="B180" s="6" t="s">
        <v>15</v>
      </c>
      <c r="C180" s="16" t="str">
        <f>TRIM(PROPER(ShoeSales[[#This Row],[Product]]))</f>
        <v>Slippers</v>
      </c>
      <c r="D180" s="6" t="s">
        <v>77</v>
      </c>
      <c r="E180" s="44" t="str">
        <f>UPPER(ShoeSales[[#This Row],[Category]])</f>
        <v>CASUAL</v>
      </c>
      <c r="F180" s="6" t="s">
        <v>38</v>
      </c>
      <c r="G180" s="6" t="s">
        <v>46</v>
      </c>
      <c r="H180" s="16" t="str">
        <f>PROPER(ShoeSales[[#This Row],[Brand]])</f>
        <v>Clarks</v>
      </c>
      <c r="I180" s="6" t="s">
        <v>78</v>
      </c>
      <c r="J180" s="7">
        <v>9</v>
      </c>
      <c r="K180" s="6" t="s">
        <v>36</v>
      </c>
      <c r="L180" s="22">
        <f>VLOOKUP(ShoeSales[[#This Row],[Product Cleaned]],Price!$A$2:$C$9,2,FALSE)</f>
        <v>119</v>
      </c>
      <c r="M180" s="19">
        <f>_xlfn.XLOOKUP(ShoeSales[[#This Row],[Product Cleaned]],Price!$A$2:$A$9,Price!$B$2:$B$9)</f>
        <v>119</v>
      </c>
      <c r="N180" s="19">
        <f>_xlfn.XLOOKUP(ShoeSales[[#This Row],[Product Cleaned]],Price!$A$2:$A$9,Price!$C$2:$C$9)</f>
        <v>67</v>
      </c>
      <c r="O180" s="22">
        <f>ShoeSales[[#This Row],[Sell Price]]*ShoeSales[[#This Row],[Quantity]]</f>
        <v>1071</v>
      </c>
      <c r="P180" s="19">
        <f>ShoeSales[[#This Row],[Quantity]]*ShoeSales[[#This Row],[Cost Price]]</f>
        <v>603</v>
      </c>
      <c r="Q180" s="19">
        <f>ShoeSales[[#This Row],[Revenue]]-ShoeSales[[#This Row],[Cost]]</f>
        <v>468</v>
      </c>
      <c r="R180" s="24">
        <f>ShoeSales[[#This Row],[Profit]]/ShoeSales[[#This Row],[Revenue]]</f>
        <v>0.43697478991596639</v>
      </c>
      <c r="S180" s="19"/>
      <c r="T180" s="19" t="str">
        <f>UPPER(TEXT(ShoeSales[[#This Row],[Date]], "mmm"))</f>
        <v>JAN</v>
      </c>
    </row>
    <row r="181" spans="1:20" ht="14.25" customHeight="1" x14ac:dyDescent="0.25">
      <c r="A181" s="15">
        <v>46089</v>
      </c>
      <c r="B181" s="9" t="s">
        <v>92</v>
      </c>
      <c r="C181" s="9" t="str">
        <f>TRIM(PROPER(ShoeSales[[#This Row],[Product]]))</f>
        <v>Canvas</v>
      </c>
      <c r="D181" s="9" t="s">
        <v>28</v>
      </c>
      <c r="E181" s="45" t="str">
        <f>UPPER(ShoeSales[[#This Row],[Category]])</f>
        <v>FORMAL</v>
      </c>
      <c r="F181" s="9" t="s">
        <v>49</v>
      </c>
      <c r="G181" s="9" t="s">
        <v>94</v>
      </c>
      <c r="H181" s="9" t="str">
        <f>PROPER(ShoeSales[[#This Row],[Brand]])</f>
        <v>Timberland</v>
      </c>
      <c r="I181" s="9" t="s">
        <v>59</v>
      </c>
      <c r="J181" s="10">
        <v>3</v>
      </c>
      <c r="K181" s="9" t="s">
        <v>54</v>
      </c>
      <c r="L181" s="22">
        <f>VLOOKUP(ShoeSales[[#This Row],[Product Cleaned]],Price!$A$2:$C$9,2,FALSE)</f>
        <v>128</v>
      </c>
      <c r="M181" s="19">
        <f>_xlfn.XLOOKUP(ShoeSales[[#This Row],[Product Cleaned]],Price!$A$2:$A$9,Price!$B$2:$B$9)</f>
        <v>128</v>
      </c>
      <c r="N181" s="19">
        <f>_xlfn.XLOOKUP(ShoeSales[[#This Row],[Product Cleaned]],Price!$A$2:$A$9,Price!$C$2:$C$9)</f>
        <v>72</v>
      </c>
      <c r="O181" s="22">
        <f>ShoeSales[[#This Row],[Sell Price]]*ShoeSales[[#This Row],[Quantity]]</f>
        <v>384</v>
      </c>
      <c r="P181" s="19">
        <f>ShoeSales[[#This Row],[Quantity]]*ShoeSales[[#This Row],[Cost Price]]</f>
        <v>216</v>
      </c>
      <c r="Q181" s="19">
        <f>ShoeSales[[#This Row],[Revenue]]-ShoeSales[[#This Row],[Cost]]</f>
        <v>168</v>
      </c>
      <c r="R181" s="24">
        <f>ShoeSales[[#This Row],[Profit]]/ShoeSales[[#This Row],[Revenue]]</f>
        <v>0.4375</v>
      </c>
      <c r="S181" s="19"/>
      <c r="T181" s="19" t="str">
        <f>UPPER(TEXT(ShoeSales[[#This Row],[Date]], "mmm"))</f>
        <v>MAR</v>
      </c>
    </row>
    <row r="182" spans="1:20" ht="14.25" customHeight="1" x14ac:dyDescent="0.25">
      <c r="A182" s="14">
        <v>46106</v>
      </c>
      <c r="B182" s="6" t="s">
        <v>85</v>
      </c>
      <c r="C182" s="16" t="str">
        <f>TRIM(PROPER(ShoeSales[[#This Row],[Product]]))</f>
        <v>Brogues</v>
      </c>
      <c r="D182" s="6" t="s">
        <v>45</v>
      </c>
      <c r="E182" s="44" t="str">
        <f>UPPER(ShoeSales[[#This Row],[Category]])</f>
        <v>CASUAL</v>
      </c>
      <c r="F182" s="6" t="s">
        <v>56</v>
      </c>
      <c r="G182" s="6" t="s">
        <v>82</v>
      </c>
      <c r="H182" s="16" t="str">
        <f>PROPER(ShoeSales[[#This Row],[Brand]])</f>
        <v>Zara</v>
      </c>
      <c r="I182" s="6" t="s">
        <v>51</v>
      </c>
      <c r="J182" s="7">
        <v>2</v>
      </c>
      <c r="K182" s="6" t="s">
        <v>62</v>
      </c>
      <c r="L182" s="22">
        <f>VLOOKUP(ShoeSales[[#This Row],[Product Cleaned]],Price!$A$2:$C$9,2,FALSE)</f>
        <v>112</v>
      </c>
      <c r="M182" s="19">
        <f>_xlfn.XLOOKUP(ShoeSales[[#This Row],[Product Cleaned]],Price!$A$2:$A$9,Price!$B$2:$B$9)</f>
        <v>112</v>
      </c>
      <c r="N182" s="19">
        <f>_xlfn.XLOOKUP(ShoeSales[[#This Row],[Product Cleaned]],Price!$A$2:$A$9,Price!$C$2:$C$9)</f>
        <v>64</v>
      </c>
      <c r="O182" s="22">
        <f>ShoeSales[[#This Row],[Sell Price]]*ShoeSales[[#This Row],[Quantity]]</f>
        <v>224</v>
      </c>
      <c r="P182" s="19">
        <f>ShoeSales[[#This Row],[Quantity]]*ShoeSales[[#This Row],[Cost Price]]</f>
        <v>128</v>
      </c>
      <c r="Q182" s="19">
        <f>ShoeSales[[#This Row],[Revenue]]-ShoeSales[[#This Row],[Cost]]</f>
        <v>96</v>
      </c>
      <c r="R182" s="24">
        <f>ShoeSales[[#This Row],[Profit]]/ShoeSales[[#This Row],[Revenue]]</f>
        <v>0.42857142857142855</v>
      </c>
      <c r="S182" s="19"/>
      <c r="T182" s="19" t="str">
        <f>UPPER(TEXT(ShoeSales[[#This Row],[Date]], "mmm"))</f>
        <v>MAR</v>
      </c>
    </row>
    <row r="183" spans="1:20" ht="14.25" customHeight="1" x14ac:dyDescent="0.25">
      <c r="A183" s="15">
        <v>46165</v>
      </c>
      <c r="B183" s="9" t="s">
        <v>44</v>
      </c>
      <c r="C183" s="9" t="str">
        <f>TRIM(PROPER(ShoeSales[[#This Row],[Product]]))</f>
        <v>Boots</v>
      </c>
      <c r="D183" s="9" t="s">
        <v>42</v>
      </c>
      <c r="E183" s="45" t="str">
        <f>UPPER(ShoeSales[[#This Row],[Category]])</f>
        <v>UTILITY</v>
      </c>
      <c r="F183" s="9" t="s">
        <v>29</v>
      </c>
      <c r="G183" s="9" t="s">
        <v>80</v>
      </c>
      <c r="H183" s="9" t="str">
        <f>PROPER(ShoeSales[[#This Row],[Brand]])</f>
        <v>Steve Madden</v>
      </c>
      <c r="I183" s="9" t="s">
        <v>64</v>
      </c>
      <c r="J183" s="10">
        <v>6</v>
      </c>
      <c r="K183" s="9" t="s">
        <v>32</v>
      </c>
      <c r="L183" s="22">
        <f>VLOOKUP(ShoeSales[[#This Row],[Product Cleaned]],Price!$A$2:$C$9,2,FALSE)</f>
        <v>76</v>
      </c>
      <c r="M183" s="19">
        <f>_xlfn.XLOOKUP(ShoeSales[[#This Row],[Product Cleaned]],Price!$A$2:$A$9,Price!$B$2:$B$9)</f>
        <v>76</v>
      </c>
      <c r="N183" s="19">
        <f>_xlfn.XLOOKUP(ShoeSales[[#This Row],[Product Cleaned]],Price!$A$2:$A$9,Price!$C$2:$C$9)</f>
        <v>39</v>
      </c>
      <c r="O183" s="22">
        <f>ShoeSales[[#This Row],[Sell Price]]*ShoeSales[[#This Row],[Quantity]]</f>
        <v>456</v>
      </c>
      <c r="P183" s="19">
        <f>ShoeSales[[#This Row],[Quantity]]*ShoeSales[[#This Row],[Cost Price]]</f>
        <v>234</v>
      </c>
      <c r="Q183" s="19">
        <f>ShoeSales[[#This Row],[Revenue]]-ShoeSales[[#This Row],[Cost]]</f>
        <v>222</v>
      </c>
      <c r="R183" s="24">
        <f>ShoeSales[[#This Row],[Profit]]/ShoeSales[[#This Row],[Revenue]]</f>
        <v>0.48684210526315791</v>
      </c>
      <c r="S183" s="19"/>
      <c r="T183" s="19" t="str">
        <f>UPPER(TEXT(ShoeSales[[#This Row],[Date]], "mmm"))</f>
        <v>MAY</v>
      </c>
    </row>
    <row r="184" spans="1:20" ht="14.25" customHeight="1" x14ac:dyDescent="0.25">
      <c r="A184" s="14">
        <v>46153</v>
      </c>
      <c r="B184" s="6" t="s">
        <v>68</v>
      </c>
      <c r="C184" s="16" t="str">
        <f>TRIM(PROPER(ShoeSales[[#This Row],[Product]]))</f>
        <v>Slippers</v>
      </c>
      <c r="D184" s="6" t="s">
        <v>87</v>
      </c>
      <c r="E184" s="44" t="str">
        <f>UPPER(ShoeSales[[#This Row],[Category]])</f>
        <v>OPEN</v>
      </c>
      <c r="F184" s="6" t="s">
        <v>56</v>
      </c>
      <c r="G184" s="6" t="s">
        <v>69</v>
      </c>
      <c r="H184" s="16" t="str">
        <f>PROPER(ShoeSales[[#This Row],[Brand]])</f>
        <v>Zara</v>
      </c>
      <c r="I184" s="6" t="s">
        <v>53</v>
      </c>
      <c r="J184" s="7">
        <v>4</v>
      </c>
      <c r="K184" s="6" t="s">
        <v>36</v>
      </c>
      <c r="L184" s="22">
        <f>VLOOKUP(ShoeSales[[#This Row],[Product Cleaned]],Price!$A$2:$C$9,2,FALSE)</f>
        <v>119</v>
      </c>
      <c r="M184" s="19">
        <f>_xlfn.XLOOKUP(ShoeSales[[#This Row],[Product Cleaned]],Price!$A$2:$A$9,Price!$B$2:$B$9)</f>
        <v>119</v>
      </c>
      <c r="N184" s="19">
        <f>_xlfn.XLOOKUP(ShoeSales[[#This Row],[Product Cleaned]],Price!$A$2:$A$9,Price!$C$2:$C$9)</f>
        <v>67</v>
      </c>
      <c r="O184" s="22">
        <f>ShoeSales[[#This Row],[Sell Price]]*ShoeSales[[#This Row],[Quantity]]</f>
        <v>476</v>
      </c>
      <c r="P184" s="19">
        <f>ShoeSales[[#This Row],[Quantity]]*ShoeSales[[#This Row],[Cost Price]]</f>
        <v>268</v>
      </c>
      <c r="Q184" s="19">
        <f>ShoeSales[[#This Row],[Revenue]]-ShoeSales[[#This Row],[Cost]]</f>
        <v>208</v>
      </c>
      <c r="R184" s="24">
        <f>ShoeSales[[#This Row],[Profit]]/ShoeSales[[#This Row],[Revenue]]</f>
        <v>0.43697478991596639</v>
      </c>
      <c r="S184" s="19"/>
      <c r="T184" s="19" t="str">
        <f>UPPER(TEXT(ShoeSales[[#This Row],[Date]], "mmm"))</f>
        <v>MAY</v>
      </c>
    </row>
    <row r="185" spans="1:20" ht="14.25" customHeight="1" x14ac:dyDescent="0.25">
      <c r="A185" s="15">
        <v>46211</v>
      </c>
      <c r="B185" s="9" t="s">
        <v>88</v>
      </c>
      <c r="C185" s="9" t="str">
        <f>TRIM(PROPER(ShoeSales[[#This Row],[Product]]))</f>
        <v>Slippers</v>
      </c>
      <c r="D185" s="9" t="s">
        <v>58</v>
      </c>
      <c r="E185" s="45" t="str">
        <f>UPPER(ShoeSales[[#This Row],[Category]])</f>
        <v>FORMAL</v>
      </c>
      <c r="F185" s="9" t="s">
        <v>34</v>
      </c>
      <c r="G185" s="9" t="s">
        <v>82</v>
      </c>
      <c r="H185" s="9" t="str">
        <f>PROPER(ShoeSales[[#This Row],[Brand]])</f>
        <v>Zara</v>
      </c>
      <c r="I185" s="9" t="s">
        <v>66</v>
      </c>
      <c r="J185" s="10">
        <v>7</v>
      </c>
      <c r="K185" s="9" t="s">
        <v>36</v>
      </c>
      <c r="L185" s="22">
        <f>VLOOKUP(ShoeSales[[#This Row],[Product Cleaned]],Price!$A$2:$C$9,2,FALSE)</f>
        <v>119</v>
      </c>
      <c r="M185" s="19">
        <f>_xlfn.XLOOKUP(ShoeSales[[#This Row],[Product Cleaned]],Price!$A$2:$A$9,Price!$B$2:$B$9)</f>
        <v>119</v>
      </c>
      <c r="N185" s="19">
        <f>_xlfn.XLOOKUP(ShoeSales[[#This Row],[Product Cleaned]],Price!$A$2:$A$9,Price!$C$2:$C$9)</f>
        <v>67</v>
      </c>
      <c r="O185" s="22">
        <f>ShoeSales[[#This Row],[Sell Price]]*ShoeSales[[#This Row],[Quantity]]</f>
        <v>833</v>
      </c>
      <c r="P185" s="19">
        <f>ShoeSales[[#This Row],[Quantity]]*ShoeSales[[#This Row],[Cost Price]]</f>
        <v>469</v>
      </c>
      <c r="Q185" s="19">
        <f>ShoeSales[[#This Row],[Revenue]]-ShoeSales[[#This Row],[Cost]]</f>
        <v>364</v>
      </c>
      <c r="R185" s="24">
        <f>ShoeSales[[#This Row],[Profit]]/ShoeSales[[#This Row],[Revenue]]</f>
        <v>0.43697478991596639</v>
      </c>
      <c r="S185" s="19"/>
      <c r="T185" s="19" t="str">
        <f>UPPER(TEXT(ShoeSales[[#This Row],[Date]], "mmm"))</f>
        <v>JUL</v>
      </c>
    </row>
    <row r="186" spans="1:20" ht="14.25" customHeight="1" x14ac:dyDescent="0.25">
      <c r="A186" s="14">
        <v>46084</v>
      </c>
      <c r="B186" s="6" t="s">
        <v>33</v>
      </c>
      <c r="C186" s="16" t="str">
        <f>TRIM(PROPER(ShoeSales[[#This Row],[Product]]))</f>
        <v>Loafers</v>
      </c>
      <c r="D186" s="6" t="s">
        <v>77</v>
      </c>
      <c r="E186" s="44" t="str">
        <f>UPPER(ShoeSales[[#This Row],[Category]])</f>
        <v>CASUAL</v>
      </c>
      <c r="F186" s="6" t="s">
        <v>49</v>
      </c>
      <c r="G186" s="6" t="s">
        <v>72</v>
      </c>
      <c r="H186" s="16" t="str">
        <f>PROPER(ShoeSales[[#This Row],[Brand]])</f>
        <v>Zara</v>
      </c>
      <c r="I186" s="6" t="s">
        <v>43</v>
      </c>
      <c r="J186" s="7">
        <v>14</v>
      </c>
      <c r="K186" s="6" t="s">
        <v>36</v>
      </c>
      <c r="L186" s="22">
        <f>VLOOKUP(ShoeSales[[#This Row],[Product Cleaned]],Price!$A$2:$C$9,2,FALSE)</f>
        <v>54</v>
      </c>
      <c r="M186" s="19">
        <f>_xlfn.XLOOKUP(ShoeSales[[#This Row],[Product Cleaned]],Price!$A$2:$A$9,Price!$B$2:$B$9)</f>
        <v>54</v>
      </c>
      <c r="N186" s="19">
        <f>_xlfn.XLOOKUP(ShoeSales[[#This Row],[Product Cleaned]],Price!$A$2:$A$9,Price!$C$2:$C$9)</f>
        <v>28</v>
      </c>
      <c r="O186" s="22">
        <f>ShoeSales[[#This Row],[Sell Price]]*ShoeSales[[#This Row],[Quantity]]</f>
        <v>756</v>
      </c>
      <c r="P186" s="19">
        <f>ShoeSales[[#This Row],[Quantity]]*ShoeSales[[#This Row],[Cost Price]]</f>
        <v>392</v>
      </c>
      <c r="Q186" s="19">
        <f>ShoeSales[[#This Row],[Revenue]]-ShoeSales[[#This Row],[Cost]]</f>
        <v>364</v>
      </c>
      <c r="R186" s="24">
        <f>ShoeSales[[#This Row],[Profit]]/ShoeSales[[#This Row],[Revenue]]</f>
        <v>0.48148148148148145</v>
      </c>
      <c r="S186" s="19"/>
      <c r="T186" s="19" t="str">
        <f>UPPER(TEXT(ShoeSales[[#This Row],[Date]], "mmm"))</f>
        <v>MAR</v>
      </c>
    </row>
    <row r="187" spans="1:20" ht="14.25" customHeight="1" x14ac:dyDescent="0.25">
      <c r="A187" s="15">
        <v>46094</v>
      </c>
      <c r="B187" s="9" t="s">
        <v>33</v>
      </c>
      <c r="C187" s="9" t="str">
        <f>TRIM(PROPER(ShoeSales[[#This Row],[Product]]))</f>
        <v>Loafers</v>
      </c>
      <c r="D187" s="9" t="s">
        <v>42</v>
      </c>
      <c r="E187" s="45" t="str">
        <f>UPPER(ShoeSales[[#This Row],[Category]])</f>
        <v>UTILITY</v>
      </c>
      <c r="F187" s="9" t="s">
        <v>29</v>
      </c>
      <c r="G187" s="9" t="s">
        <v>35</v>
      </c>
      <c r="H187" s="9" t="str">
        <f>PROPER(ShoeSales[[#This Row],[Brand]])</f>
        <v>Nike</v>
      </c>
      <c r="I187" s="9" t="s">
        <v>84</v>
      </c>
      <c r="J187" s="10">
        <v>12</v>
      </c>
      <c r="K187" s="9" t="s">
        <v>32</v>
      </c>
      <c r="L187" s="22">
        <f>VLOOKUP(ShoeSales[[#This Row],[Product Cleaned]],Price!$A$2:$C$9,2,FALSE)</f>
        <v>54</v>
      </c>
      <c r="M187" s="19">
        <f>_xlfn.XLOOKUP(ShoeSales[[#This Row],[Product Cleaned]],Price!$A$2:$A$9,Price!$B$2:$B$9)</f>
        <v>54</v>
      </c>
      <c r="N187" s="19">
        <f>_xlfn.XLOOKUP(ShoeSales[[#This Row],[Product Cleaned]],Price!$A$2:$A$9,Price!$C$2:$C$9)</f>
        <v>28</v>
      </c>
      <c r="O187" s="22">
        <f>ShoeSales[[#This Row],[Sell Price]]*ShoeSales[[#This Row],[Quantity]]</f>
        <v>648</v>
      </c>
      <c r="P187" s="19">
        <f>ShoeSales[[#This Row],[Quantity]]*ShoeSales[[#This Row],[Cost Price]]</f>
        <v>336</v>
      </c>
      <c r="Q187" s="19">
        <f>ShoeSales[[#This Row],[Revenue]]-ShoeSales[[#This Row],[Cost]]</f>
        <v>312</v>
      </c>
      <c r="R187" s="24">
        <f>ShoeSales[[#This Row],[Profit]]/ShoeSales[[#This Row],[Revenue]]</f>
        <v>0.48148148148148145</v>
      </c>
      <c r="S187" s="19"/>
      <c r="T187" s="19" t="str">
        <f>UPPER(TEXT(ShoeSales[[#This Row],[Date]], "mmm"))</f>
        <v>MAR</v>
      </c>
    </row>
    <row r="188" spans="1:20" ht="14.25" customHeight="1" x14ac:dyDescent="0.25">
      <c r="A188" s="14">
        <v>46239</v>
      </c>
      <c r="B188" s="6" t="s">
        <v>76</v>
      </c>
      <c r="C188" s="16" t="str">
        <f>TRIM(PROPER(ShoeSales[[#This Row],[Product]]))</f>
        <v>Derby</v>
      </c>
      <c r="D188" s="6" t="s">
        <v>58</v>
      </c>
      <c r="E188" s="44" t="str">
        <f>UPPER(ShoeSales[[#This Row],[Category]])</f>
        <v>FORMAL</v>
      </c>
      <c r="F188" s="6" t="s">
        <v>29</v>
      </c>
      <c r="G188" s="6" t="s">
        <v>82</v>
      </c>
      <c r="H188" s="16" t="str">
        <f>PROPER(ShoeSales[[#This Row],[Brand]])</f>
        <v>Zara</v>
      </c>
      <c r="I188" s="6" t="s">
        <v>47</v>
      </c>
      <c r="J188" s="7">
        <v>11</v>
      </c>
      <c r="K188" s="6" t="s">
        <v>36</v>
      </c>
      <c r="L188" s="22">
        <f>VLOOKUP(ShoeSales[[#This Row],[Product Cleaned]],Price!$A$2:$C$9,2,FALSE)</f>
        <v>32</v>
      </c>
      <c r="M188" s="19">
        <f>_xlfn.XLOOKUP(ShoeSales[[#This Row],[Product Cleaned]],Price!$A$2:$A$9,Price!$B$2:$B$9)</f>
        <v>32</v>
      </c>
      <c r="N188" s="19">
        <f>_xlfn.XLOOKUP(ShoeSales[[#This Row],[Product Cleaned]],Price!$A$2:$A$9,Price!$C$2:$C$9)</f>
        <v>14</v>
      </c>
      <c r="O188" s="22">
        <f>ShoeSales[[#This Row],[Sell Price]]*ShoeSales[[#This Row],[Quantity]]</f>
        <v>352</v>
      </c>
      <c r="P188" s="19">
        <f>ShoeSales[[#This Row],[Quantity]]*ShoeSales[[#This Row],[Cost Price]]</f>
        <v>154</v>
      </c>
      <c r="Q188" s="19">
        <f>ShoeSales[[#This Row],[Revenue]]-ShoeSales[[#This Row],[Cost]]</f>
        <v>198</v>
      </c>
      <c r="R188" s="24">
        <f>ShoeSales[[#This Row],[Profit]]/ShoeSales[[#This Row],[Revenue]]</f>
        <v>0.5625</v>
      </c>
      <c r="S188" s="19"/>
      <c r="T188" s="19" t="str">
        <f>UPPER(TEXT(ShoeSales[[#This Row],[Date]], "mmm"))</f>
        <v>AUG</v>
      </c>
    </row>
    <row r="189" spans="1:20" ht="14.25" customHeight="1" x14ac:dyDescent="0.25">
      <c r="A189" s="15">
        <v>46175</v>
      </c>
      <c r="B189" s="9" t="s">
        <v>88</v>
      </c>
      <c r="C189" s="9" t="str">
        <f>TRIM(PROPER(ShoeSales[[#This Row],[Product]]))</f>
        <v>Slippers</v>
      </c>
      <c r="D189" s="9" t="s">
        <v>48</v>
      </c>
      <c r="E189" s="45" t="str">
        <f>UPPER(ShoeSales[[#This Row],[Category]])</f>
        <v>UTILITY</v>
      </c>
      <c r="F189" s="9" t="s">
        <v>38</v>
      </c>
      <c r="G189" s="9" t="s">
        <v>69</v>
      </c>
      <c r="H189" s="9" t="str">
        <f>PROPER(ShoeSales[[#This Row],[Brand]])</f>
        <v>Zara</v>
      </c>
      <c r="I189" s="9" t="s">
        <v>47</v>
      </c>
      <c r="J189" s="10">
        <v>4</v>
      </c>
      <c r="K189" s="9" t="s">
        <v>32</v>
      </c>
      <c r="L189" s="22">
        <f>VLOOKUP(ShoeSales[[#This Row],[Product Cleaned]],Price!$A$2:$C$9,2,FALSE)</f>
        <v>119</v>
      </c>
      <c r="M189" s="19">
        <f>_xlfn.XLOOKUP(ShoeSales[[#This Row],[Product Cleaned]],Price!$A$2:$A$9,Price!$B$2:$B$9)</f>
        <v>119</v>
      </c>
      <c r="N189" s="19">
        <f>_xlfn.XLOOKUP(ShoeSales[[#This Row],[Product Cleaned]],Price!$A$2:$A$9,Price!$C$2:$C$9)</f>
        <v>67</v>
      </c>
      <c r="O189" s="22">
        <f>ShoeSales[[#This Row],[Sell Price]]*ShoeSales[[#This Row],[Quantity]]</f>
        <v>476</v>
      </c>
      <c r="P189" s="19">
        <f>ShoeSales[[#This Row],[Quantity]]*ShoeSales[[#This Row],[Cost Price]]</f>
        <v>268</v>
      </c>
      <c r="Q189" s="19">
        <f>ShoeSales[[#This Row],[Revenue]]-ShoeSales[[#This Row],[Cost]]</f>
        <v>208</v>
      </c>
      <c r="R189" s="24">
        <f>ShoeSales[[#This Row],[Profit]]/ShoeSales[[#This Row],[Revenue]]</f>
        <v>0.43697478991596639</v>
      </c>
      <c r="S189" s="19"/>
      <c r="T189" s="19" t="str">
        <f>UPPER(TEXT(ShoeSales[[#This Row],[Date]], "mmm"))</f>
        <v>JUN</v>
      </c>
    </row>
    <row r="190" spans="1:20" ht="14.25" customHeight="1" x14ac:dyDescent="0.25">
      <c r="A190" s="14">
        <v>46039</v>
      </c>
      <c r="B190" s="6" t="s">
        <v>60</v>
      </c>
      <c r="C190" s="16" t="str">
        <f>TRIM(PROPER(ShoeSales[[#This Row],[Product]]))</f>
        <v>Oxford</v>
      </c>
      <c r="D190" s="6" t="s">
        <v>28</v>
      </c>
      <c r="E190" s="44" t="str">
        <f>UPPER(ShoeSales[[#This Row],[Category]])</f>
        <v>FORMAL</v>
      </c>
      <c r="F190" s="6" t="s">
        <v>29</v>
      </c>
      <c r="G190" s="6" t="s">
        <v>30</v>
      </c>
      <c r="H190" s="16" t="str">
        <f>PROPER(ShoeSales[[#This Row],[Brand]])</f>
        <v>Nike</v>
      </c>
      <c r="I190" s="6" t="s">
        <v>78</v>
      </c>
      <c r="J190" s="7">
        <v>4</v>
      </c>
      <c r="K190" s="6" t="s">
        <v>32</v>
      </c>
      <c r="L190" s="22">
        <f>VLOOKUP(ShoeSales[[#This Row],[Product Cleaned]],Price!$A$2:$C$9,2,FALSE)</f>
        <v>105</v>
      </c>
      <c r="M190" s="19">
        <f>_xlfn.XLOOKUP(ShoeSales[[#This Row],[Product Cleaned]],Price!$A$2:$A$9,Price!$B$2:$B$9)</f>
        <v>105</v>
      </c>
      <c r="N190" s="19">
        <f>_xlfn.XLOOKUP(ShoeSales[[#This Row],[Product Cleaned]],Price!$A$2:$A$9,Price!$C$2:$C$9)</f>
        <v>58</v>
      </c>
      <c r="O190" s="22">
        <f>ShoeSales[[#This Row],[Sell Price]]*ShoeSales[[#This Row],[Quantity]]</f>
        <v>420</v>
      </c>
      <c r="P190" s="19">
        <f>ShoeSales[[#This Row],[Quantity]]*ShoeSales[[#This Row],[Cost Price]]</f>
        <v>232</v>
      </c>
      <c r="Q190" s="19">
        <f>ShoeSales[[#This Row],[Revenue]]-ShoeSales[[#This Row],[Cost]]</f>
        <v>188</v>
      </c>
      <c r="R190" s="24">
        <f>ShoeSales[[#This Row],[Profit]]/ShoeSales[[#This Row],[Revenue]]</f>
        <v>0.44761904761904764</v>
      </c>
      <c r="S190" s="19"/>
      <c r="T190" s="19" t="str">
        <f>UPPER(TEXT(ShoeSales[[#This Row],[Date]], "mmm"))</f>
        <v>JAN</v>
      </c>
    </row>
    <row r="191" spans="1:20" ht="14.25" customHeight="1" x14ac:dyDescent="0.25">
      <c r="A191" s="15">
        <v>46210</v>
      </c>
      <c r="B191" s="9" t="s">
        <v>76</v>
      </c>
      <c r="C191" s="9" t="str">
        <f>TRIM(PROPER(ShoeSales[[#This Row],[Product]]))</f>
        <v>Derby</v>
      </c>
      <c r="D191" s="9" t="s">
        <v>37</v>
      </c>
      <c r="E191" s="45" t="str">
        <f>UPPER(ShoeSales[[#This Row],[Category]])</f>
        <v>FORMAL</v>
      </c>
      <c r="F191" s="9" t="s">
        <v>34</v>
      </c>
      <c r="G191" s="9" t="s">
        <v>72</v>
      </c>
      <c r="H191" s="9" t="str">
        <f>PROPER(ShoeSales[[#This Row],[Brand]])</f>
        <v>Zara</v>
      </c>
      <c r="I191" s="9" t="s">
        <v>66</v>
      </c>
      <c r="J191" s="10">
        <v>3</v>
      </c>
      <c r="K191" s="9" t="s">
        <v>36</v>
      </c>
      <c r="L191" s="22">
        <f>VLOOKUP(ShoeSales[[#This Row],[Product Cleaned]],Price!$A$2:$C$9,2,FALSE)</f>
        <v>32</v>
      </c>
      <c r="M191" s="19">
        <f>_xlfn.XLOOKUP(ShoeSales[[#This Row],[Product Cleaned]],Price!$A$2:$A$9,Price!$B$2:$B$9)</f>
        <v>32</v>
      </c>
      <c r="N191" s="19">
        <f>_xlfn.XLOOKUP(ShoeSales[[#This Row],[Product Cleaned]],Price!$A$2:$A$9,Price!$C$2:$C$9)</f>
        <v>14</v>
      </c>
      <c r="O191" s="22">
        <f>ShoeSales[[#This Row],[Sell Price]]*ShoeSales[[#This Row],[Quantity]]</f>
        <v>96</v>
      </c>
      <c r="P191" s="19">
        <f>ShoeSales[[#This Row],[Quantity]]*ShoeSales[[#This Row],[Cost Price]]</f>
        <v>42</v>
      </c>
      <c r="Q191" s="19">
        <f>ShoeSales[[#This Row],[Revenue]]-ShoeSales[[#This Row],[Cost]]</f>
        <v>54</v>
      </c>
      <c r="R191" s="24">
        <f>ShoeSales[[#This Row],[Profit]]/ShoeSales[[#This Row],[Revenue]]</f>
        <v>0.5625</v>
      </c>
      <c r="S191" s="19"/>
      <c r="T191" s="19" t="str">
        <f>UPPER(TEXT(ShoeSales[[#This Row],[Date]], "mmm"))</f>
        <v>JUL</v>
      </c>
    </row>
    <row r="192" spans="1:20" ht="14.25" customHeight="1" x14ac:dyDescent="0.25">
      <c r="A192" s="14">
        <v>46165</v>
      </c>
      <c r="B192" s="6" t="s">
        <v>79</v>
      </c>
      <c r="C192" s="16" t="str">
        <f>TRIM(PROPER(ShoeSales[[#This Row],[Product]]))</f>
        <v>Brogues</v>
      </c>
      <c r="D192" s="6" t="s">
        <v>77</v>
      </c>
      <c r="E192" s="44" t="str">
        <f>UPPER(ShoeSales[[#This Row],[Category]])</f>
        <v>CASUAL</v>
      </c>
      <c r="F192" s="6" t="s">
        <v>56</v>
      </c>
      <c r="G192" s="6" t="s">
        <v>75</v>
      </c>
      <c r="H192" s="16" t="str">
        <f>PROPER(ShoeSales[[#This Row],[Brand]])</f>
        <v>Steve Madden</v>
      </c>
      <c r="I192" s="6" t="s">
        <v>59</v>
      </c>
      <c r="J192" s="7">
        <v>15</v>
      </c>
      <c r="K192" s="6" t="s">
        <v>36</v>
      </c>
      <c r="L192" s="22">
        <f>VLOOKUP(ShoeSales[[#This Row],[Product Cleaned]],Price!$A$2:$C$9,2,FALSE)</f>
        <v>112</v>
      </c>
      <c r="M192" s="19">
        <f>_xlfn.XLOOKUP(ShoeSales[[#This Row],[Product Cleaned]],Price!$A$2:$A$9,Price!$B$2:$B$9)</f>
        <v>112</v>
      </c>
      <c r="N192" s="19">
        <f>_xlfn.XLOOKUP(ShoeSales[[#This Row],[Product Cleaned]],Price!$A$2:$A$9,Price!$C$2:$C$9)</f>
        <v>64</v>
      </c>
      <c r="O192" s="22">
        <f>ShoeSales[[#This Row],[Sell Price]]*ShoeSales[[#This Row],[Quantity]]</f>
        <v>1680</v>
      </c>
      <c r="P192" s="19">
        <f>ShoeSales[[#This Row],[Quantity]]*ShoeSales[[#This Row],[Cost Price]]</f>
        <v>960</v>
      </c>
      <c r="Q192" s="19">
        <f>ShoeSales[[#This Row],[Revenue]]-ShoeSales[[#This Row],[Cost]]</f>
        <v>720</v>
      </c>
      <c r="R192" s="24">
        <f>ShoeSales[[#This Row],[Profit]]/ShoeSales[[#This Row],[Revenue]]</f>
        <v>0.42857142857142855</v>
      </c>
      <c r="S192" s="19"/>
      <c r="T192" s="19" t="str">
        <f>UPPER(TEXT(ShoeSales[[#This Row],[Date]], "mmm"))</f>
        <v>MAY</v>
      </c>
    </row>
    <row r="193" spans="1:20" ht="14.25" customHeight="1" x14ac:dyDescent="0.25">
      <c r="A193" s="15">
        <v>46072</v>
      </c>
      <c r="B193" s="9" t="s">
        <v>27</v>
      </c>
      <c r="C193" s="9" t="str">
        <f>TRIM(PROPER(ShoeSales[[#This Row],[Product]]))</f>
        <v>Monk Straps</v>
      </c>
      <c r="D193" s="9" t="s">
        <v>42</v>
      </c>
      <c r="E193" s="45" t="str">
        <f>UPPER(ShoeSales[[#This Row],[Category]])</f>
        <v>UTILITY</v>
      </c>
      <c r="F193" s="9" t="s">
        <v>49</v>
      </c>
      <c r="G193" s="9" t="s">
        <v>95</v>
      </c>
      <c r="H193" s="9" t="str">
        <f>PROPER(ShoeSales[[#This Row],[Brand]])</f>
        <v>Timberland</v>
      </c>
      <c r="I193" s="9" t="s">
        <v>59</v>
      </c>
      <c r="J193" s="10">
        <v>9</v>
      </c>
      <c r="K193" s="9" t="s">
        <v>36</v>
      </c>
      <c r="L193" s="22">
        <f>VLOOKUP(ShoeSales[[#This Row],[Product Cleaned]],Price!$A$2:$C$9,2,FALSE)</f>
        <v>89</v>
      </c>
      <c r="M193" s="19">
        <f>_xlfn.XLOOKUP(ShoeSales[[#This Row],[Product Cleaned]],Price!$A$2:$A$9,Price!$B$2:$B$9)</f>
        <v>89</v>
      </c>
      <c r="N193" s="19">
        <f>_xlfn.XLOOKUP(ShoeSales[[#This Row],[Product Cleaned]],Price!$A$2:$A$9,Price!$C$2:$C$9)</f>
        <v>47</v>
      </c>
      <c r="O193" s="22">
        <f>ShoeSales[[#This Row],[Sell Price]]*ShoeSales[[#This Row],[Quantity]]</f>
        <v>801</v>
      </c>
      <c r="P193" s="19">
        <f>ShoeSales[[#This Row],[Quantity]]*ShoeSales[[#This Row],[Cost Price]]</f>
        <v>423</v>
      </c>
      <c r="Q193" s="19">
        <f>ShoeSales[[#This Row],[Revenue]]-ShoeSales[[#This Row],[Cost]]</f>
        <v>378</v>
      </c>
      <c r="R193" s="24">
        <f>ShoeSales[[#This Row],[Profit]]/ShoeSales[[#This Row],[Revenue]]</f>
        <v>0.47191011235955055</v>
      </c>
      <c r="S193" s="19"/>
      <c r="T193" s="19" t="str">
        <f>UPPER(TEXT(ShoeSales[[#This Row],[Date]], "mmm"))</f>
        <v>FEB</v>
      </c>
    </row>
    <row r="194" spans="1:20" ht="14.25" customHeight="1" x14ac:dyDescent="0.25">
      <c r="A194" s="14">
        <v>46118</v>
      </c>
      <c r="B194" s="6" t="s">
        <v>52</v>
      </c>
      <c r="C194" s="16" t="str">
        <f>TRIM(PROPER(ShoeSales[[#This Row],[Product]]))</f>
        <v>Canvas</v>
      </c>
      <c r="D194" s="6" t="s">
        <v>89</v>
      </c>
      <c r="E194" s="44" t="str">
        <f>UPPER(ShoeSales[[#This Row],[Category]])</f>
        <v>OPEN</v>
      </c>
      <c r="F194" s="6" t="s">
        <v>49</v>
      </c>
      <c r="G194" s="6" t="s">
        <v>82</v>
      </c>
      <c r="H194" s="16" t="str">
        <f>PROPER(ShoeSales[[#This Row],[Brand]])</f>
        <v>Zara</v>
      </c>
      <c r="I194" s="6" t="s">
        <v>53</v>
      </c>
      <c r="J194" s="7">
        <v>12</v>
      </c>
      <c r="K194" s="6" t="s">
        <v>32</v>
      </c>
      <c r="L194" s="22">
        <f>VLOOKUP(ShoeSales[[#This Row],[Product Cleaned]],Price!$A$2:$C$9,2,FALSE)</f>
        <v>128</v>
      </c>
      <c r="M194" s="19">
        <f>_xlfn.XLOOKUP(ShoeSales[[#This Row],[Product Cleaned]],Price!$A$2:$A$9,Price!$B$2:$B$9)</f>
        <v>128</v>
      </c>
      <c r="N194" s="19">
        <f>_xlfn.XLOOKUP(ShoeSales[[#This Row],[Product Cleaned]],Price!$A$2:$A$9,Price!$C$2:$C$9)</f>
        <v>72</v>
      </c>
      <c r="O194" s="22">
        <f>ShoeSales[[#This Row],[Sell Price]]*ShoeSales[[#This Row],[Quantity]]</f>
        <v>1536</v>
      </c>
      <c r="P194" s="19">
        <f>ShoeSales[[#This Row],[Quantity]]*ShoeSales[[#This Row],[Cost Price]]</f>
        <v>864</v>
      </c>
      <c r="Q194" s="19">
        <f>ShoeSales[[#This Row],[Revenue]]-ShoeSales[[#This Row],[Cost]]</f>
        <v>672</v>
      </c>
      <c r="R194" s="24">
        <f>ShoeSales[[#This Row],[Profit]]/ShoeSales[[#This Row],[Revenue]]</f>
        <v>0.4375</v>
      </c>
      <c r="S194" s="19"/>
      <c r="T194" s="19" t="str">
        <f>UPPER(TEXT(ShoeSales[[#This Row],[Date]], "mmm"))</f>
        <v>APR</v>
      </c>
    </row>
    <row r="195" spans="1:20" ht="14.25" customHeight="1" x14ac:dyDescent="0.25">
      <c r="A195" s="15">
        <v>46105</v>
      </c>
      <c r="B195" s="9" t="s">
        <v>79</v>
      </c>
      <c r="C195" s="9" t="str">
        <f>TRIM(PROPER(ShoeSales[[#This Row],[Product]]))</f>
        <v>Brogues</v>
      </c>
      <c r="D195" s="9" t="s">
        <v>89</v>
      </c>
      <c r="E195" s="45" t="str">
        <f>UPPER(ShoeSales[[#This Row],[Category]])</f>
        <v>OPEN</v>
      </c>
      <c r="F195" s="9" t="s">
        <v>49</v>
      </c>
      <c r="G195" s="9" t="s">
        <v>72</v>
      </c>
      <c r="H195" s="9" t="str">
        <f>PROPER(ShoeSales[[#This Row],[Brand]])</f>
        <v>Zara</v>
      </c>
      <c r="I195" s="9" t="s">
        <v>51</v>
      </c>
      <c r="J195" s="10">
        <v>5</v>
      </c>
      <c r="K195" s="9" t="s">
        <v>54</v>
      </c>
      <c r="L195" s="22">
        <f>VLOOKUP(ShoeSales[[#This Row],[Product Cleaned]],Price!$A$2:$C$9,2,FALSE)</f>
        <v>112</v>
      </c>
      <c r="M195" s="19">
        <f>_xlfn.XLOOKUP(ShoeSales[[#This Row],[Product Cleaned]],Price!$A$2:$A$9,Price!$B$2:$B$9)</f>
        <v>112</v>
      </c>
      <c r="N195" s="19">
        <f>_xlfn.XLOOKUP(ShoeSales[[#This Row],[Product Cleaned]],Price!$A$2:$A$9,Price!$C$2:$C$9)</f>
        <v>64</v>
      </c>
      <c r="O195" s="22">
        <f>ShoeSales[[#This Row],[Sell Price]]*ShoeSales[[#This Row],[Quantity]]</f>
        <v>560</v>
      </c>
      <c r="P195" s="19">
        <f>ShoeSales[[#This Row],[Quantity]]*ShoeSales[[#This Row],[Cost Price]]</f>
        <v>320</v>
      </c>
      <c r="Q195" s="19">
        <f>ShoeSales[[#This Row],[Revenue]]-ShoeSales[[#This Row],[Cost]]</f>
        <v>240</v>
      </c>
      <c r="R195" s="24">
        <f>ShoeSales[[#This Row],[Profit]]/ShoeSales[[#This Row],[Revenue]]</f>
        <v>0.42857142857142855</v>
      </c>
      <c r="S195" s="19"/>
      <c r="T195" s="19" t="str">
        <f>UPPER(TEXT(ShoeSales[[#This Row],[Date]], "mmm"))</f>
        <v>MAR</v>
      </c>
    </row>
    <row r="196" spans="1:20" ht="14.25" customHeight="1" x14ac:dyDescent="0.25">
      <c r="A196" s="14">
        <v>46117</v>
      </c>
      <c r="B196" s="6" t="s">
        <v>44</v>
      </c>
      <c r="C196" s="16" t="str">
        <f>TRIM(PROPER(ShoeSales[[#This Row],[Product]]))</f>
        <v>Boots</v>
      </c>
      <c r="D196" s="6" t="s">
        <v>37</v>
      </c>
      <c r="E196" s="44" t="str">
        <f>UPPER(ShoeSales[[#This Row],[Category]])</f>
        <v>FORMAL</v>
      </c>
      <c r="F196" s="6" t="s">
        <v>56</v>
      </c>
      <c r="G196" s="6" t="s">
        <v>63</v>
      </c>
      <c r="H196" s="16" t="str">
        <f>PROPER(ShoeSales[[#This Row],[Brand]])</f>
        <v>Clarks</v>
      </c>
      <c r="I196" s="6" t="s">
        <v>61</v>
      </c>
      <c r="J196" s="7">
        <v>4</v>
      </c>
      <c r="K196" s="6" t="s">
        <v>62</v>
      </c>
      <c r="L196" s="22">
        <f>VLOOKUP(ShoeSales[[#This Row],[Product Cleaned]],Price!$A$2:$C$9,2,FALSE)</f>
        <v>76</v>
      </c>
      <c r="M196" s="19">
        <f>_xlfn.XLOOKUP(ShoeSales[[#This Row],[Product Cleaned]],Price!$A$2:$A$9,Price!$B$2:$B$9)</f>
        <v>76</v>
      </c>
      <c r="N196" s="19">
        <f>_xlfn.XLOOKUP(ShoeSales[[#This Row],[Product Cleaned]],Price!$A$2:$A$9,Price!$C$2:$C$9)</f>
        <v>39</v>
      </c>
      <c r="O196" s="22">
        <f>ShoeSales[[#This Row],[Sell Price]]*ShoeSales[[#This Row],[Quantity]]</f>
        <v>304</v>
      </c>
      <c r="P196" s="19">
        <f>ShoeSales[[#This Row],[Quantity]]*ShoeSales[[#This Row],[Cost Price]]</f>
        <v>156</v>
      </c>
      <c r="Q196" s="19">
        <f>ShoeSales[[#This Row],[Revenue]]-ShoeSales[[#This Row],[Cost]]</f>
        <v>148</v>
      </c>
      <c r="R196" s="24">
        <f>ShoeSales[[#This Row],[Profit]]/ShoeSales[[#This Row],[Revenue]]</f>
        <v>0.48684210526315791</v>
      </c>
      <c r="S196" s="19"/>
      <c r="T196" s="19" t="str">
        <f>UPPER(TEXT(ShoeSales[[#This Row],[Date]], "mmm"))</f>
        <v>APR</v>
      </c>
    </row>
    <row r="197" spans="1:20" ht="14.25" customHeight="1" x14ac:dyDescent="0.25">
      <c r="A197" s="15">
        <v>46223</v>
      </c>
      <c r="B197" s="9" t="s">
        <v>83</v>
      </c>
      <c r="C197" s="9" t="str">
        <f>TRIM(PROPER(ShoeSales[[#This Row],[Product]]))</f>
        <v>Monk Straps</v>
      </c>
      <c r="D197" s="9" t="s">
        <v>48</v>
      </c>
      <c r="E197" s="45" t="str">
        <f>UPPER(ShoeSales[[#This Row],[Category]])</f>
        <v>UTILITY</v>
      </c>
      <c r="F197" s="9" t="s">
        <v>49</v>
      </c>
      <c r="G197" s="9" t="s">
        <v>69</v>
      </c>
      <c r="H197" s="9" t="str">
        <f>PROPER(ShoeSales[[#This Row],[Brand]])</f>
        <v>Zara</v>
      </c>
      <c r="I197" s="9" t="s">
        <v>91</v>
      </c>
      <c r="J197" s="10">
        <v>10</v>
      </c>
      <c r="K197" s="9" t="s">
        <v>36</v>
      </c>
      <c r="L197" s="22">
        <f>VLOOKUP(ShoeSales[[#This Row],[Product Cleaned]],Price!$A$2:$C$9,2,FALSE)</f>
        <v>89</v>
      </c>
      <c r="M197" s="19">
        <f>_xlfn.XLOOKUP(ShoeSales[[#This Row],[Product Cleaned]],Price!$A$2:$A$9,Price!$B$2:$B$9)</f>
        <v>89</v>
      </c>
      <c r="N197" s="19">
        <f>_xlfn.XLOOKUP(ShoeSales[[#This Row],[Product Cleaned]],Price!$A$2:$A$9,Price!$C$2:$C$9)</f>
        <v>47</v>
      </c>
      <c r="O197" s="22">
        <f>ShoeSales[[#This Row],[Sell Price]]*ShoeSales[[#This Row],[Quantity]]</f>
        <v>890</v>
      </c>
      <c r="P197" s="19">
        <f>ShoeSales[[#This Row],[Quantity]]*ShoeSales[[#This Row],[Cost Price]]</f>
        <v>470</v>
      </c>
      <c r="Q197" s="19">
        <f>ShoeSales[[#This Row],[Revenue]]-ShoeSales[[#This Row],[Cost]]</f>
        <v>420</v>
      </c>
      <c r="R197" s="24">
        <f>ShoeSales[[#This Row],[Profit]]/ShoeSales[[#This Row],[Revenue]]</f>
        <v>0.47191011235955055</v>
      </c>
      <c r="S197" s="19"/>
      <c r="T197" s="19" t="str">
        <f>UPPER(TEXT(ShoeSales[[#This Row],[Date]], "mmm"))</f>
        <v>JUL</v>
      </c>
    </row>
    <row r="198" spans="1:20" ht="14.25" customHeight="1" x14ac:dyDescent="0.25">
      <c r="A198" s="14">
        <v>46221</v>
      </c>
      <c r="B198" s="6" t="s">
        <v>90</v>
      </c>
      <c r="C198" s="16" t="str">
        <f>TRIM(PROPER(ShoeSales[[#This Row],[Product]]))</f>
        <v>Loafers</v>
      </c>
      <c r="D198" s="6" t="s">
        <v>74</v>
      </c>
      <c r="E198" s="44" t="str">
        <f>UPPER(ShoeSales[[#This Row],[Category]])</f>
        <v>OPEN</v>
      </c>
      <c r="F198" s="6" t="s">
        <v>29</v>
      </c>
      <c r="G198" s="6" t="s">
        <v>95</v>
      </c>
      <c r="H198" s="16" t="str">
        <f>PROPER(ShoeSales[[#This Row],[Brand]])</f>
        <v>Timberland</v>
      </c>
      <c r="I198" s="6" t="s">
        <v>51</v>
      </c>
      <c r="J198" s="7">
        <v>4</v>
      </c>
      <c r="K198" s="6" t="s">
        <v>62</v>
      </c>
      <c r="L198" s="22">
        <f>VLOOKUP(ShoeSales[[#This Row],[Product Cleaned]],Price!$A$2:$C$9,2,FALSE)</f>
        <v>54</v>
      </c>
      <c r="M198" s="19">
        <f>_xlfn.XLOOKUP(ShoeSales[[#This Row],[Product Cleaned]],Price!$A$2:$A$9,Price!$B$2:$B$9)</f>
        <v>54</v>
      </c>
      <c r="N198" s="19">
        <f>_xlfn.XLOOKUP(ShoeSales[[#This Row],[Product Cleaned]],Price!$A$2:$A$9,Price!$C$2:$C$9)</f>
        <v>28</v>
      </c>
      <c r="O198" s="22">
        <f>ShoeSales[[#This Row],[Sell Price]]*ShoeSales[[#This Row],[Quantity]]</f>
        <v>216</v>
      </c>
      <c r="P198" s="19">
        <f>ShoeSales[[#This Row],[Quantity]]*ShoeSales[[#This Row],[Cost Price]]</f>
        <v>112</v>
      </c>
      <c r="Q198" s="19">
        <f>ShoeSales[[#This Row],[Revenue]]-ShoeSales[[#This Row],[Cost]]</f>
        <v>104</v>
      </c>
      <c r="R198" s="24">
        <f>ShoeSales[[#This Row],[Profit]]/ShoeSales[[#This Row],[Revenue]]</f>
        <v>0.48148148148148145</v>
      </c>
      <c r="S198" s="19"/>
      <c r="T198" s="19" t="str">
        <f>UPPER(TEXT(ShoeSales[[#This Row],[Date]], "mmm"))</f>
        <v>JUL</v>
      </c>
    </row>
    <row r="199" spans="1:20" ht="14.25" customHeight="1" x14ac:dyDescent="0.25">
      <c r="A199" s="15">
        <v>46248</v>
      </c>
      <c r="B199" s="9" t="s">
        <v>85</v>
      </c>
      <c r="C199" s="9" t="str">
        <f>TRIM(PROPER(ShoeSales[[#This Row],[Product]]))</f>
        <v>Brogues</v>
      </c>
      <c r="D199" s="9" t="s">
        <v>77</v>
      </c>
      <c r="E199" s="45" t="str">
        <f>UPPER(ShoeSales[[#This Row],[Category]])</f>
        <v>CASUAL</v>
      </c>
      <c r="F199" s="9" t="s">
        <v>38</v>
      </c>
      <c r="G199" s="9" t="s">
        <v>46</v>
      </c>
      <c r="H199" s="9" t="str">
        <f>PROPER(ShoeSales[[#This Row],[Brand]])</f>
        <v>Clarks</v>
      </c>
      <c r="I199" s="9" t="s">
        <v>53</v>
      </c>
      <c r="J199" s="10">
        <v>1</v>
      </c>
      <c r="K199" s="9" t="s">
        <v>32</v>
      </c>
      <c r="L199" s="22">
        <f>VLOOKUP(ShoeSales[[#This Row],[Product Cleaned]],Price!$A$2:$C$9,2,FALSE)</f>
        <v>112</v>
      </c>
      <c r="M199" s="19">
        <f>_xlfn.XLOOKUP(ShoeSales[[#This Row],[Product Cleaned]],Price!$A$2:$A$9,Price!$B$2:$B$9)</f>
        <v>112</v>
      </c>
      <c r="N199" s="19">
        <f>_xlfn.XLOOKUP(ShoeSales[[#This Row],[Product Cleaned]],Price!$A$2:$A$9,Price!$C$2:$C$9)</f>
        <v>64</v>
      </c>
      <c r="O199" s="22">
        <f>ShoeSales[[#This Row],[Sell Price]]*ShoeSales[[#This Row],[Quantity]]</f>
        <v>112</v>
      </c>
      <c r="P199" s="19">
        <f>ShoeSales[[#This Row],[Quantity]]*ShoeSales[[#This Row],[Cost Price]]</f>
        <v>64</v>
      </c>
      <c r="Q199" s="19">
        <f>ShoeSales[[#This Row],[Revenue]]-ShoeSales[[#This Row],[Cost]]</f>
        <v>48</v>
      </c>
      <c r="R199" s="24">
        <f>ShoeSales[[#This Row],[Profit]]/ShoeSales[[#This Row],[Revenue]]</f>
        <v>0.42857142857142855</v>
      </c>
      <c r="S199" s="19"/>
      <c r="T199" s="19" t="str">
        <f>UPPER(TEXT(ShoeSales[[#This Row],[Date]], "mmm"))</f>
        <v>AUG</v>
      </c>
    </row>
    <row r="200" spans="1:20" ht="14.25" customHeight="1" x14ac:dyDescent="0.25">
      <c r="A200" s="14">
        <v>46054</v>
      </c>
      <c r="B200" s="6" t="s">
        <v>5</v>
      </c>
      <c r="C200" s="16" t="str">
        <f>TRIM(PROPER(ShoeSales[[#This Row],[Product]]))</f>
        <v>Monk Straps</v>
      </c>
      <c r="D200" s="6" t="s">
        <v>37</v>
      </c>
      <c r="E200" s="44" t="str">
        <f>UPPER(ShoeSales[[#This Row],[Category]])</f>
        <v>FORMAL</v>
      </c>
      <c r="F200" s="6" t="s">
        <v>49</v>
      </c>
      <c r="G200" s="6" t="s">
        <v>63</v>
      </c>
      <c r="H200" s="16" t="str">
        <f>PROPER(ShoeSales[[#This Row],[Brand]])</f>
        <v>Clarks</v>
      </c>
      <c r="I200" s="6" t="s">
        <v>66</v>
      </c>
      <c r="J200" s="7">
        <v>13</v>
      </c>
      <c r="K200" s="6" t="s">
        <v>36</v>
      </c>
      <c r="L200" s="22">
        <f>VLOOKUP(ShoeSales[[#This Row],[Product Cleaned]],Price!$A$2:$C$9,2,FALSE)</f>
        <v>89</v>
      </c>
      <c r="M200" s="19">
        <f>_xlfn.XLOOKUP(ShoeSales[[#This Row],[Product Cleaned]],Price!$A$2:$A$9,Price!$B$2:$B$9)</f>
        <v>89</v>
      </c>
      <c r="N200" s="19">
        <f>_xlfn.XLOOKUP(ShoeSales[[#This Row],[Product Cleaned]],Price!$A$2:$A$9,Price!$C$2:$C$9)</f>
        <v>47</v>
      </c>
      <c r="O200" s="22">
        <f>ShoeSales[[#This Row],[Sell Price]]*ShoeSales[[#This Row],[Quantity]]</f>
        <v>1157</v>
      </c>
      <c r="P200" s="19">
        <f>ShoeSales[[#This Row],[Quantity]]*ShoeSales[[#This Row],[Cost Price]]</f>
        <v>611</v>
      </c>
      <c r="Q200" s="19">
        <f>ShoeSales[[#This Row],[Revenue]]-ShoeSales[[#This Row],[Cost]]</f>
        <v>546</v>
      </c>
      <c r="R200" s="24">
        <f>ShoeSales[[#This Row],[Profit]]/ShoeSales[[#This Row],[Revenue]]</f>
        <v>0.47191011235955055</v>
      </c>
      <c r="S200" s="19"/>
      <c r="T200" s="19" t="str">
        <f>UPPER(TEXT(ShoeSales[[#This Row],[Date]], "mmm"))</f>
        <v>FEB</v>
      </c>
    </row>
    <row r="201" spans="1:20" ht="14.25" customHeight="1" x14ac:dyDescent="0.25">
      <c r="A201" s="15">
        <v>46094</v>
      </c>
      <c r="B201" s="9" t="s">
        <v>33</v>
      </c>
      <c r="C201" s="9" t="str">
        <f>TRIM(PROPER(ShoeSales[[#This Row],[Product]]))</f>
        <v>Loafers</v>
      </c>
      <c r="D201" s="9" t="s">
        <v>89</v>
      </c>
      <c r="E201" s="45" t="str">
        <f>UPPER(ShoeSales[[#This Row],[Category]])</f>
        <v>OPEN</v>
      </c>
      <c r="F201" s="9" t="s">
        <v>56</v>
      </c>
      <c r="G201" s="9" t="s">
        <v>46</v>
      </c>
      <c r="H201" s="9" t="str">
        <f>PROPER(ShoeSales[[#This Row],[Brand]])</f>
        <v>Clarks</v>
      </c>
      <c r="I201" s="9" t="s">
        <v>91</v>
      </c>
      <c r="J201" s="10">
        <v>7</v>
      </c>
      <c r="K201" s="9" t="s">
        <v>36</v>
      </c>
      <c r="L201" s="22">
        <f>VLOOKUP(ShoeSales[[#This Row],[Product Cleaned]],Price!$A$2:$C$9,2,FALSE)</f>
        <v>54</v>
      </c>
      <c r="M201" s="19">
        <f>_xlfn.XLOOKUP(ShoeSales[[#This Row],[Product Cleaned]],Price!$A$2:$A$9,Price!$B$2:$B$9)</f>
        <v>54</v>
      </c>
      <c r="N201" s="19">
        <f>_xlfn.XLOOKUP(ShoeSales[[#This Row],[Product Cleaned]],Price!$A$2:$A$9,Price!$C$2:$C$9)</f>
        <v>28</v>
      </c>
      <c r="O201" s="22">
        <f>ShoeSales[[#This Row],[Sell Price]]*ShoeSales[[#This Row],[Quantity]]</f>
        <v>378</v>
      </c>
      <c r="P201" s="19">
        <f>ShoeSales[[#This Row],[Quantity]]*ShoeSales[[#This Row],[Cost Price]]</f>
        <v>196</v>
      </c>
      <c r="Q201" s="19">
        <f>ShoeSales[[#This Row],[Revenue]]-ShoeSales[[#This Row],[Cost]]</f>
        <v>182</v>
      </c>
      <c r="R201" s="24">
        <f>ShoeSales[[#This Row],[Profit]]/ShoeSales[[#This Row],[Revenue]]</f>
        <v>0.48148148148148145</v>
      </c>
      <c r="S201" s="19"/>
      <c r="T201" s="19" t="str">
        <f>UPPER(TEXT(ShoeSales[[#This Row],[Date]], "mmm"))</f>
        <v>MAR</v>
      </c>
    </row>
    <row r="202" spans="1:20" ht="14.25" customHeight="1" x14ac:dyDescent="0.25">
      <c r="A202" s="14">
        <v>46187</v>
      </c>
      <c r="B202" s="6" t="s">
        <v>7</v>
      </c>
      <c r="C202" s="16" t="str">
        <f>TRIM(PROPER(ShoeSales[[#This Row],[Product]]))</f>
        <v>Derby</v>
      </c>
      <c r="D202" s="6" t="s">
        <v>37</v>
      </c>
      <c r="E202" s="44" t="str">
        <f>UPPER(ShoeSales[[#This Row],[Category]])</f>
        <v>FORMAL</v>
      </c>
      <c r="F202" s="6" t="s">
        <v>56</v>
      </c>
      <c r="G202" s="6" t="s">
        <v>39</v>
      </c>
      <c r="H202" s="16" t="str">
        <f>PROPER(ShoeSales[[#This Row],[Brand]])</f>
        <v>Clarks</v>
      </c>
      <c r="I202" s="6" t="s">
        <v>59</v>
      </c>
      <c r="J202" s="7">
        <v>10</v>
      </c>
      <c r="K202" s="6" t="s">
        <v>54</v>
      </c>
      <c r="L202" s="22">
        <f>VLOOKUP(ShoeSales[[#This Row],[Product Cleaned]],Price!$A$2:$C$9,2,FALSE)</f>
        <v>32</v>
      </c>
      <c r="M202" s="19">
        <f>_xlfn.XLOOKUP(ShoeSales[[#This Row],[Product Cleaned]],Price!$A$2:$A$9,Price!$B$2:$B$9)</f>
        <v>32</v>
      </c>
      <c r="N202" s="19">
        <f>_xlfn.XLOOKUP(ShoeSales[[#This Row],[Product Cleaned]],Price!$A$2:$A$9,Price!$C$2:$C$9)</f>
        <v>14</v>
      </c>
      <c r="O202" s="22">
        <f>ShoeSales[[#This Row],[Sell Price]]*ShoeSales[[#This Row],[Quantity]]</f>
        <v>320</v>
      </c>
      <c r="P202" s="19">
        <f>ShoeSales[[#This Row],[Quantity]]*ShoeSales[[#This Row],[Cost Price]]</f>
        <v>140</v>
      </c>
      <c r="Q202" s="19">
        <f>ShoeSales[[#This Row],[Revenue]]-ShoeSales[[#This Row],[Cost]]</f>
        <v>180</v>
      </c>
      <c r="R202" s="24">
        <f>ShoeSales[[#This Row],[Profit]]/ShoeSales[[#This Row],[Revenue]]</f>
        <v>0.5625</v>
      </c>
      <c r="S202" s="19"/>
      <c r="T202" s="19" t="str">
        <f>UPPER(TEXT(ShoeSales[[#This Row],[Date]], "mmm"))</f>
        <v>JUN</v>
      </c>
    </row>
    <row r="203" spans="1:20" ht="14.25" customHeight="1" x14ac:dyDescent="0.25">
      <c r="A203" s="15">
        <v>46047</v>
      </c>
      <c r="B203" s="9" t="s">
        <v>83</v>
      </c>
      <c r="C203" s="9" t="str">
        <f>TRIM(PROPER(ShoeSales[[#This Row],[Product]]))</f>
        <v>Monk Straps</v>
      </c>
      <c r="D203" s="9" t="s">
        <v>37</v>
      </c>
      <c r="E203" s="45" t="str">
        <f>UPPER(ShoeSales[[#This Row],[Category]])</f>
        <v>FORMAL</v>
      </c>
      <c r="F203" s="9" t="s">
        <v>56</v>
      </c>
      <c r="G203" s="9" t="s">
        <v>69</v>
      </c>
      <c r="H203" s="9" t="str">
        <f>PROPER(ShoeSales[[#This Row],[Brand]])</f>
        <v>Zara</v>
      </c>
      <c r="I203" s="9" t="s">
        <v>78</v>
      </c>
      <c r="J203" s="10">
        <v>5</v>
      </c>
      <c r="K203" s="9" t="s">
        <v>54</v>
      </c>
      <c r="L203" s="22">
        <f>VLOOKUP(ShoeSales[[#This Row],[Product Cleaned]],Price!$A$2:$C$9,2,FALSE)</f>
        <v>89</v>
      </c>
      <c r="M203" s="19">
        <f>_xlfn.XLOOKUP(ShoeSales[[#This Row],[Product Cleaned]],Price!$A$2:$A$9,Price!$B$2:$B$9)</f>
        <v>89</v>
      </c>
      <c r="N203" s="19">
        <f>_xlfn.XLOOKUP(ShoeSales[[#This Row],[Product Cleaned]],Price!$A$2:$A$9,Price!$C$2:$C$9)</f>
        <v>47</v>
      </c>
      <c r="O203" s="22">
        <f>ShoeSales[[#This Row],[Sell Price]]*ShoeSales[[#This Row],[Quantity]]</f>
        <v>445</v>
      </c>
      <c r="P203" s="19">
        <f>ShoeSales[[#This Row],[Quantity]]*ShoeSales[[#This Row],[Cost Price]]</f>
        <v>235</v>
      </c>
      <c r="Q203" s="19">
        <f>ShoeSales[[#This Row],[Revenue]]-ShoeSales[[#This Row],[Cost]]</f>
        <v>210</v>
      </c>
      <c r="R203" s="24">
        <f>ShoeSales[[#This Row],[Profit]]/ShoeSales[[#This Row],[Revenue]]</f>
        <v>0.47191011235955055</v>
      </c>
      <c r="S203" s="19"/>
      <c r="T203" s="19" t="str">
        <f>UPPER(TEXT(ShoeSales[[#This Row],[Date]], "mmm"))</f>
        <v>JAN</v>
      </c>
    </row>
    <row r="204" spans="1:20" ht="14.25" customHeight="1" x14ac:dyDescent="0.25">
      <c r="A204" s="14">
        <v>46108</v>
      </c>
      <c r="B204" s="6" t="s">
        <v>8</v>
      </c>
      <c r="C204" s="16" t="str">
        <f>TRIM(PROPER(ShoeSales[[#This Row],[Product]]))</f>
        <v>Boots</v>
      </c>
      <c r="D204" s="6" t="s">
        <v>71</v>
      </c>
      <c r="E204" s="44" t="str">
        <f>UPPER(ShoeSales[[#This Row],[Category]])</f>
        <v>CASUAL</v>
      </c>
      <c r="F204" s="6" t="s">
        <v>29</v>
      </c>
      <c r="G204" s="6" t="s">
        <v>46</v>
      </c>
      <c r="H204" s="16" t="str">
        <f>PROPER(ShoeSales[[#This Row],[Brand]])</f>
        <v>Clarks</v>
      </c>
      <c r="I204" s="6" t="s">
        <v>59</v>
      </c>
      <c r="J204" s="7">
        <v>2</v>
      </c>
      <c r="K204" s="6" t="s">
        <v>62</v>
      </c>
      <c r="L204" s="22">
        <f>VLOOKUP(ShoeSales[[#This Row],[Product Cleaned]],Price!$A$2:$C$9,2,FALSE)</f>
        <v>76</v>
      </c>
      <c r="M204" s="19">
        <f>_xlfn.XLOOKUP(ShoeSales[[#This Row],[Product Cleaned]],Price!$A$2:$A$9,Price!$B$2:$B$9)</f>
        <v>76</v>
      </c>
      <c r="N204" s="19">
        <f>_xlfn.XLOOKUP(ShoeSales[[#This Row],[Product Cleaned]],Price!$A$2:$A$9,Price!$C$2:$C$9)</f>
        <v>39</v>
      </c>
      <c r="O204" s="22">
        <f>ShoeSales[[#This Row],[Sell Price]]*ShoeSales[[#This Row],[Quantity]]</f>
        <v>152</v>
      </c>
      <c r="P204" s="19">
        <f>ShoeSales[[#This Row],[Quantity]]*ShoeSales[[#This Row],[Cost Price]]</f>
        <v>78</v>
      </c>
      <c r="Q204" s="19">
        <f>ShoeSales[[#This Row],[Revenue]]-ShoeSales[[#This Row],[Cost]]</f>
        <v>74</v>
      </c>
      <c r="R204" s="24">
        <f>ShoeSales[[#This Row],[Profit]]/ShoeSales[[#This Row],[Revenue]]</f>
        <v>0.48684210526315791</v>
      </c>
      <c r="S204" s="19"/>
      <c r="T204" s="19" t="str">
        <f>UPPER(TEXT(ShoeSales[[#This Row],[Date]], "mmm"))</f>
        <v>MAR</v>
      </c>
    </row>
    <row r="205" spans="1:20" ht="14.25" customHeight="1" x14ac:dyDescent="0.25">
      <c r="A205" s="15">
        <v>46198</v>
      </c>
      <c r="B205" s="9" t="s">
        <v>70</v>
      </c>
      <c r="C205" s="9" t="str">
        <f>TRIM(PROPER(ShoeSales[[#This Row],[Product]]))</f>
        <v>Derby</v>
      </c>
      <c r="D205" s="9" t="s">
        <v>77</v>
      </c>
      <c r="E205" s="45" t="str">
        <f>UPPER(ShoeSales[[#This Row],[Category]])</f>
        <v>CASUAL</v>
      </c>
      <c r="F205" s="9" t="s">
        <v>56</v>
      </c>
      <c r="G205" s="9" t="s">
        <v>39</v>
      </c>
      <c r="H205" s="9" t="str">
        <f>PROPER(ShoeSales[[#This Row],[Brand]])</f>
        <v>Clarks</v>
      </c>
      <c r="I205" s="9" t="s">
        <v>47</v>
      </c>
      <c r="J205" s="10">
        <v>8</v>
      </c>
      <c r="K205" s="9" t="s">
        <v>36</v>
      </c>
      <c r="L205" s="22">
        <f>VLOOKUP(ShoeSales[[#This Row],[Product Cleaned]],Price!$A$2:$C$9,2,FALSE)</f>
        <v>32</v>
      </c>
      <c r="M205" s="19">
        <f>_xlfn.XLOOKUP(ShoeSales[[#This Row],[Product Cleaned]],Price!$A$2:$A$9,Price!$B$2:$B$9)</f>
        <v>32</v>
      </c>
      <c r="N205" s="19">
        <f>_xlfn.XLOOKUP(ShoeSales[[#This Row],[Product Cleaned]],Price!$A$2:$A$9,Price!$C$2:$C$9)</f>
        <v>14</v>
      </c>
      <c r="O205" s="22">
        <f>ShoeSales[[#This Row],[Sell Price]]*ShoeSales[[#This Row],[Quantity]]</f>
        <v>256</v>
      </c>
      <c r="P205" s="19">
        <f>ShoeSales[[#This Row],[Quantity]]*ShoeSales[[#This Row],[Cost Price]]</f>
        <v>112</v>
      </c>
      <c r="Q205" s="19">
        <f>ShoeSales[[#This Row],[Revenue]]-ShoeSales[[#This Row],[Cost]]</f>
        <v>144</v>
      </c>
      <c r="R205" s="24">
        <f>ShoeSales[[#This Row],[Profit]]/ShoeSales[[#This Row],[Revenue]]</f>
        <v>0.5625</v>
      </c>
      <c r="S205" s="19"/>
      <c r="T205" s="19" t="str">
        <f>UPPER(TEXT(ShoeSales[[#This Row],[Date]], "mmm"))</f>
        <v>JUN</v>
      </c>
    </row>
    <row r="206" spans="1:20" ht="14.25" customHeight="1" x14ac:dyDescent="0.25">
      <c r="A206" s="14">
        <v>46223</v>
      </c>
      <c r="B206" s="6" t="s">
        <v>12</v>
      </c>
      <c r="C206" s="16" t="str">
        <f>TRIM(PROPER(ShoeSales[[#This Row],[Product]]))</f>
        <v>Brogues</v>
      </c>
      <c r="D206" s="6" t="s">
        <v>37</v>
      </c>
      <c r="E206" s="44" t="str">
        <f>UPPER(ShoeSales[[#This Row],[Category]])</f>
        <v>FORMAL</v>
      </c>
      <c r="F206" s="6" t="s">
        <v>56</v>
      </c>
      <c r="G206" s="6" t="s">
        <v>69</v>
      </c>
      <c r="H206" s="16" t="str">
        <f>PROPER(ShoeSales[[#This Row],[Brand]])</f>
        <v>Zara</v>
      </c>
      <c r="I206" s="6" t="s">
        <v>64</v>
      </c>
      <c r="J206" s="7">
        <v>4</v>
      </c>
      <c r="K206" s="6" t="s">
        <v>36</v>
      </c>
      <c r="L206" s="22">
        <f>VLOOKUP(ShoeSales[[#This Row],[Product Cleaned]],Price!$A$2:$C$9,2,FALSE)</f>
        <v>112</v>
      </c>
      <c r="M206" s="19">
        <f>_xlfn.XLOOKUP(ShoeSales[[#This Row],[Product Cleaned]],Price!$A$2:$A$9,Price!$B$2:$B$9)</f>
        <v>112</v>
      </c>
      <c r="N206" s="19">
        <f>_xlfn.XLOOKUP(ShoeSales[[#This Row],[Product Cleaned]],Price!$A$2:$A$9,Price!$C$2:$C$9)</f>
        <v>64</v>
      </c>
      <c r="O206" s="22">
        <f>ShoeSales[[#This Row],[Sell Price]]*ShoeSales[[#This Row],[Quantity]]</f>
        <v>448</v>
      </c>
      <c r="P206" s="19">
        <f>ShoeSales[[#This Row],[Quantity]]*ShoeSales[[#This Row],[Cost Price]]</f>
        <v>256</v>
      </c>
      <c r="Q206" s="19">
        <f>ShoeSales[[#This Row],[Revenue]]-ShoeSales[[#This Row],[Cost]]</f>
        <v>192</v>
      </c>
      <c r="R206" s="24">
        <f>ShoeSales[[#This Row],[Profit]]/ShoeSales[[#This Row],[Revenue]]</f>
        <v>0.42857142857142855</v>
      </c>
      <c r="S206" s="19"/>
      <c r="T206" s="19" t="str">
        <f>UPPER(TEXT(ShoeSales[[#This Row],[Date]], "mmm"))</f>
        <v>JUL</v>
      </c>
    </row>
    <row r="207" spans="1:20" ht="14.25" customHeight="1" x14ac:dyDescent="0.25">
      <c r="A207" s="15">
        <v>46046</v>
      </c>
      <c r="B207" s="9" t="s">
        <v>33</v>
      </c>
      <c r="C207" s="9" t="str">
        <f>TRIM(PROPER(ShoeSales[[#This Row],[Product]]))</f>
        <v>Loafers</v>
      </c>
      <c r="D207" s="9" t="s">
        <v>71</v>
      </c>
      <c r="E207" s="45" t="str">
        <f>UPPER(ShoeSales[[#This Row],[Category]])</f>
        <v>CASUAL</v>
      </c>
      <c r="F207" s="9" t="s">
        <v>29</v>
      </c>
      <c r="G207" s="9" t="s">
        <v>80</v>
      </c>
      <c r="H207" s="9" t="str">
        <f>PROPER(ShoeSales[[#This Row],[Brand]])</f>
        <v>Steve Madden</v>
      </c>
      <c r="I207" s="9" t="s">
        <v>64</v>
      </c>
      <c r="J207" s="10">
        <v>10</v>
      </c>
      <c r="K207" s="9" t="s">
        <v>36</v>
      </c>
      <c r="L207" s="22">
        <f>VLOOKUP(ShoeSales[[#This Row],[Product Cleaned]],Price!$A$2:$C$9,2,FALSE)</f>
        <v>54</v>
      </c>
      <c r="M207" s="19">
        <f>_xlfn.XLOOKUP(ShoeSales[[#This Row],[Product Cleaned]],Price!$A$2:$A$9,Price!$B$2:$B$9)</f>
        <v>54</v>
      </c>
      <c r="N207" s="19">
        <f>_xlfn.XLOOKUP(ShoeSales[[#This Row],[Product Cleaned]],Price!$A$2:$A$9,Price!$C$2:$C$9)</f>
        <v>28</v>
      </c>
      <c r="O207" s="22">
        <f>ShoeSales[[#This Row],[Sell Price]]*ShoeSales[[#This Row],[Quantity]]</f>
        <v>540</v>
      </c>
      <c r="P207" s="19">
        <f>ShoeSales[[#This Row],[Quantity]]*ShoeSales[[#This Row],[Cost Price]]</f>
        <v>280</v>
      </c>
      <c r="Q207" s="19">
        <f>ShoeSales[[#This Row],[Revenue]]-ShoeSales[[#This Row],[Cost]]</f>
        <v>260</v>
      </c>
      <c r="R207" s="24">
        <f>ShoeSales[[#This Row],[Profit]]/ShoeSales[[#This Row],[Revenue]]</f>
        <v>0.48148148148148145</v>
      </c>
      <c r="S207" s="19"/>
      <c r="T207" s="19" t="str">
        <f>UPPER(TEXT(ShoeSales[[#This Row],[Date]], "mmm"))</f>
        <v>JAN</v>
      </c>
    </row>
    <row r="208" spans="1:20" ht="14.25" customHeight="1" x14ac:dyDescent="0.25">
      <c r="A208" s="14">
        <v>46119</v>
      </c>
      <c r="B208" s="6" t="s">
        <v>79</v>
      </c>
      <c r="C208" s="16" t="str">
        <f>TRIM(PROPER(ShoeSales[[#This Row],[Product]]))</f>
        <v>Brogues</v>
      </c>
      <c r="D208" s="6" t="s">
        <v>48</v>
      </c>
      <c r="E208" s="44" t="str">
        <f>UPPER(ShoeSales[[#This Row],[Category]])</f>
        <v>UTILITY</v>
      </c>
      <c r="F208" s="6" t="s">
        <v>38</v>
      </c>
      <c r="G208" s="6" t="s">
        <v>46</v>
      </c>
      <c r="H208" s="16" t="str">
        <f>PROPER(ShoeSales[[#This Row],[Brand]])</f>
        <v>Clarks</v>
      </c>
      <c r="I208" s="6" t="s">
        <v>78</v>
      </c>
      <c r="J208" s="7">
        <v>12</v>
      </c>
      <c r="K208" s="6" t="s">
        <v>32</v>
      </c>
      <c r="L208" s="22">
        <f>VLOOKUP(ShoeSales[[#This Row],[Product Cleaned]],Price!$A$2:$C$9,2,FALSE)</f>
        <v>112</v>
      </c>
      <c r="M208" s="19">
        <f>_xlfn.XLOOKUP(ShoeSales[[#This Row],[Product Cleaned]],Price!$A$2:$A$9,Price!$B$2:$B$9)</f>
        <v>112</v>
      </c>
      <c r="N208" s="19">
        <f>_xlfn.XLOOKUP(ShoeSales[[#This Row],[Product Cleaned]],Price!$A$2:$A$9,Price!$C$2:$C$9)</f>
        <v>64</v>
      </c>
      <c r="O208" s="22">
        <f>ShoeSales[[#This Row],[Sell Price]]*ShoeSales[[#This Row],[Quantity]]</f>
        <v>1344</v>
      </c>
      <c r="P208" s="19">
        <f>ShoeSales[[#This Row],[Quantity]]*ShoeSales[[#This Row],[Cost Price]]</f>
        <v>768</v>
      </c>
      <c r="Q208" s="19">
        <f>ShoeSales[[#This Row],[Revenue]]-ShoeSales[[#This Row],[Cost]]</f>
        <v>576</v>
      </c>
      <c r="R208" s="24">
        <f>ShoeSales[[#This Row],[Profit]]/ShoeSales[[#This Row],[Revenue]]</f>
        <v>0.42857142857142855</v>
      </c>
      <c r="S208" s="19"/>
      <c r="T208" s="19" t="str">
        <f>UPPER(TEXT(ShoeSales[[#This Row],[Date]], "mmm"))</f>
        <v>APR</v>
      </c>
    </row>
    <row r="209" spans="1:20" ht="14.25" customHeight="1" x14ac:dyDescent="0.25">
      <c r="A209" s="15">
        <v>46117</v>
      </c>
      <c r="B209" s="9" t="s">
        <v>8</v>
      </c>
      <c r="C209" s="9" t="str">
        <f>TRIM(PROPER(ShoeSales[[#This Row],[Product]]))</f>
        <v>Boots</v>
      </c>
      <c r="D209" s="9" t="s">
        <v>28</v>
      </c>
      <c r="E209" s="45" t="str">
        <f>UPPER(ShoeSales[[#This Row],[Category]])</f>
        <v>FORMAL</v>
      </c>
      <c r="F209" s="9" t="s">
        <v>38</v>
      </c>
      <c r="G209" s="9" t="s">
        <v>69</v>
      </c>
      <c r="H209" s="9" t="str">
        <f>PROPER(ShoeSales[[#This Row],[Brand]])</f>
        <v>Zara</v>
      </c>
      <c r="I209" s="9" t="s">
        <v>31</v>
      </c>
      <c r="J209" s="10">
        <v>4</v>
      </c>
      <c r="K209" s="9" t="s">
        <v>36</v>
      </c>
      <c r="L209" s="22">
        <f>VLOOKUP(ShoeSales[[#This Row],[Product Cleaned]],Price!$A$2:$C$9,2,FALSE)</f>
        <v>76</v>
      </c>
      <c r="M209" s="19">
        <f>_xlfn.XLOOKUP(ShoeSales[[#This Row],[Product Cleaned]],Price!$A$2:$A$9,Price!$B$2:$B$9)</f>
        <v>76</v>
      </c>
      <c r="N209" s="19">
        <f>_xlfn.XLOOKUP(ShoeSales[[#This Row],[Product Cleaned]],Price!$A$2:$A$9,Price!$C$2:$C$9)</f>
        <v>39</v>
      </c>
      <c r="O209" s="22">
        <f>ShoeSales[[#This Row],[Sell Price]]*ShoeSales[[#This Row],[Quantity]]</f>
        <v>304</v>
      </c>
      <c r="P209" s="19">
        <f>ShoeSales[[#This Row],[Quantity]]*ShoeSales[[#This Row],[Cost Price]]</f>
        <v>156</v>
      </c>
      <c r="Q209" s="19">
        <f>ShoeSales[[#This Row],[Revenue]]-ShoeSales[[#This Row],[Cost]]</f>
        <v>148</v>
      </c>
      <c r="R209" s="24">
        <f>ShoeSales[[#This Row],[Profit]]/ShoeSales[[#This Row],[Revenue]]</f>
        <v>0.48684210526315791</v>
      </c>
      <c r="S209" s="19"/>
      <c r="T209" s="19" t="str">
        <f>UPPER(TEXT(ShoeSales[[#This Row],[Date]], "mmm"))</f>
        <v>APR</v>
      </c>
    </row>
    <row r="210" spans="1:20" ht="14.25" customHeight="1" x14ac:dyDescent="0.25">
      <c r="A210" s="14">
        <v>46091</v>
      </c>
      <c r="B210" s="6" t="s">
        <v>8</v>
      </c>
      <c r="C210" s="16" t="str">
        <f>TRIM(PROPER(ShoeSales[[#This Row],[Product]]))</f>
        <v>Boots</v>
      </c>
      <c r="D210" s="6" t="s">
        <v>28</v>
      </c>
      <c r="E210" s="44" t="str">
        <f>UPPER(ShoeSales[[#This Row],[Category]])</f>
        <v>FORMAL</v>
      </c>
      <c r="F210" s="6" t="s">
        <v>56</v>
      </c>
      <c r="G210" s="6" t="s">
        <v>82</v>
      </c>
      <c r="H210" s="16" t="str">
        <f>PROPER(ShoeSales[[#This Row],[Brand]])</f>
        <v>Zara</v>
      </c>
      <c r="I210" s="6" t="s">
        <v>53</v>
      </c>
      <c r="J210" s="7">
        <v>6</v>
      </c>
      <c r="K210" s="6" t="s">
        <v>54</v>
      </c>
      <c r="L210" s="22">
        <f>VLOOKUP(ShoeSales[[#This Row],[Product Cleaned]],Price!$A$2:$C$9,2,FALSE)</f>
        <v>76</v>
      </c>
      <c r="M210" s="19">
        <f>_xlfn.XLOOKUP(ShoeSales[[#This Row],[Product Cleaned]],Price!$A$2:$A$9,Price!$B$2:$B$9)</f>
        <v>76</v>
      </c>
      <c r="N210" s="19">
        <f>_xlfn.XLOOKUP(ShoeSales[[#This Row],[Product Cleaned]],Price!$A$2:$A$9,Price!$C$2:$C$9)</f>
        <v>39</v>
      </c>
      <c r="O210" s="22">
        <f>ShoeSales[[#This Row],[Sell Price]]*ShoeSales[[#This Row],[Quantity]]</f>
        <v>456</v>
      </c>
      <c r="P210" s="19">
        <f>ShoeSales[[#This Row],[Quantity]]*ShoeSales[[#This Row],[Cost Price]]</f>
        <v>234</v>
      </c>
      <c r="Q210" s="19">
        <f>ShoeSales[[#This Row],[Revenue]]-ShoeSales[[#This Row],[Cost]]</f>
        <v>222</v>
      </c>
      <c r="R210" s="24">
        <f>ShoeSales[[#This Row],[Profit]]/ShoeSales[[#This Row],[Revenue]]</f>
        <v>0.48684210526315791</v>
      </c>
      <c r="S210" s="19"/>
      <c r="T210" s="19" t="str">
        <f>UPPER(TEXT(ShoeSales[[#This Row],[Date]], "mmm"))</f>
        <v>MAR</v>
      </c>
    </row>
    <row r="211" spans="1:20" ht="14.25" customHeight="1" x14ac:dyDescent="0.25">
      <c r="A211" s="15">
        <v>46150</v>
      </c>
      <c r="B211" s="9" t="s">
        <v>85</v>
      </c>
      <c r="C211" s="9" t="str">
        <f>TRIM(PROPER(ShoeSales[[#This Row],[Product]]))</f>
        <v>Brogues</v>
      </c>
      <c r="D211" s="9" t="s">
        <v>37</v>
      </c>
      <c r="E211" s="45" t="str">
        <f>UPPER(ShoeSales[[#This Row],[Category]])</f>
        <v>FORMAL</v>
      </c>
      <c r="F211" s="9" t="s">
        <v>29</v>
      </c>
      <c r="G211" s="9" t="s">
        <v>50</v>
      </c>
      <c r="H211" s="9" t="str">
        <f>PROPER(ShoeSales[[#This Row],[Brand]])</f>
        <v>Nike</v>
      </c>
      <c r="I211" s="9" t="s">
        <v>43</v>
      </c>
      <c r="J211" s="10">
        <v>4</v>
      </c>
      <c r="K211" s="9" t="s">
        <v>36</v>
      </c>
      <c r="L211" s="22">
        <f>VLOOKUP(ShoeSales[[#This Row],[Product Cleaned]],Price!$A$2:$C$9,2,FALSE)</f>
        <v>112</v>
      </c>
      <c r="M211" s="19">
        <f>_xlfn.XLOOKUP(ShoeSales[[#This Row],[Product Cleaned]],Price!$A$2:$A$9,Price!$B$2:$B$9)</f>
        <v>112</v>
      </c>
      <c r="N211" s="19">
        <f>_xlfn.XLOOKUP(ShoeSales[[#This Row],[Product Cleaned]],Price!$A$2:$A$9,Price!$C$2:$C$9)</f>
        <v>64</v>
      </c>
      <c r="O211" s="22">
        <f>ShoeSales[[#This Row],[Sell Price]]*ShoeSales[[#This Row],[Quantity]]</f>
        <v>448</v>
      </c>
      <c r="P211" s="19">
        <f>ShoeSales[[#This Row],[Quantity]]*ShoeSales[[#This Row],[Cost Price]]</f>
        <v>256</v>
      </c>
      <c r="Q211" s="19">
        <f>ShoeSales[[#This Row],[Revenue]]-ShoeSales[[#This Row],[Cost]]</f>
        <v>192</v>
      </c>
      <c r="R211" s="24">
        <f>ShoeSales[[#This Row],[Profit]]/ShoeSales[[#This Row],[Revenue]]</f>
        <v>0.42857142857142855</v>
      </c>
      <c r="S211" s="19"/>
      <c r="T211" s="19" t="str">
        <f>UPPER(TEXT(ShoeSales[[#This Row],[Date]], "mmm"))</f>
        <v>MAY</v>
      </c>
    </row>
    <row r="212" spans="1:20" ht="14.25" customHeight="1" x14ac:dyDescent="0.25">
      <c r="A212" s="14">
        <v>46181</v>
      </c>
      <c r="B212" s="6" t="s">
        <v>7</v>
      </c>
      <c r="C212" s="16" t="str">
        <f>TRIM(PROPER(ShoeSales[[#This Row],[Product]]))</f>
        <v>Derby</v>
      </c>
      <c r="D212" s="6" t="s">
        <v>58</v>
      </c>
      <c r="E212" s="44" t="str">
        <f>UPPER(ShoeSales[[#This Row],[Category]])</f>
        <v>FORMAL</v>
      </c>
      <c r="F212" s="6" t="s">
        <v>38</v>
      </c>
      <c r="G212" s="6" t="s">
        <v>94</v>
      </c>
      <c r="H212" s="16" t="str">
        <f>PROPER(ShoeSales[[#This Row],[Brand]])</f>
        <v>Timberland</v>
      </c>
      <c r="I212" s="6" t="s">
        <v>31</v>
      </c>
      <c r="J212" s="7">
        <v>5</v>
      </c>
      <c r="K212" s="6" t="s">
        <v>36</v>
      </c>
      <c r="L212" s="22">
        <f>VLOOKUP(ShoeSales[[#This Row],[Product Cleaned]],Price!$A$2:$C$9,2,FALSE)</f>
        <v>32</v>
      </c>
      <c r="M212" s="19">
        <f>_xlfn.XLOOKUP(ShoeSales[[#This Row],[Product Cleaned]],Price!$A$2:$A$9,Price!$B$2:$B$9)</f>
        <v>32</v>
      </c>
      <c r="N212" s="19">
        <f>_xlfn.XLOOKUP(ShoeSales[[#This Row],[Product Cleaned]],Price!$A$2:$A$9,Price!$C$2:$C$9)</f>
        <v>14</v>
      </c>
      <c r="O212" s="22">
        <f>ShoeSales[[#This Row],[Sell Price]]*ShoeSales[[#This Row],[Quantity]]</f>
        <v>160</v>
      </c>
      <c r="P212" s="19">
        <f>ShoeSales[[#This Row],[Quantity]]*ShoeSales[[#This Row],[Cost Price]]</f>
        <v>70</v>
      </c>
      <c r="Q212" s="19">
        <f>ShoeSales[[#This Row],[Revenue]]-ShoeSales[[#This Row],[Cost]]</f>
        <v>90</v>
      </c>
      <c r="R212" s="24">
        <f>ShoeSales[[#This Row],[Profit]]/ShoeSales[[#This Row],[Revenue]]</f>
        <v>0.5625</v>
      </c>
      <c r="S212" s="19"/>
      <c r="T212" s="19" t="str">
        <f>UPPER(TEXT(ShoeSales[[#This Row],[Date]], "mmm"))</f>
        <v>JUN</v>
      </c>
    </row>
    <row r="213" spans="1:20" ht="14.25" customHeight="1" x14ac:dyDescent="0.25">
      <c r="A213" s="15">
        <v>46097</v>
      </c>
      <c r="B213" s="9" t="s">
        <v>33</v>
      </c>
      <c r="C213" s="9" t="str">
        <f>TRIM(PROPER(ShoeSales[[#This Row],[Product]]))</f>
        <v>Loafers</v>
      </c>
      <c r="D213" s="9" t="s">
        <v>77</v>
      </c>
      <c r="E213" s="45" t="str">
        <f>UPPER(ShoeSales[[#This Row],[Category]])</f>
        <v>CASUAL</v>
      </c>
      <c r="F213" s="9" t="s">
        <v>38</v>
      </c>
      <c r="G213" s="9" t="s">
        <v>63</v>
      </c>
      <c r="H213" s="9" t="str">
        <f>PROPER(ShoeSales[[#This Row],[Brand]])</f>
        <v>Clarks</v>
      </c>
      <c r="I213" s="9" t="s">
        <v>53</v>
      </c>
      <c r="J213" s="10">
        <v>5</v>
      </c>
      <c r="K213" s="9" t="s">
        <v>36</v>
      </c>
      <c r="L213" s="22">
        <f>VLOOKUP(ShoeSales[[#This Row],[Product Cleaned]],Price!$A$2:$C$9,2,FALSE)</f>
        <v>54</v>
      </c>
      <c r="M213" s="19">
        <f>_xlfn.XLOOKUP(ShoeSales[[#This Row],[Product Cleaned]],Price!$A$2:$A$9,Price!$B$2:$B$9)</f>
        <v>54</v>
      </c>
      <c r="N213" s="19">
        <f>_xlfn.XLOOKUP(ShoeSales[[#This Row],[Product Cleaned]],Price!$A$2:$A$9,Price!$C$2:$C$9)</f>
        <v>28</v>
      </c>
      <c r="O213" s="22">
        <f>ShoeSales[[#This Row],[Sell Price]]*ShoeSales[[#This Row],[Quantity]]</f>
        <v>270</v>
      </c>
      <c r="P213" s="19">
        <f>ShoeSales[[#This Row],[Quantity]]*ShoeSales[[#This Row],[Cost Price]]</f>
        <v>140</v>
      </c>
      <c r="Q213" s="19">
        <f>ShoeSales[[#This Row],[Revenue]]-ShoeSales[[#This Row],[Cost]]</f>
        <v>130</v>
      </c>
      <c r="R213" s="24">
        <f>ShoeSales[[#This Row],[Profit]]/ShoeSales[[#This Row],[Revenue]]</f>
        <v>0.48148148148148145</v>
      </c>
      <c r="S213" s="19"/>
      <c r="T213" s="19" t="str">
        <f>UPPER(TEXT(ShoeSales[[#This Row],[Date]], "mmm"))</f>
        <v>MAR</v>
      </c>
    </row>
    <row r="214" spans="1:20" ht="14.25" customHeight="1" x14ac:dyDescent="0.25">
      <c r="A214" s="14">
        <v>46193</v>
      </c>
      <c r="B214" s="6" t="s">
        <v>52</v>
      </c>
      <c r="C214" s="16" t="str">
        <f>TRIM(PROPER(ShoeSales[[#This Row],[Product]]))</f>
        <v>Canvas</v>
      </c>
      <c r="D214" s="6" t="s">
        <v>74</v>
      </c>
      <c r="E214" s="44" t="str">
        <f>UPPER(ShoeSales[[#This Row],[Category]])</f>
        <v>OPEN</v>
      </c>
      <c r="F214" s="6" t="s">
        <v>34</v>
      </c>
      <c r="G214" s="6" t="s">
        <v>94</v>
      </c>
      <c r="H214" s="16" t="str">
        <f>PROPER(ShoeSales[[#This Row],[Brand]])</f>
        <v>Timberland</v>
      </c>
      <c r="I214" s="6" t="s">
        <v>91</v>
      </c>
      <c r="J214" s="7">
        <v>11</v>
      </c>
      <c r="K214" s="6" t="s">
        <v>32</v>
      </c>
      <c r="L214" s="22">
        <f>VLOOKUP(ShoeSales[[#This Row],[Product Cleaned]],Price!$A$2:$C$9,2,FALSE)</f>
        <v>128</v>
      </c>
      <c r="M214" s="19">
        <f>_xlfn.XLOOKUP(ShoeSales[[#This Row],[Product Cleaned]],Price!$A$2:$A$9,Price!$B$2:$B$9)</f>
        <v>128</v>
      </c>
      <c r="N214" s="19">
        <f>_xlfn.XLOOKUP(ShoeSales[[#This Row],[Product Cleaned]],Price!$A$2:$A$9,Price!$C$2:$C$9)</f>
        <v>72</v>
      </c>
      <c r="O214" s="22">
        <f>ShoeSales[[#This Row],[Sell Price]]*ShoeSales[[#This Row],[Quantity]]</f>
        <v>1408</v>
      </c>
      <c r="P214" s="19">
        <f>ShoeSales[[#This Row],[Quantity]]*ShoeSales[[#This Row],[Cost Price]]</f>
        <v>792</v>
      </c>
      <c r="Q214" s="19">
        <f>ShoeSales[[#This Row],[Revenue]]-ShoeSales[[#This Row],[Cost]]</f>
        <v>616</v>
      </c>
      <c r="R214" s="24">
        <f>ShoeSales[[#This Row],[Profit]]/ShoeSales[[#This Row],[Revenue]]</f>
        <v>0.4375</v>
      </c>
      <c r="S214" s="19"/>
      <c r="T214" s="19" t="str">
        <f>UPPER(TEXT(ShoeSales[[#This Row],[Date]], "mmm"))</f>
        <v>JUN</v>
      </c>
    </row>
    <row r="215" spans="1:20" ht="14.25" customHeight="1" x14ac:dyDescent="0.25">
      <c r="A215" s="15">
        <v>46204</v>
      </c>
      <c r="B215" s="9" t="s">
        <v>52</v>
      </c>
      <c r="C215" s="9" t="str">
        <f>TRIM(PROPER(ShoeSales[[#This Row],[Product]]))</f>
        <v>Canvas</v>
      </c>
      <c r="D215" s="9" t="s">
        <v>87</v>
      </c>
      <c r="E215" s="45" t="str">
        <f>UPPER(ShoeSales[[#This Row],[Category]])</f>
        <v>OPEN</v>
      </c>
      <c r="F215" s="9" t="s">
        <v>34</v>
      </c>
      <c r="G215" s="9" t="s">
        <v>75</v>
      </c>
      <c r="H215" s="9" t="str">
        <f>PROPER(ShoeSales[[#This Row],[Brand]])</f>
        <v>Steve Madden</v>
      </c>
      <c r="I215" s="9" t="s">
        <v>31</v>
      </c>
      <c r="J215" s="10">
        <v>3</v>
      </c>
      <c r="K215" s="9" t="s">
        <v>32</v>
      </c>
      <c r="L215" s="22">
        <f>VLOOKUP(ShoeSales[[#This Row],[Product Cleaned]],Price!$A$2:$C$9,2,FALSE)</f>
        <v>128</v>
      </c>
      <c r="M215" s="19">
        <f>_xlfn.XLOOKUP(ShoeSales[[#This Row],[Product Cleaned]],Price!$A$2:$A$9,Price!$B$2:$B$9)</f>
        <v>128</v>
      </c>
      <c r="N215" s="19">
        <f>_xlfn.XLOOKUP(ShoeSales[[#This Row],[Product Cleaned]],Price!$A$2:$A$9,Price!$C$2:$C$9)</f>
        <v>72</v>
      </c>
      <c r="O215" s="22">
        <f>ShoeSales[[#This Row],[Sell Price]]*ShoeSales[[#This Row],[Quantity]]</f>
        <v>384</v>
      </c>
      <c r="P215" s="19">
        <f>ShoeSales[[#This Row],[Quantity]]*ShoeSales[[#This Row],[Cost Price]]</f>
        <v>216</v>
      </c>
      <c r="Q215" s="19">
        <f>ShoeSales[[#This Row],[Revenue]]-ShoeSales[[#This Row],[Cost]]</f>
        <v>168</v>
      </c>
      <c r="R215" s="24">
        <f>ShoeSales[[#This Row],[Profit]]/ShoeSales[[#This Row],[Revenue]]</f>
        <v>0.4375</v>
      </c>
      <c r="S215" s="19"/>
      <c r="T215" s="19" t="str">
        <f>UPPER(TEXT(ShoeSales[[#This Row],[Date]], "mmm"))</f>
        <v>JUL</v>
      </c>
    </row>
    <row r="216" spans="1:20" ht="14.25" customHeight="1" x14ac:dyDescent="0.25">
      <c r="A216" s="14">
        <v>46061</v>
      </c>
      <c r="B216" s="6" t="s">
        <v>27</v>
      </c>
      <c r="C216" s="16" t="str">
        <f>TRIM(PROPER(ShoeSales[[#This Row],[Product]]))</f>
        <v>Monk Straps</v>
      </c>
      <c r="D216" s="6" t="s">
        <v>37</v>
      </c>
      <c r="E216" s="44" t="str">
        <f>UPPER(ShoeSales[[#This Row],[Category]])</f>
        <v>FORMAL</v>
      </c>
      <c r="F216" s="6" t="s">
        <v>38</v>
      </c>
      <c r="G216" s="6" t="s">
        <v>46</v>
      </c>
      <c r="H216" s="16" t="str">
        <f>PROPER(ShoeSales[[#This Row],[Brand]])</f>
        <v>Clarks</v>
      </c>
      <c r="I216" s="6" t="s">
        <v>47</v>
      </c>
      <c r="J216" s="7">
        <v>4</v>
      </c>
      <c r="K216" s="6" t="s">
        <v>36</v>
      </c>
      <c r="L216" s="22">
        <f>VLOOKUP(ShoeSales[[#This Row],[Product Cleaned]],Price!$A$2:$C$9,2,FALSE)</f>
        <v>89</v>
      </c>
      <c r="M216" s="19">
        <f>_xlfn.XLOOKUP(ShoeSales[[#This Row],[Product Cleaned]],Price!$A$2:$A$9,Price!$B$2:$B$9)</f>
        <v>89</v>
      </c>
      <c r="N216" s="19">
        <f>_xlfn.XLOOKUP(ShoeSales[[#This Row],[Product Cleaned]],Price!$A$2:$A$9,Price!$C$2:$C$9)</f>
        <v>47</v>
      </c>
      <c r="O216" s="22">
        <f>ShoeSales[[#This Row],[Sell Price]]*ShoeSales[[#This Row],[Quantity]]</f>
        <v>356</v>
      </c>
      <c r="P216" s="19">
        <f>ShoeSales[[#This Row],[Quantity]]*ShoeSales[[#This Row],[Cost Price]]</f>
        <v>188</v>
      </c>
      <c r="Q216" s="19">
        <f>ShoeSales[[#This Row],[Revenue]]-ShoeSales[[#This Row],[Cost]]</f>
        <v>168</v>
      </c>
      <c r="R216" s="24">
        <f>ShoeSales[[#This Row],[Profit]]/ShoeSales[[#This Row],[Revenue]]</f>
        <v>0.47191011235955055</v>
      </c>
      <c r="S216" s="19"/>
      <c r="T216" s="19" t="str">
        <f>UPPER(TEXT(ShoeSales[[#This Row],[Date]], "mmm"))</f>
        <v>FEB</v>
      </c>
    </row>
    <row r="217" spans="1:20" ht="14.25" customHeight="1" x14ac:dyDescent="0.25">
      <c r="A217" s="15">
        <v>46187</v>
      </c>
      <c r="B217" s="9" t="s">
        <v>10</v>
      </c>
      <c r="C217" s="9" t="str">
        <f>TRIM(PROPER(ShoeSales[[#This Row],[Product]]))</f>
        <v>Oxford</v>
      </c>
      <c r="D217" s="9" t="s">
        <v>45</v>
      </c>
      <c r="E217" s="45" t="str">
        <f>UPPER(ShoeSales[[#This Row],[Category]])</f>
        <v>CASUAL</v>
      </c>
      <c r="F217" s="9" t="s">
        <v>49</v>
      </c>
      <c r="G217" s="9" t="s">
        <v>50</v>
      </c>
      <c r="H217" s="9" t="str">
        <f>PROPER(ShoeSales[[#This Row],[Brand]])</f>
        <v>Nike</v>
      </c>
      <c r="I217" s="9" t="s">
        <v>73</v>
      </c>
      <c r="J217" s="10">
        <v>8</v>
      </c>
      <c r="K217" s="9" t="s">
        <v>54</v>
      </c>
      <c r="L217" s="22">
        <f>VLOOKUP(ShoeSales[[#This Row],[Product Cleaned]],Price!$A$2:$C$9,2,FALSE)</f>
        <v>105</v>
      </c>
      <c r="M217" s="19">
        <f>_xlfn.XLOOKUP(ShoeSales[[#This Row],[Product Cleaned]],Price!$A$2:$A$9,Price!$B$2:$B$9)</f>
        <v>105</v>
      </c>
      <c r="N217" s="19">
        <f>_xlfn.XLOOKUP(ShoeSales[[#This Row],[Product Cleaned]],Price!$A$2:$A$9,Price!$C$2:$C$9)</f>
        <v>58</v>
      </c>
      <c r="O217" s="22">
        <f>ShoeSales[[#This Row],[Sell Price]]*ShoeSales[[#This Row],[Quantity]]</f>
        <v>840</v>
      </c>
      <c r="P217" s="19">
        <f>ShoeSales[[#This Row],[Quantity]]*ShoeSales[[#This Row],[Cost Price]]</f>
        <v>464</v>
      </c>
      <c r="Q217" s="19">
        <f>ShoeSales[[#This Row],[Revenue]]-ShoeSales[[#This Row],[Cost]]</f>
        <v>376</v>
      </c>
      <c r="R217" s="24">
        <f>ShoeSales[[#This Row],[Profit]]/ShoeSales[[#This Row],[Revenue]]</f>
        <v>0.44761904761904764</v>
      </c>
      <c r="S217" s="19"/>
      <c r="T217" s="19" t="str">
        <f>UPPER(TEXT(ShoeSales[[#This Row],[Date]], "mmm"))</f>
        <v>JUN</v>
      </c>
    </row>
    <row r="218" spans="1:20" ht="14.25" customHeight="1" x14ac:dyDescent="0.25">
      <c r="A218" s="14">
        <v>46148</v>
      </c>
      <c r="B218" s="6" t="s">
        <v>9</v>
      </c>
      <c r="C218" s="16" t="str">
        <f>TRIM(PROPER(ShoeSales[[#This Row],[Product]]))</f>
        <v>Canvas</v>
      </c>
      <c r="D218" s="6" t="s">
        <v>89</v>
      </c>
      <c r="E218" s="44" t="str">
        <f>UPPER(ShoeSales[[#This Row],[Category]])</f>
        <v>OPEN</v>
      </c>
      <c r="F218" s="6" t="s">
        <v>29</v>
      </c>
      <c r="G218" s="6" t="s">
        <v>69</v>
      </c>
      <c r="H218" s="16" t="str">
        <f>PROPER(ShoeSales[[#This Row],[Brand]])</f>
        <v>Zara</v>
      </c>
      <c r="I218" s="6" t="s">
        <v>31</v>
      </c>
      <c r="J218" s="7">
        <v>8</v>
      </c>
      <c r="K218" s="6" t="s">
        <v>54</v>
      </c>
      <c r="L218" s="22">
        <f>VLOOKUP(ShoeSales[[#This Row],[Product Cleaned]],Price!$A$2:$C$9,2,FALSE)</f>
        <v>128</v>
      </c>
      <c r="M218" s="19">
        <f>_xlfn.XLOOKUP(ShoeSales[[#This Row],[Product Cleaned]],Price!$A$2:$A$9,Price!$B$2:$B$9)</f>
        <v>128</v>
      </c>
      <c r="N218" s="19">
        <f>_xlfn.XLOOKUP(ShoeSales[[#This Row],[Product Cleaned]],Price!$A$2:$A$9,Price!$C$2:$C$9)</f>
        <v>72</v>
      </c>
      <c r="O218" s="22">
        <f>ShoeSales[[#This Row],[Sell Price]]*ShoeSales[[#This Row],[Quantity]]</f>
        <v>1024</v>
      </c>
      <c r="P218" s="19">
        <f>ShoeSales[[#This Row],[Quantity]]*ShoeSales[[#This Row],[Cost Price]]</f>
        <v>576</v>
      </c>
      <c r="Q218" s="19">
        <f>ShoeSales[[#This Row],[Revenue]]-ShoeSales[[#This Row],[Cost]]</f>
        <v>448</v>
      </c>
      <c r="R218" s="24">
        <f>ShoeSales[[#This Row],[Profit]]/ShoeSales[[#This Row],[Revenue]]</f>
        <v>0.4375</v>
      </c>
      <c r="S218" s="19"/>
      <c r="T218" s="19" t="str">
        <f>UPPER(TEXT(ShoeSales[[#This Row],[Date]], "mmm"))</f>
        <v>MAY</v>
      </c>
    </row>
    <row r="219" spans="1:20" ht="14.25" customHeight="1" x14ac:dyDescent="0.25">
      <c r="A219" s="15">
        <v>46080</v>
      </c>
      <c r="B219" s="9" t="s">
        <v>41</v>
      </c>
      <c r="C219" s="9" t="str">
        <f>TRIM(PROPER(ShoeSales[[#This Row],[Product]]))</f>
        <v>Boots</v>
      </c>
      <c r="D219" s="9" t="s">
        <v>58</v>
      </c>
      <c r="E219" s="45" t="str">
        <f>UPPER(ShoeSales[[#This Row],[Category]])</f>
        <v>FORMAL</v>
      </c>
      <c r="F219" s="9" t="s">
        <v>49</v>
      </c>
      <c r="G219" s="9" t="s">
        <v>72</v>
      </c>
      <c r="H219" s="9" t="str">
        <f>PROPER(ShoeSales[[#This Row],[Brand]])</f>
        <v>Zara</v>
      </c>
      <c r="I219" s="9" t="s">
        <v>40</v>
      </c>
      <c r="J219" s="10">
        <v>8</v>
      </c>
      <c r="K219" s="9" t="s">
        <v>54</v>
      </c>
      <c r="L219" s="22">
        <f>VLOOKUP(ShoeSales[[#This Row],[Product Cleaned]],Price!$A$2:$C$9,2,FALSE)</f>
        <v>76</v>
      </c>
      <c r="M219" s="19">
        <f>_xlfn.XLOOKUP(ShoeSales[[#This Row],[Product Cleaned]],Price!$A$2:$A$9,Price!$B$2:$B$9)</f>
        <v>76</v>
      </c>
      <c r="N219" s="19">
        <f>_xlfn.XLOOKUP(ShoeSales[[#This Row],[Product Cleaned]],Price!$A$2:$A$9,Price!$C$2:$C$9)</f>
        <v>39</v>
      </c>
      <c r="O219" s="22">
        <f>ShoeSales[[#This Row],[Sell Price]]*ShoeSales[[#This Row],[Quantity]]</f>
        <v>608</v>
      </c>
      <c r="P219" s="19">
        <f>ShoeSales[[#This Row],[Quantity]]*ShoeSales[[#This Row],[Cost Price]]</f>
        <v>312</v>
      </c>
      <c r="Q219" s="19">
        <f>ShoeSales[[#This Row],[Revenue]]-ShoeSales[[#This Row],[Cost]]</f>
        <v>296</v>
      </c>
      <c r="R219" s="24">
        <f>ShoeSales[[#This Row],[Profit]]/ShoeSales[[#This Row],[Revenue]]</f>
        <v>0.48684210526315791</v>
      </c>
      <c r="S219" s="19"/>
      <c r="T219" s="19" t="str">
        <f>UPPER(TEXT(ShoeSales[[#This Row],[Date]], "mmm"))</f>
        <v>FEB</v>
      </c>
    </row>
    <row r="220" spans="1:20" ht="14.25" customHeight="1" x14ac:dyDescent="0.25">
      <c r="A220" s="14">
        <v>46151</v>
      </c>
      <c r="B220" s="6" t="s">
        <v>70</v>
      </c>
      <c r="C220" s="16" t="str">
        <f>TRIM(PROPER(ShoeSales[[#This Row],[Product]]))</f>
        <v>Derby</v>
      </c>
      <c r="D220" s="6" t="s">
        <v>42</v>
      </c>
      <c r="E220" s="44" t="str">
        <f>UPPER(ShoeSales[[#This Row],[Category]])</f>
        <v>UTILITY</v>
      </c>
      <c r="F220" s="6" t="s">
        <v>29</v>
      </c>
      <c r="G220" s="6" t="s">
        <v>82</v>
      </c>
      <c r="H220" s="16" t="str">
        <f>PROPER(ShoeSales[[#This Row],[Brand]])</f>
        <v>Zara</v>
      </c>
      <c r="I220" s="6" t="s">
        <v>31</v>
      </c>
      <c r="J220" s="7">
        <v>6</v>
      </c>
      <c r="K220" s="6" t="s">
        <v>36</v>
      </c>
      <c r="L220" s="22">
        <f>VLOOKUP(ShoeSales[[#This Row],[Product Cleaned]],Price!$A$2:$C$9,2,FALSE)</f>
        <v>32</v>
      </c>
      <c r="M220" s="19">
        <f>_xlfn.XLOOKUP(ShoeSales[[#This Row],[Product Cleaned]],Price!$A$2:$A$9,Price!$B$2:$B$9)</f>
        <v>32</v>
      </c>
      <c r="N220" s="19">
        <f>_xlfn.XLOOKUP(ShoeSales[[#This Row],[Product Cleaned]],Price!$A$2:$A$9,Price!$C$2:$C$9)</f>
        <v>14</v>
      </c>
      <c r="O220" s="22">
        <f>ShoeSales[[#This Row],[Sell Price]]*ShoeSales[[#This Row],[Quantity]]</f>
        <v>192</v>
      </c>
      <c r="P220" s="19">
        <f>ShoeSales[[#This Row],[Quantity]]*ShoeSales[[#This Row],[Cost Price]]</f>
        <v>84</v>
      </c>
      <c r="Q220" s="19">
        <f>ShoeSales[[#This Row],[Revenue]]-ShoeSales[[#This Row],[Cost]]</f>
        <v>108</v>
      </c>
      <c r="R220" s="24">
        <f>ShoeSales[[#This Row],[Profit]]/ShoeSales[[#This Row],[Revenue]]</f>
        <v>0.5625</v>
      </c>
      <c r="S220" s="19"/>
      <c r="T220" s="19" t="str">
        <f>UPPER(TEXT(ShoeSales[[#This Row],[Date]], "mmm"))</f>
        <v>MAY</v>
      </c>
    </row>
    <row r="221" spans="1:20" ht="14.25" customHeight="1" x14ac:dyDescent="0.25">
      <c r="A221" s="15">
        <v>46083</v>
      </c>
      <c r="B221" s="9" t="s">
        <v>41</v>
      </c>
      <c r="C221" s="9" t="str">
        <f>TRIM(PROPER(ShoeSales[[#This Row],[Product]]))</f>
        <v>Boots</v>
      </c>
      <c r="D221" s="9" t="s">
        <v>45</v>
      </c>
      <c r="E221" s="45" t="str">
        <f>UPPER(ShoeSales[[#This Row],[Category]])</f>
        <v>CASUAL</v>
      </c>
      <c r="F221" s="9" t="s">
        <v>56</v>
      </c>
      <c r="G221" s="9" t="s">
        <v>95</v>
      </c>
      <c r="H221" s="9" t="str">
        <f>PROPER(ShoeSales[[#This Row],[Brand]])</f>
        <v>Timberland</v>
      </c>
      <c r="I221" s="9" t="s">
        <v>43</v>
      </c>
      <c r="J221" s="10">
        <v>4</v>
      </c>
      <c r="K221" s="9" t="s">
        <v>62</v>
      </c>
      <c r="L221" s="22">
        <f>VLOOKUP(ShoeSales[[#This Row],[Product Cleaned]],Price!$A$2:$C$9,2,FALSE)</f>
        <v>76</v>
      </c>
      <c r="M221" s="19">
        <f>_xlfn.XLOOKUP(ShoeSales[[#This Row],[Product Cleaned]],Price!$A$2:$A$9,Price!$B$2:$B$9)</f>
        <v>76</v>
      </c>
      <c r="N221" s="19">
        <f>_xlfn.XLOOKUP(ShoeSales[[#This Row],[Product Cleaned]],Price!$A$2:$A$9,Price!$C$2:$C$9)</f>
        <v>39</v>
      </c>
      <c r="O221" s="22">
        <f>ShoeSales[[#This Row],[Sell Price]]*ShoeSales[[#This Row],[Quantity]]</f>
        <v>304</v>
      </c>
      <c r="P221" s="19">
        <f>ShoeSales[[#This Row],[Quantity]]*ShoeSales[[#This Row],[Cost Price]]</f>
        <v>156</v>
      </c>
      <c r="Q221" s="19">
        <f>ShoeSales[[#This Row],[Revenue]]-ShoeSales[[#This Row],[Cost]]</f>
        <v>148</v>
      </c>
      <c r="R221" s="24">
        <f>ShoeSales[[#This Row],[Profit]]/ShoeSales[[#This Row],[Revenue]]</f>
        <v>0.48684210526315791</v>
      </c>
      <c r="S221" s="19"/>
      <c r="T221" s="19" t="str">
        <f>UPPER(TEXT(ShoeSales[[#This Row],[Date]], "mmm"))</f>
        <v>MAR</v>
      </c>
    </row>
    <row r="222" spans="1:20" ht="14.25" customHeight="1" x14ac:dyDescent="0.25">
      <c r="A222" s="14">
        <v>46245</v>
      </c>
      <c r="B222" s="6" t="s">
        <v>5</v>
      </c>
      <c r="C222" s="16" t="str">
        <f>TRIM(PROPER(ShoeSales[[#This Row],[Product]]))</f>
        <v>Monk Straps</v>
      </c>
      <c r="D222" s="6" t="s">
        <v>28</v>
      </c>
      <c r="E222" s="44" t="str">
        <f>UPPER(ShoeSales[[#This Row],[Category]])</f>
        <v>FORMAL</v>
      </c>
      <c r="F222" s="6" t="s">
        <v>49</v>
      </c>
      <c r="G222" s="6" t="s">
        <v>69</v>
      </c>
      <c r="H222" s="16" t="str">
        <f>PROPER(ShoeSales[[#This Row],[Brand]])</f>
        <v>Zara</v>
      </c>
      <c r="I222" s="6" t="s">
        <v>59</v>
      </c>
      <c r="J222" s="7">
        <v>14</v>
      </c>
      <c r="K222" s="6" t="s">
        <v>62</v>
      </c>
      <c r="L222" s="22">
        <f>VLOOKUP(ShoeSales[[#This Row],[Product Cleaned]],Price!$A$2:$C$9,2,FALSE)</f>
        <v>89</v>
      </c>
      <c r="M222" s="19">
        <f>_xlfn.XLOOKUP(ShoeSales[[#This Row],[Product Cleaned]],Price!$A$2:$A$9,Price!$B$2:$B$9)</f>
        <v>89</v>
      </c>
      <c r="N222" s="19">
        <f>_xlfn.XLOOKUP(ShoeSales[[#This Row],[Product Cleaned]],Price!$A$2:$A$9,Price!$C$2:$C$9)</f>
        <v>47</v>
      </c>
      <c r="O222" s="22">
        <f>ShoeSales[[#This Row],[Sell Price]]*ShoeSales[[#This Row],[Quantity]]</f>
        <v>1246</v>
      </c>
      <c r="P222" s="19">
        <f>ShoeSales[[#This Row],[Quantity]]*ShoeSales[[#This Row],[Cost Price]]</f>
        <v>658</v>
      </c>
      <c r="Q222" s="19">
        <f>ShoeSales[[#This Row],[Revenue]]-ShoeSales[[#This Row],[Cost]]</f>
        <v>588</v>
      </c>
      <c r="R222" s="24">
        <f>ShoeSales[[#This Row],[Profit]]/ShoeSales[[#This Row],[Revenue]]</f>
        <v>0.47191011235955055</v>
      </c>
      <c r="S222" s="19"/>
      <c r="T222" s="19" t="str">
        <f>UPPER(TEXT(ShoeSales[[#This Row],[Date]], "mmm"))</f>
        <v>AUG</v>
      </c>
    </row>
    <row r="223" spans="1:20" ht="14.25" customHeight="1" x14ac:dyDescent="0.25">
      <c r="A223" s="15">
        <v>46052</v>
      </c>
      <c r="B223" s="9" t="s">
        <v>83</v>
      </c>
      <c r="C223" s="9" t="str">
        <f>TRIM(PROPER(ShoeSales[[#This Row],[Product]]))</f>
        <v>Monk Straps</v>
      </c>
      <c r="D223" s="9" t="s">
        <v>37</v>
      </c>
      <c r="E223" s="45" t="str">
        <f>UPPER(ShoeSales[[#This Row],[Category]])</f>
        <v>FORMAL</v>
      </c>
      <c r="F223" s="9" t="s">
        <v>38</v>
      </c>
      <c r="G223" s="9" t="s">
        <v>50</v>
      </c>
      <c r="H223" s="9" t="str">
        <f>PROPER(ShoeSales[[#This Row],[Brand]])</f>
        <v>Nike</v>
      </c>
      <c r="I223" s="9" t="s">
        <v>91</v>
      </c>
      <c r="J223" s="10">
        <v>7</v>
      </c>
      <c r="K223" s="9" t="s">
        <v>62</v>
      </c>
      <c r="L223" s="22">
        <f>VLOOKUP(ShoeSales[[#This Row],[Product Cleaned]],Price!$A$2:$C$9,2,FALSE)</f>
        <v>89</v>
      </c>
      <c r="M223" s="19">
        <f>_xlfn.XLOOKUP(ShoeSales[[#This Row],[Product Cleaned]],Price!$A$2:$A$9,Price!$B$2:$B$9)</f>
        <v>89</v>
      </c>
      <c r="N223" s="19">
        <f>_xlfn.XLOOKUP(ShoeSales[[#This Row],[Product Cleaned]],Price!$A$2:$A$9,Price!$C$2:$C$9)</f>
        <v>47</v>
      </c>
      <c r="O223" s="22">
        <f>ShoeSales[[#This Row],[Sell Price]]*ShoeSales[[#This Row],[Quantity]]</f>
        <v>623</v>
      </c>
      <c r="P223" s="19">
        <f>ShoeSales[[#This Row],[Quantity]]*ShoeSales[[#This Row],[Cost Price]]</f>
        <v>329</v>
      </c>
      <c r="Q223" s="19">
        <f>ShoeSales[[#This Row],[Revenue]]-ShoeSales[[#This Row],[Cost]]</f>
        <v>294</v>
      </c>
      <c r="R223" s="24">
        <f>ShoeSales[[#This Row],[Profit]]/ShoeSales[[#This Row],[Revenue]]</f>
        <v>0.47191011235955055</v>
      </c>
      <c r="S223" s="19"/>
      <c r="T223" s="19" t="str">
        <f>UPPER(TEXT(ShoeSales[[#This Row],[Date]], "mmm"))</f>
        <v>JAN</v>
      </c>
    </row>
    <row r="224" spans="1:20" ht="14.25" customHeight="1" x14ac:dyDescent="0.25">
      <c r="A224" s="14">
        <v>46141</v>
      </c>
      <c r="B224" s="6" t="s">
        <v>12</v>
      </c>
      <c r="C224" s="16" t="str">
        <f>TRIM(PROPER(ShoeSales[[#This Row],[Product]]))</f>
        <v>Brogues</v>
      </c>
      <c r="D224" s="6" t="s">
        <v>37</v>
      </c>
      <c r="E224" s="44" t="str">
        <f>UPPER(ShoeSales[[#This Row],[Category]])</f>
        <v>FORMAL</v>
      </c>
      <c r="F224" s="6" t="s">
        <v>56</v>
      </c>
      <c r="G224" s="6" t="s">
        <v>94</v>
      </c>
      <c r="H224" s="16" t="str">
        <f>PROPER(ShoeSales[[#This Row],[Brand]])</f>
        <v>Timberland</v>
      </c>
      <c r="I224" s="6" t="s">
        <v>64</v>
      </c>
      <c r="J224" s="7">
        <v>8</v>
      </c>
      <c r="K224" s="6" t="s">
        <v>32</v>
      </c>
      <c r="L224" s="22">
        <f>VLOOKUP(ShoeSales[[#This Row],[Product Cleaned]],Price!$A$2:$C$9,2,FALSE)</f>
        <v>112</v>
      </c>
      <c r="M224" s="19">
        <f>_xlfn.XLOOKUP(ShoeSales[[#This Row],[Product Cleaned]],Price!$A$2:$A$9,Price!$B$2:$B$9)</f>
        <v>112</v>
      </c>
      <c r="N224" s="19">
        <f>_xlfn.XLOOKUP(ShoeSales[[#This Row],[Product Cleaned]],Price!$A$2:$A$9,Price!$C$2:$C$9)</f>
        <v>64</v>
      </c>
      <c r="O224" s="22">
        <f>ShoeSales[[#This Row],[Sell Price]]*ShoeSales[[#This Row],[Quantity]]</f>
        <v>896</v>
      </c>
      <c r="P224" s="19">
        <f>ShoeSales[[#This Row],[Quantity]]*ShoeSales[[#This Row],[Cost Price]]</f>
        <v>512</v>
      </c>
      <c r="Q224" s="19">
        <f>ShoeSales[[#This Row],[Revenue]]-ShoeSales[[#This Row],[Cost]]</f>
        <v>384</v>
      </c>
      <c r="R224" s="24">
        <f>ShoeSales[[#This Row],[Profit]]/ShoeSales[[#This Row],[Revenue]]</f>
        <v>0.42857142857142855</v>
      </c>
      <c r="S224" s="19"/>
      <c r="T224" s="19" t="str">
        <f>UPPER(TEXT(ShoeSales[[#This Row],[Date]], "mmm"))</f>
        <v>APR</v>
      </c>
    </row>
    <row r="225" spans="1:20" ht="14.25" customHeight="1" x14ac:dyDescent="0.25">
      <c r="A225" s="15">
        <v>46054</v>
      </c>
      <c r="B225" s="9" t="s">
        <v>10</v>
      </c>
      <c r="C225" s="9" t="str">
        <f>TRIM(PROPER(ShoeSales[[#This Row],[Product]]))</f>
        <v>Oxford</v>
      </c>
      <c r="D225" s="9" t="s">
        <v>28</v>
      </c>
      <c r="E225" s="45" t="str">
        <f>UPPER(ShoeSales[[#This Row],[Category]])</f>
        <v>FORMAL</v>
      </c>
      <c r="F225" s="9" t="s">
        <v>34</v>
      </c>
      <c r="G225" s="9" t="s">
        <v>63</v>
      </c>
      <c r="H225" s="9" t="str">
        <f>PROPER(ShoeSales[[#This Row],[Brand]])</f>
        <v>Clarks</v>
      </c>
      <c r="I225" s="9" t="s">
        <v>53</v>
      </c>
      <c r="J225" s="10">
        <v>12</v>
      </c>
      <c r="K225" s="9" t="s">
        <v>36</v>
      </c>
      <c r="L225" s="22">
        <f>VLOOKUP(ShoeSales[[#This Row],[Product Cleaned]],Price!$A$2:$C$9,2,FALSE)</f>
        <v>105</v>
      </c>
      <c r="M225" s="19">
        <f>_xlfn.XLOOKUP(ShoeSales[[#This Row],[Product Cleaned]],Price!$A$2:$A$9,Price!$B$2:$B$9)</f>
        <v>105</v>
      </c>
      <c r="N225" s="19">
        <f>_xlfn.XLOOKUP(ShoeSales[[#This Row],[Product Cleaned]],Price!$A$2:$A$9,Price!$C$2:$C$9)</f>
        <v>58</v>
      </c>
      <c r="O225" s="22">
        <f>ShoeSales[[#This Row],[Sell Price]]*ShoeSales[[#This Row],[Quantity]]</f>
        <v>1260</v>
      </c>
      <c r="P225" s="19">
        <f>ShoeSales[[#This Row],[Quantity]]*ShoeSales[[#This Row],[Cost Price]]</f>
        <v>696</v>
      </c>
      <c r="Q225" s="19">
        <f>ShoeSales[[#This Row],[Revenue]]-ShoeSales[[#This Row],[Cost]]</f>
        <v>564</v>
      </c>
      <c r="R225" s="24">
        <f>ShoeSales[[#This Row],[Profit]]/ShoeSales[[#This Row],[Revenue]]</f>
        <v>0.44761904761904764</v>
      </c>
      <c r="S225" s="19"/>
      <c r="T225" s="19" t="str">
        <f>UPPER(TEXT(ShoeSales[[#This Row],[Date]], "mmm"))</f>
        <v>FEB</v>
      </c>
    </row>
    <row r="226" spans="1:20" ht="14.25" customHeight="1" x14ac:dyDescent="0.25">
      <c r="A226" s="14">
        <v>46037</v>
      </c>
      <c r="B226" s="6" t="s">
        <v>88</v>
      </c>
      <c r="C226" s="16" t="str">
        <f>TRIM(PROPER(ShoeSales[[#This Row],[Product]]))</f>
        <v>Slippers</v>
      </c>
      <c r="D226" s="6" t="s">
        <v>28</v>
      </c>
      <c r="E226" s="44" t="str">
        <f>UPPER(ShoeSales[[#This Row],[Category]])</f>
        <v>FORMAL</v>
      </c>
      <c r="F226" s="6" t="s">
        <v>56</v>
      </c>
      <c r="G226" s="6" t="s">
        <v>81</v>
      </c>
      <c r="H226" s="16" t="str">
        <f>PROPER(ShoeSales[[#This Row],[Brand]])</f>
        <v>Steve Madden</v>
      </c>
      <c r="I226" s="6" t="s">
        <v>47</v>
      </c>
      <c r="J226" s="7">
        <v>8</v>
      </c>
      <c r="K226" s="6" t="s">
        <v>36</v>
      </c>
      <c r="L226" s="22">
        <f>VLOOKUP(ShoeSales[[#This Row],[Product Cleaned]],Price!$A$2:$C$9,2,FALSE)</f>
        <v>119</v>
      </c>
      <c r="M226" s="19">
        <f>_xlfn.XLOOKUP(ShoeSales[[#This Row],[Product Cleaned]],Price!$A$2:$A$9,Price!$B$2:$B$9)</f>
        <v>119</v>
      </c>
      <c r="N226" s="19">
        <f>_xlfn.XLOOKUP(ShoeSales[[#This Row],[Product Cleaned]],Price!$A$2:$A$9,Price!$C$2:$C$9)</f>
        <v>67</v>
      </c>
      <c r="O226" s="22">
        <f>ShoeSales[[#This Row],[Sell Price]]*ShoeSales[[#This Row],[Quantity]]</f>
        <v>952</v>
      </c>
      <c r="P226" s="19">
        <f>ShoeSales[[#This Row],[Quantity]]*ShoeSales[[#This Row],[Cost Price]]</f>
        <v>536</v>
      </c>
      <c r="Q226" s="19">
        <f>ShoeSales[[#This Row],[Revenue]]-ShoeSales[[#This Row],[Cost]]</f>
        <v>416</v>
      </c>
      <c r="R226" s="24">
        <f>ShoeSales[[#This Row],[Profit]]/ShoeSales[[#This Row],[Revenue]]</f>
        <v>0.43697478991596639</v>
      </c>
      <c r="S226" s="19"/>
      <c r="T226" s="19" t="str">
        <f>UPPER(TEXT(ShoeSales[[#This Row],[Date]], "mmm"))</f>
        <v>JAN</v>
      </c>
    </row>
    <row r="227" spans="1:20" ht="14.25" customHeight="1" x14ac:dyDescent="0.25">
      <c r="A227" s="15">
        <v>46157</v>
      </c>
      <c r="B227" s="9" t="s">
        <v>60</v>
      </c>
      <c r="C227" s="9" t="str">
        <f>TRIM(PROPER(ShoeSales[[#This Row],[Product]]))</f>
        <v>Oxford</v>
      </c>
      <c r="D227" s="9" t="s">
        <v>89</v>
      </c>
      <c r="E227" s="45" t="str">
        <f>UPPER(ShoeSales[[#This Row],[Category]])</f>
        <v>OPEN</v>
      </c>
      <c r="F227" s="9" t="s">
        <v>29</v>
      </c>
      <c r="G227" s="9" t="s">
        <v>50</v>
      </c>
      <c r="H227" s="9" t="str">
        <f>PROPER(ShoeSales[[#This Row],[Brand]])</f>
        <v>Nike</v>
      </c>
      <c r="I227" s="9" t="s">
        <v>78</v>
      </c>
      <c r="J227" s="10">
        <v>11</v>
      </c>
      <c r="K227" s="9" t="s">
        <v>54</v>
      </c>
      <c r="L227" s="22">
        <f>VLOOKUP(ShoeSales[[#This Row],[Product Cleaned]],Price!$A$2:$C$9,2,FALSE)</f>
        <v>105</v>
      </c>
      <c r="M227" s="19">
        <f>_xlfn.XLOOKUP(ShoeSales[[#This Row],[Product Cleaned]],Price!$A$2:$A$9,Price!$B$2:$B$9)</f>
        <v>105</v>
      </c>
      <c r="N227" s="19">
        <f>_xlfn.XLOOKUP(ShoeSales[[#This Row],[Product Cleaned]],Price!$A$2:$A$9,Price!$C$2:$C$9)</f>
        <v>58</v>
      </c>
      <c r="O227" s="22">
        <f>ShoeSales[[#This Row],[Sell Price]]*ShoeSales[[#This Row],[Quantity]]</f>
        <v>1155</v>
      </c>
      <c r="P227" s="19">
        <f>ShoeSales[[#This Row],[Quantity]]*ShoeSales[[#This Row],[Cost Price]]</f>
        <v>638</v>
      </c>
      <c r="Q227" s="19">
        <f>ShoeSales[[#This Row],[Revenue]]-ShoeSales[[#This Row],[Cost]]</f>
        <v>517</v>
      </c>
      <c r="R227" s="24">
        <f>ShoeSales[[#This Row],[Profit]]/ShoeSales[[#This Row],[Revenue]]</f>
        <v>0.44761904761904764</v>
      </c>
      <c r="S227" s="19"/>
      <c r="T227" s="19" t="str">
        <f>UPPER(TEXT(ShoeSales[[#This Row],[Date]], "mmm"))</f>
        <v>MAY</v>
      </c>
    </row>
    <row r="228" spans="1:20" ht="14.25" customHeight="1" x14ac:dyDescent="0.25">
      <c r="A228" s="14">
        <v>46239</v>
      </c>
      <c r="B228" s="6" t="s">
        <v>44</v>
      </c>
      <c r="C228" s="16" t="str">
        <f>TRIM(PROPER(ShoeSales[[#This Row],[Product]]))</f>
        <v>Boots</v>
      </c>
      <c r="D228" s="6" t="s">
        <v>42</v>
      </c>
      <c r="E228" s="44" t="str">
        <f>UPPER(ShoeSales[[#This Row],[Category]])</f>
        <v>UTILITY</v>
      </c>
      <c r="F228" s="6" t="s">
        <v>56</v>
      </c>
      <c r="G228" s="6" t="s">
        <v>69</v>
      </c>
      <c r="H228" s="16" t="str">
        <f>PROPER(ShoeSales[[#This Row],[Brand]])</f>
        <v>Zara</v>
      </c>
      <c r="I228" s="6" t="s">
        <v>73</v>
      </c>
      <c r="J228" s="7">
        <v>2</v>
      </c>
      <c r="K228" s="6" t="s">
        <v>62</v>
      </c>
      <c r="L228" s="22">
        <f>VLOOKUP(ShoeSales[[#This Row],[Product Cleaned]],Price!$A$2:$C$9,2,FALSE)</f>
        <v>76</v>
      </c>
      <c r="M228" s="19">
        <f>_xlfn.XLOOKUP(ShoeSales[[#This Row],[Product Cleaned]],Price!$A$2:$A$9,Price!$B$2:$B$9)</f>
        <v>76</v>
      </c>
      <c r="N228" s="19">
        <f>_xlfn.XLOOKUP(ShoeSales[[#This Row],[Product Cleaned]],Price!$A$2:$A$9,Price!$C$2:$C$9)</f>
        <v>39</v>
      </c>
      <c r="O228" s="22">
        <f>ShoeSales[[#This Row],[Sell Price]]*ShoeSales[[#This Row],[Quantity]]</f>
        <v>152</v>
      </c>
      <c r="P228" s="19">
        <f>ShoeSales[[#This Row],[Quantity]]*ShoeSales[[#This Row],[Cost Price]]</f>
        <v>78</v>
      </c>
      <c r="Q228" s="19">
        <f>ShoeSales[[#This Row],[Revenue]]-ShoeSales[[#This Row],[Cost]]</f>
        <v>74</v>
      </c>
      <c r="R228" s="24">
        <f>ShoeSales[[#This Row],[Profit]]/ShoeSales[[#This Row],[Revenue]]</f>
        <v>0.48684210526315791</v>
      </c>
      <c r="S228" s="19"/>
      <c r="T228" s="19" t="str">
        <f>UPPER(TEXT(ShoeSales[[#This Row],[Date]], "mmm"))</f>
        <v>AUG</v>
      </c>
    </row>
    <row r="229" spans="1:20" ht="14.25" customHeight="1" x14ac:dyDescent="0.25">
      <c r="A229" s="15">
        <v>46124</v>
      </c>
      <c r="B229" s="9" t="s">
        <v>15</v>
      </c>
      <c r="C229" s="9" t="str">
        <f>TRIM(PROPER(ShoeSales[[#This Row],[Product]]))</f>
        <v>Slippers</v>
      </c>
      <c r="D229" s="9" t="s">
        <v>58</v>
      </c>
      <c r="E229" s="45" t="str">
        <f>UPPER(ShoeSales[[#This Row],[Category]])</f>
        <v>FORMAL</v>
      </c>
      <c r="F229" s="9" t="s">
        <v>38</v>
      </c>
      <c r="G229" s="9" t="s">
        <v>75</v>
      </c>
      <c r="H229" s="9" t="str">
        <f>PROPER(ShoeSales[[#This Row],[Brand]])</f>
        <v>Steve Madden</v>
      </c>
      <c r="I229" s="9" t="s">
        <v>91</v>
      </c>
      <c r="J229" s="10">
        <v>7</v>
      </c>
      <c r="K229" s="9" t="s">
        <v>32</v>
      </c>
      <c r="L229" s="22">
        <f>VLOOKUP(ShoeSales[[#This Row],[Product Cleaned]],Price!$A$2:$C$9,2,FALSE)</f>
        <v>119</v>
      </c>
      <c r="M229" s="19">
        <f>_xlfn.XLOOKUP(ShoeSales[[#This Row],[Product Cleaned]],Price!$A$2:$A$9,Price!$B$2:$B$9)</f>
        <v>119</v>
      </c>
      <c r="N229" s="19">
        <f>_xlfn.XLOOKUP(ShoeSales[[#This Row],[Product Cleaned]],Price!$A$2:$A$9,Price!$C$2:$C$9)</f>
        <v>67</v>
      </c>
      <c r="O229" s="22">
        <f>ShoeSales[[#This Row],[Sell Price]]*ShoeSales[[#This Row],[Quantity]]</f>
        <v>833</v>
      </c>
      <c r="P229" s="19">
        <f>ShoeSales[[#This Row],[Quantity]]*ShoeSales[[#This Row],[Cost Price]]</f>
        <v>469</v>
      </c>
      <c r="Q229" s="19">
        <f>ShoeSales[[#This Row],[Revenue]]-ShoeSales[[#This Row],[Cost]]</f>
        <v>364</v>
      </c>
      <c r="R229" s="24">
        <f>ShoeSales[[#This Row],[Profit]]/ShoeSales[[#This Row],[Revenue]]</f>
        <v>0.43697478991596639</v>
      </c>
      <c r="S229" s="19"/>
      <c r="T229" s="19" t="str">
        <f>UPPER(TEXT(ShoeSales[[#This Row],[Date]], "mmm"))</f>
        <v>APR</v>
      </c>
    </row>
    <row r="230" spans="1:20" ht="14.25" customHeight="1" x14ac:dyDescent="0.25">
      <c r="A230" s="14">
        <v>46061</v>
      </c>
      <c r="B230" s="6" t="s">
        <v>15</v>
      </c>
      <c r="C230" s="16" t="str">
        <f>TRIM(PROPER(ShoeSales[[#This Row],[Product]]))</f>
        <v>Slippers</v>
      </c>
      <c r="D230" s="6" t="s">
        <v>58</v>
      </c>
      <c r="E230" s="44" t="str">
        <f>UPPER(ShoeSales[[#This Row],[Category]])</f>
        <v>FORMAL</v>
      </c>
      <c r="F230" s="6" t="s">
        <v>49</v>
      </c>
      <c r="G230" s="6" t="s">
        <v>69</v>
      </c>
      <c r="H230" s="16" t="str">
        <f>PROPER(ShoeSales[[#This Row],[Brand]])</f>
        <v>Zara</v>
      </c>
      <c r="I230" s="6" t="s">
        <v>53</v>
      </c>
      <c r="J230" s="7">
        <v>1</v>
      </c>
      <c r="K230" s="6" t="s">
        <v>62</v>
      </c>
      <c r="L230" s="22">
        <f>VLOOKUP(ShoeSales[[#This Row],[Product Cleaned]],Price!$A$2:$C$9,2,FALSE)</f>
        <v>119</v>
      </c>
      <c r="M230" s="19">
        <f>_xlfn.XLOOKUP(ShoeSales[[#This Row],[Product Cleaned]],Price!$A$2:$A$9,Price!$B$2:$B$9)</f>
        <v>119</v>
      </c>
      <c r="N230" s="19">
        <f>_xlfn.XLOOKUP(ShoeSales[[#This Row],[Product Cleaned]],Price!$A$2:$A$9,Price!$C$2:$C$9)</f>
        <v>67</v>
      </c>
      <c r="O230" s="22">
        <f>ShoeSales[[#This Row],[Sell Price]]*ShoeSales[[#This Row],[Quantity]]</f>
        <v>119</v>
      </c>
      <c r="P230" s="19">
        <f>ShoeSales[[#This Row],[Quantity]]*ShoeSales[[#This Row],[Cost Price]]</f>
        <v>67</v>
      </c>
      <c r="Q230" s="19">
        <f>ShoeSales[[#This Row],[Revenue]]-ShoeSales[[#This Row],[Cost]]</f>
        <v>52</v>
      </c>
      <c r="R230" s="24">
        <f>ShoeSales[[#This Row],[Profit]]/ShoeSales[[#This Row],[Revenue]]</f>
        <v>0.43697478991596639</v>
      </c>
      <c r="S230" s="19"/>
      <c r="T230" s="19" t="str">
        <f>UPPER(TEXT(ShoeSales[[#This Row],[Date]], "mmm"))</f>
        <v>FEB</v>
      </c>
    </row>
    <row r="231" spans="1:20" ht="14.25" customHeight="1" x14ac:dyDescent="0.25">
      <c r="A231" s="15">
        <v>46090</v>
      </c>
      <c r="B231" s="9" t="s">
        <v>70</v>
      </c>
      <c r="C231" s="9" t="str">
        <f>TRIM(PROPER(ShoeSales[[#This Row],[Product]]))</f>
        <v>Derby</v>
      </c>
      <c r="D231" s="9" t="s">
        <v>93</v>
      </c>
      <c r="E231" s="45" t="str">
        <f>UPPER(ShoeSales[[#This Row],[Category]])</f>
        <v>UTILITY</v>
      </c>
      <c r="F231" s="9" t="s">
        <v>49</v>
      </c>
      <c r="G231" s="9" t="s">
        <v>50</v>
      </c>
      <c r="H231" s="9" t="str">
        <f>PROPER(ShoeSales[[#This Row],[Brand]])</f>
        <v>Nike</v>
      </c>
      <c r="I231" s="9" t="s">
        <v>84</v>
      </c>
      <c r="J231" s="10">
        <v>11</v>
      </c>
      <c r="K231" s="9" t="s">
        <v>54</v>
      </c>
      <c r="L231" s="22">
        <f>VLOOKUP(ShoeSales[[#This Row],[Product Cleaned]],Price!$A$2:$C$9,2,FALSE)</f>
        <v>32</v>
      </c>
      <c r="M231" s="19">
        <f>_xlfn.XLOOKUP(ShoeSales[[#This Row],[Product Cleaned]],Price!$A$2:$A$9,Price!$B$2:$B$9)</f>
        <v>32</v>
      </c>
      <c r="N231" s="19">
        <f>_xlfn.XLOOKUP(ShoeSales[[#This Row],[Product Cleaned]],Price!$A$2:$A$9,Price!$C$2:$C$9)</f>
        <v>14</v>
      </c>
      <c r="O231" s="22">
        <f>ShoeSales[[#This Row],[Sell Price]]*ShoeSales[[#This Row],[Quantity]]</f>
        <v>352</v>
      </c>
      <c r="P231" s="19">
        <f>ShoeSales[[#This Row],[Quantity]]*ShoeSales[[#This Row],[Cost Price]]</f>
        <v>154</v>
      </c>
      <c r="Q231" s="19">
        <f>ShoeSales[[#This Row],[Revenue]]-ShoeSales[[#This Row],[Cost]]</f>
        <v>198</v>
      </c>
      <c r="R231" s="24">
        <f>ShoeSales[[#This Row],[Profit]]/ShoeSales[[#This Row],[Revenue]]</f>
        <v>0.5625</v>
      </c>
      <c r="S231" s="19"/>
      <c r="T231" s="19" t="str">
        <f>UPPER(TEXT(ShoeSales[[#This Row],[Date]], "mmm"))</f>
        <v>MAR</v>
      </c>
    </row>
    <row r="232" spans="1:20" ht="14.25" customHeight="1" x14ac:dyDescent="0.25">
      <c r="A232" s="14">
        <v>46182</v>
      </c>
      <c r="B232" s="6" t="s">
        <v>79</v>
      </c>
      <c r="C232" s="16" t="str">
        <f>TRIM(PROPER(ShoeSales[[#This Row],[Product]]))</f>
        <v>Brogues</v>
      </c>
      <c r="D232" s="6" t="s">
        <v>77</v>
      </c>
      <c r="E232" s="44" t="str">
        <f>UPPER(ShoeSales[[#This Row],[Category]])</f>
        <v>CASUAL</v>
      </c>
      <c r="F232" s="6" t="s">
        <v>56</v>
      </c>
      <c r="G232" s="6" t="s">
        <v>35</v>
      </c>
      <c r="H232" s="16" t="str">
        <f>PROPER(ShoeSales[[#This Row],[Brand]])</f>
        <v>Nike</v>
      </c>
      <c r="I232" s="6" t="s">
        <v>51</v>
      </c>
      <c r="J232" s="7">
        <v>14</v>
      </c>
      <c r="K232" s="6" t="s">
        <v>32</v>
      </c>
      <c r="L232" s="22">
        <f>VLOOKUP(ShoeSales[[#This Row],[Product Cleaned]],Price!$A$2:$C$9,2,FALSE)</f>
        <v>112</v>
      </c>
      <c r="M232" s="19">
        <f>_xlfn.XLOOKUP(ShoeSales[[#This Row],[Product Cleaned]],Price!$A$2:$A$9,Price!$B$2:$B$9)</f>
        <v>112</v>
      </c>
      <c r="N232" s="19">
        <f>_xlfn.XLOOKUP(ShoeSales[[#This Row],[Product Cleaned]],Price!$A$2:$A$9,Price!$C$2:$C$9)</f>
        <v>64</v>
      </c>
      <c r="O232" s="22">
        <f>ShoeSales[[#This Row],[Sell Price]]*ShoeSales[[#This Row],[Quantity]]</f>
        <v>1568</v>
      </c>
      <c r="P232" s="19">
        <f>ShoeSales[[#This Row],[Quantity]]*ShoeSales[[#This Row],[Cost Price]]</f>
        <v>896</v>
      </c>
      <c r="Q232" s="19">
        <f>ShoeSales[[#This Row],[Revenue]]-ShoeSales[[#This Row],[Cost]]</f>
        <v>672</v>
      </c>
      <c r="R232" s="24">
        <f>ShoeSales[[#This Row],[Profit]]/ShoeSales[[#This Row],[Revenue]]</f>
        <v>0.42857142857142855</v>
      </c>
      <c r="S232" s="19"/>
      <c r="T232" s="19" t="str">
        <f>UPPER(TEXT(ShoeSales[[#This Row],[Date]], "mmm"))</f>
        <v>JUN</v>
      </c>
    </row>
    <row r="233" spans="1:20" ht="14.25" customHeight="1" x14ac:dyDescent="0.25">
      <c r="A233" s="15">
        <v>46120</v>
      </c>
      <c r="B233" s="9" t="s">
        <v>68</v>
      </c>
      <c r="C233" s="9" t="str">
        <f>TRIM(PROPER(ShoeSales[[#This Row],[Product]]))</f>
        <v>Slippers</v>
      </c>
      <c r="D233" s="9" t="s">
        <v>28</v>
      </c>
      <c r="E233" s="45" t="str">
        <f>UPPER(ShoeSales[[#This Row],[Category]])</f>
        <v>FORMAL</v>
      </c>
      <c r="F233" s="9" t="s">
        <v>56</v>
      </c>
      <c r="G233" s="9" t="s">
        <v>82</v>
      </c>
      <c r="H233" s="9" t="str">
        <f>PROPER(ShoeSales[[#This Row],[Brand]])</f>
        <v>Zara</v>
      </c>
      <c r="I233" s="9" t="s">
        <v>51</v>
      </c>
      <c r="J233" s="10">
        <v>4</v>
      </c>
      <c r="K233" s="9" t="s">
        <v>54</v>
      </c>
      <c r="L233" s="22">
        <f>VLOOKUP(ShoeSales[[#This Row],[Product Cleaned]],Price!$A$2:$C$9,2,FALSE)</f>
        <v>119</v>
      </c>
      <c r="M233" s="19">
        <f>_xlfn.XLOOKUP(ShoeSales[[#This Row],[Product Cleaned]],Price!$A$2:$A$9,Price!$B$2:$B$9)</f>
        <v>119</v>
      </c>
      <c r="N233" s="19">
        <f>_xlfn.XLOOKUP(ShoeSales[[#This Row],[Product Cleaned]],Price!$A$2:$A$9,Price!$C$2:$C$9)</f>
        <v>67</v>
      </c>
      <c r="O233" s="22">
        <f>ShoeSales[[#This Row],[Sell Price]]*ShoeSales[[#This Row],[Quantity]]</f>
        <v>476</v>
      </c>
      <c r="P233" s="19">
        <f>ShoeSales[[#This Row],[Quantity]]*ShoeSales[[#This Row],[Cost Price]]</f>
        <v>268</v>
      </c>
      <c r="Q233" s="19">
        <f>ShoeSales[[#This Row],[Revenue]]-ShoeSales[[#This Row],[Cost]]</f>
        <v>208</v>
      </c>
      <c r="R233" s="24">
        <f>ShoeSales[[#This Row],[Profit]]/ShoeSales[[#This Row],[Revenue]]</f>
        <v>0.43697478991596639</v>
      </c>
      <c r="S233" s="19"/>
      <c r="T233" s="19" t="str">
        <f>UPPER(TEXT(ShoeSales[[#This Row],[Date]], "mmm"))</f>
        <v>APR</v>
      </c>
    </row>
    <row r="234" spans="1:20" ht="14.25" customHeight="1" x14ac:dyDescent="0.25">
      <c r="A234" s="14">
        <v>46148</v>
      </c>
      <c r="B234" s="6" t="s">
        <v>8</v>
      </c>
      <c r="C234" s="16" t="str">
        <f>TRIM(PROPER(ShoeSales[[#This Row],[Product]]))</f>
        <v>Boots</v>
      </c>
      <c r="D234" s="6" t="s">
        <v>37</v>
      </c>
      <c r="E234" s="44" t="str">
        <f>UPPER(ShoeSales[[#This Row],[Category]])</f>
        <v>FORMAL</v>
      </c>
      <c r="F234" s="6" t="s">
        <v>49</v>
      </c>
      <c r="G234" s="6" t="s">
        <v>46</v>
      </c>
      <c r="H234" s="16" t="str">
        <f>PROPER(ShoeSales[[#This Row],[Brand]])</f>
        <v>Clarks</v>
      </c>
      <c r="I234" s="6" t="s">
        <v>61</v>
      </c>
      <c r="J234" s="7">
        <v>5</v>
      </c>
      <c r="K234" s="6" t="s">
        <v>36</v>
      </c>
      <c r="L234" s="22">
        <f>VLOOKUP(ShoeSales[[#This Row],[Product Cleaned]],Price!$A$2:$C$9,2,FALSE)</f>
        <v>76</v>
      </c>
      <c r="M234" s="19">
        <f>_xlfn.XLOOKUP(ShoeSales[[#This Row],[Product Cleaned]],Price!$A$2:$A$9,Price!$B$2:$B$9)</f>
        <v>76</v>
      </c>
      <c r="N234" s="19">
        <f>_xlfn.XLOOKUP(ShoeSales[[#This Row],[Product Cleaned]],Price!$A$2:$A$9,Price!$C$2:$C$9)</f>
        <v>39</v>
      </c>
      <c r="O234" s="22">
        <f>ShoeSales[[#This Row],[Sell Price]]*ShoeSales[[#This Row],[Quantity]]</f>
        <v>380</v>
      </c>
      <c r="P234" s="19">
        <f>ShoeSales[[#This Row],[Quantity]]*ShoeSales[[#This Row],[Cost Price]]</f>
        <v>195</v>
      </c>
      <c r="Q234" s="19">
        <f>ShoeSales[[#This Row],[Revenue]]-ShoeSales[[#This Row],[Cost]]</f>
        <v>185</v>
      </c>
      <c r="R234" s="24">
        <f>ShoeSales[[#This Row],[Profit]]/ShoeSales[[#This Row],[Revenue]]</f>
        <v>0.48684210526315791</v>
      </c>
      <c r="S234" s="19"/>
      <c r="T234" s="19" t="str">
        <f>UPPER(TEXT(ShoeSales[[#This Row],[Date]], "mmm"))</f>
        <v>MAY</v>
      </c>
    </row>
    <row r="235" spans="1:20" ht="14.25" customHeight="1" x14ac:dyDescent="0.25">
      <c r="A235" s="15">
        <v>46228</v>
      </c>
      <c r="B235" s="9" t="s">
        <v>9</v>
      </c>
      <c r="C235" s="9" t="str">
        <f>TRIM(PROPER(ShoeSales[[#This Row],[Product]]))</f>
        <v>Canvas</v>
      </c>
      <c r="D235" s="9" t="s">
        <v>58</v>
      </c>
      <c r="E235" s="45" t="str">
        <f>UPPER(ShoeSales[[#This Row],[Category]])</f>
        <v>FORMAL</v>
      </c>
      <c r="F235" s="9" t="s">
        <v>56</v>
      </c>
      <c r="G235" s="9" t="s">
        <v>63</v>
      </c>
      <c r="H235" s="9" t="str">
        <f>PROPER(ShoeSales[[#This Row],[Brand]])</f>
        <v>Clarks</v>
      </c>
      <c r="I235" s="9" t="s">
        <v>40</v>
      </c>
      <c r="J235" s="10">
        <v>5</v>
      </c>
      <c r="K235" s="9" t="s">
        <v>62</v>
      </c>
      <c r="L235" s="22">
        <f>VLOOKUP(ShoeSales[[#This Row],[Product Cleaned]],Price!$A$2:$C$9,2,FALSE)</f>
        <v>128</v>
      </c>
      <c r="M235" s="19">
        <f>_xlfn.XLOOKUP(ShoeSales[[#This Row],[Product Cleaned]],Price!$A$2:$A$9,Price!$B$2:$B$9)</f>
        <v>128</v>
      </c>
      <c r="N235" s="19">
        <f>_xlfn.XLOOKUP(ShoeSales[[#This Row],[Product Cleaned]],Price!$A$2:$A$9,Price!$C$2:$C$9)</f>
        <v>72</v>
      </c>
      <c r="O235" s="22">
        <f>ShoeSales[[#This Row],[Sell Price]]*ShoeSales[[#This Row],[Quantity]]</f>
        <v>640</v>
      </c>
      <c r="P235" s="19">
        <f>ShoeSales[[#This Row],[Quantity]]*ShoeSales[[#This Row],[Cost Price]]</f>
        <v>360</v>
      </c>
      <c r="Q235" s="19">
        <f>ShoeSales[[#This Row],[Revenue]]-ShoeSales[[#This Row],[Cost]]</f>
        <v>280</v>
      </c>
      <c r="R235" s="24">
        <f>ShoeSales[[#This Row],[Profit]]/ShoeSales[[#This Row],[Revenue]]</f>
        <v>0.4375</v>
      </c>
      <c r="S235" s="19"/>
      <c r="T235" s="19" t="str">
        <f>UPPER(TEXT(ShoeSales[[#This Row],[Date]], "mmm"))</f>
        <v>JUL</v>
      </c>
    </row>
    <row r="236" spans="1:20" ht="14.25" customHeight="1" x14ac:dyDescent="0.25">
      <c r="A236" s="14">
        <v>46185</v>
      </c>
      <c r="B236" s="6" t="s">
        <v>70</v>
      </c>
      <c r="C236" s="16" t="str">
        <f>TRIM(PROPER(ShoeSales[[#This Row],[Product]]))</f>
        <v>Derby</v>
      </c>
      <c r="D236" s="6" t="s">
        <v>28</v>
      </c>
      <c r="E236" s="44" t="str">
        <f>UPPER(ShoeSales[[#This Row],[Category]])</f>
        <v>FORMAL</v>
      </c>
      <c r="F236" s="6" t="s">
        <v>38</v>
      </c>
      <c r="G236" s="6" t="s">
        <v>69</v>
      </c>
      <c r="H236" s="16" t="str">
        <f>PROPER(ShoeSales[[#This Row],[Brand]])</f>
        <v>Zara</v>
      </c>
      <c r="I236" s="6" t="s">
        <v>53</v>
      </c>
      <c r="J236" s="7">
        <v>15</v>
      </c>
      <c r="K236" s="6" t="s">
        <v>32</v>
      </c>
      <c r="L236" s="22">
        <f>VLOOKUP(ShoeSales[[#This Row],[Product Cleaned]],Price!$A$2:$C$9,2,FALSE)</f>
        <v>32</v>
      </c>
      <c r="M236" s="19">
        <f>_xlfn.XLOOKUP(ShoeSales[[#This Row],[Product Cleaned]],Price!$A$2:$A$9,Price!$B$2:$B$9)</f>
        <v>32</v>
      </c>
      <c r="N236" s="19">
        <f>_xlfn.XLOOKUP(ShoeSales[[#This Row],[Product Cleaned]],Price!$A$2:$A$9,Price!$C$2:$C$9)</f>
        <v>14</v>
      </c>
      <c r="O236" s="22">
        <f>ShoeSales[[#This Row],[Sell Price]]*ShoeSales[[#This Row],[Quantity]]</f>
        <v>480</v>
      </c>
      <c r="P236" s="19">
        <f>ShoeSales[[#This Row],[Quantity]]*ShoeSales[[#This Row],[Cost Price]]</f>
        <v>210</v>
      </c>
      <c r="Q236" s="19">
        <f>ShoeSales[[#This Row],[Revenue]]-ShoeSales[[#This Row],[Cost]]</f>
        <v>270</v>
      </c>
      <c r="R236" s="24">
        <f>ShoeSales[[#This Row],[Profit]]/ShoeSales[[#This Row],[Revenue]]</f>
        <v>0.5625</v>
      </c>
      <c r="S236" s="19"/>
      <c r="T236" s="19" t="str">
        <f>UPPER(TEXT(ShoeSales[[#This Row],[Date]], "mmm"))</f>
        <v>JUN</v>
      </c>
    </row>
    <row r="237" spans="1:20" ht="14.25" customHeight="1" x14ac:dyDescent="0.25">
      <c r="A237" s="15">
        <v>46194</v>
      </c>
      <c r="B237" s="9" t="s">
        <v>44</v>
      </c>
      <c r="C237" s="9" t="str">
        <f>TRIM(PROPER(ShoeSales[[#This Row],[Product]]))</f>
        <v>Boots</v>
      </c>
      <c r="D237" s="9" t="s">
        <v>28</v>
      </c>
      <c r="E237" s="45" t="str">
        <f>UPPER(ShoeSales[[#This Row],[Category]])</f>
        <v>FORMAL</v>
      </c>
      <c r="F237" s="9" t="s">
        <v>56</v>
      </c>
      <c r="G237" s="9" t="s">
        <v>63</v>
      </c>
      <c r="H237" s="9" t="str">
        <f>PROPER(ShoeSales[[#This Row],[Brand]])</f>
        <v>Clarks</v>
      </c>
      <c r="I237" s="9" t="s">
        <v>53</v>
      </c>
      <c r="J237" s="10">
        <v>14</v>
      </c>
      <c r="K237" s="9" t="s">
        <v>36</v>
      </c>
      <c r="L237" s="22">
        <f>VLOOKUP(ShoeSales[[#This Row],[Product Cleaned]],Price!$A$2:$C$9,2,FALSE)</f>
        <v>76</v>
      </c>
      <c r="M237" s="19">
        <f>_xlfn.XLOOKUP(ShoeSales[[#This Row],[Product Cleaned]],Price!$A$2:$A$9,Price!$B$2:$B$9)</f>
        <v>76</v>
      </c>
      <c r="N237" s="19">
        <f>_xlfn.XLOOKUP(ShoeSales[[#This Row],[Product Cleaned]],Price!$A$2:$A$9,Price!$C$2:$C$9)</f>
        <v>39</v>
      </c>
      <c r="O237" s="22">
        <f>ShoeSales[[#This Row],[Sell Price]]*ShoeSales[[#This Row],[Quantity]]</f>
        <v>1064</v>
      </c>
      <c r="P237" s="19">
        <f>ShoeSales[[#This Row],[Quantity]]*ShoeSales[[#This Row],[Cost Price]]</f>
        <v>546</v>
      </c>
      <c r="Q237" s="19">
        <f>ShoeSales[[#This Row],[Revenue]]-ShoeSales[[#This Row],[Cost]]</f>
        <v>518</v>
      </c>
      <c r="R237" s="24">
        <f>ShoeSales[[#This Row],[Profit]]/ShoeSales[[#This Row],[Revenue]]</f>
        <v>0.48684210526315791</v>
      </c>
      <c r="S237" s="19"/>
      <c r="T237" s="19" t="str">
        <f>UPPER(TEXT(ShoeSales[[#This Row],[Date]], "mmm"))</f>
        <v>JUN</v>
      </c>
    </row>
    <row r="238" spans="1:20" ht="14.25" customHeight="1" x14ac:dyDescent="0.25">
      <c r="A238" s="14">
        <v>46140</v>
      </c>
      <c r="B238" s="6" t="s">
        <v>33</v>
      </c>
      <c r="C238" s="16" t="str">
        <f>TRIM(PROPER(ShoeSales[[#This Row],[Product]]))</f>
        <v>Loafers</v>
      </c>
      <c r="D238" s="6" t="s">
        <v>89</v>
      </c>
      <c r="E238" s="44" t="str">
        <f>UPPER(ShoeSales[[#This Row],[Category]])</f>
        <v>OPEN</v>
      </c>
      <c r="F238" s="6" t="s">
        <v>49</v>
      </c>
      <c r="G238" s="6" t="s">
        <v>94</v>
      </c>
      <c r="H238" s="16" t="str">
        <f>PROPER(ShoeSales[[#This Row],[Brand]])</f>
        <v>Timberland</v>
      </c>
      <c r="I238" s="6" t="s">
        <v>31</v>
      </c>
      <c r="J238" s="7">
        <v>6</v>
      </c>
      <c r="K238" s="6" t="s">
        <v>62</v>
      </c>
      <c r="L238" s="22">
        <f>VLOOKUP(ShoeSales[[#This Row],[Product Cleaned]],Price!$A$2:$C$9,2,FALSE)</f>
        <v>54</v>
      </c>
      <c r="M238" s="19">
        <f>_xlfn.XLOOKUP(ShoeSales[[#This Row],[Product Cleaned]],Price!$A$2:$A$9,Price!$B$2:$B$9)</f>
        <v>54</v>
      </c>
      <c r="N238" s="19">
        <f>_xlfn.XLOOKUP(ShoeSales[[#This Row],[Product Cleaned]],Price!$A$2:$A$9,Price!$C$2:$C$9)</f>
        <v>28</v>
      </c>
      <c r="O238" s="22">
        <f>ShoeSales[[#This Row],[Sell Price]]*ShoeSales[[#This Row],[Quantity]]</f>
        <v>324</v>
      </c>
      <c r="P238" s="19">
        <f>ShoeSales[[#This Row],[Quantity]]*ShoeSales[[#This Row],[Cost Price]]</f>
        <v>168</v>
      </c>
      <c r="Q238" s="19">
        <f>ShoeSales[[#This Row],[Revenue]]-ShoeSales[[#This Row],[Cost]]</f>
        <v>156</v>
      </c>
      <c r="R238" s="24">
        <f>ShoeSales[[#This Row],[Profit]]/ShoeSales[[#This Row],[Revenue]]</f>
        <v>0.48148148148148145</v>
      </c>
      <c r="S238" s="19"/>
      <c r="T238" s="19" t="str">
        <f>UPPER(TEXT(ShoeSales[[#This Row],[Date]], "mmm"))</f>
        <v>APR</v>
      </c>
    </row>
    <row r="239" spans="1:20" ht="14.25" customHeight="1" x14ac:dyDescent="0.25">
      <c r="A239" s="15">
        <v>46216</v>
      </c>
      <c r="B239" s="9" t="s">
        <v>7</v>
      </c>
      <c r="C239" s="9" t="str">
        <f>TRIM(PROPER(ShoeSales[[#This Row],[Product]]))</f>
        <v>Derby</v>
      </c>
      <c r="D239" s="9" t="s">
        <v>45</v>
      </c>
      <c r="E239" s="45" t="str">
        <f>UPPER(ShoeSales[[#This Row],[Category]])</f>
        <v>CASUAL</v>
      </c>
      <c r="F239" s="9" t="s">
        <v>56</v>
      </c>
      <c r="G239" s="9" t="s">
        <v>82</v>
      </c>
      <c r="H239" s="9" t="str">
        <f>PROPER(ShoeSales[[#This Row],[Brand]])</f>
        <v>Zara</v>
      </c>
      <c r="I239" s="9" t="s">
        <v>78</v>
      </c>
      <c r="J239" s="10">
        <v>12</v>
      </c>
      <c r="K239" s="9" t="s">
        <v>54</v>
      </c>
      <c r="L239" s="22">
        <f>VLOOKUP(ShoeSales[[#This Row],[Product Cleaned]],Price!$A$2:$C$9,2,FALSE)</f>
        <v>32</v>
      </c>
      <c r="M239" s="19">
        <f>_xlfn.XLOOKUP(ShoeSales[[#This Row],[Product Cleaned]],Price!$A$2:$A$9,Price!$B$2:$B$9)</f>
        <v>32</v>
      </c>
      <c r="N239" s="19">
        <f>_xlfn.XLOOKUP(ShoeSales[[#This Row],[Product Cleaned]],Price!$A$2:$A$9,Price!$C$2:$C$9)</f>
        <v>14</v>
      </c>
      <c r="O239" s="22">
        <f>ShoeSales[[#This Row],[Sell Price]]*ShoeSales[[#This Row],[Quantity]]</f>
        <v>384</v>
      </c>
      <c r="P239" s="19">
        <f>ShoeSales[[#This Row],[Quantity]]*ShoeSales[[#This Row],[Cost Price]]</f>
        <v>168</v>
      </c>
      <c r="Q239" s="19">
        <f>ShoeSales[[#This Row],[Revenue]]-ShoeSales[[#This Row],[Cost]]</f>
        <v>216</v>
      </c>
      <c r="R239" s="24">
        <f>ShoeSales[[#This Row],[Profit]]/ShoeSales[[#This Row],[Revenue]]</f>
        <v>0.5625</v>
      </c>
      <c r="S239" s="19"/>
      <c r="T239" s="19" t="str">
        <f>UPPER(TEXT(ShoeSales[[#This Row],[Date]], "mmm"))</f>
        <v>JUL</v>
      </c>
    </row>
    <row r="240" spans="1:20" ht="14.25" customHeight="1" x14ac:dyDescent="0.25">
      <c r="A240" s="14">
        <v>46023</v>
      </c>
      <c r="B240" s="6" t="s">
        <v>88</v>
      </c>
      <c r="C240" s="16" t="str">
        <f>TRIM(PROPER(ShoeSales[[#This Row],[Product]]))</f>
        <v>Slippers</v>
      </c>
      <c r="D240" s="6" t="s">
        <v>71</v>
      </c>
      <c r="E240" s="44" t="str">
        <f>UPPER(ShoeSales[[#This Row],[Category]])</f>
        <v>CASUAL</v>
      </c>
      <c r="F240" s="6" t="s">
        <v>34</v>
      </c>
      <c r="G240" s="6" t="s">
        <v>39</v>
      </c>
      <c r="H240" s="16" t="str">
        <f>PROPER(ShoeSales[[#This Row],[Brand]])</f>
        <v>Clarks</v>
      </c>
      <c r="I240" s="6" t="s">
        <v>53</v>
      </c>
      <c r="J240" s="7">
        <v>9</v>
      </c>
      <c r="K240" s="6" t="s">
        <v>54</v>
      </c>
      <c r="L240" s="22">
        <f>VLOOKUP(ShoeSales[[#This Row],[Product Cleaned]],Price!$A$2:$C$9,2,FALSE)</f>
        <v>119</v>
      </c>
      <c r="M240" s="19">
        <f>_xlfn.XLOOKUP(ShoeSales[[#This Row],[Product Cleaned]],Price!$A$2:$A$9,Price!$B$2:$B$9)</f>
        <v>119</v>
      </c>
      <c r="N240" s="19">
        <f>_xlfn.XLOOKUP(ShoeSales[[#This Row],[Product Cleaned]],Price!$A$2:$A$9,Price!$C$2:$C$9)</f>
        <v>67</v>
      </c>
      <c r="O240" s="22">
        <f>ShoeSales[[#This Row],[Sell Price]]*ShoeSales[[#This Row],[Quantity]]</f>
        <v>1071</v>
      </c>
      <c r="P240" s="19">
        <f>ShoeSales[[#This Row],[Quantity]]*ShoeSales[[#This Row],[Cost Price]]</f>
        <v>603</v>
      </c>
      <c r="Q240" s="19">
        <f>ShoeSales[[#This Row],[Revenue]]-ShoeSales[[#This Row],[Cost]]</f>
        <v>468</v>
      </c>
      <c r="R240" s="24">
        <f>ShoeSales[[#This Row],[Profit]]/ShoeSales[[#This Row],[Revenue]]</f>
        <v>0.43697478991596639</v>
      </c>
      <c r="S240" s="19"/>
      <c r="T240" s="19" t="str">
        <f>UPPER(TEXT(ShoeSales[[#This Row],[Date]], "mmm"))</f>
        <v>JAN</v>
      </c>
    </row>
    <row r="241" spans="1:20" ht="14.25" customHeight="1" x14ac:dyDescent="0.25">
      <c r="A241" s="15">
        <v>46171</v>
      </c>
      <c r="B241" s="9" t="s">
        <v>41</v>
      </c>
      <c r="C241" s="9" t="str">
        <f>TRIM(PROPER(ShoeSales[[#This Row],[Product]]))</f>
        <v>Boots</v>
      </c>
      <c r="D241" s="9" t="s">
        <v>48</v>
      </c>
      <c r="E241" s="45" t="str">
        <f>UPPER(ShoeSales[[#This Row],[Category]])</f>
        <v>UTILITY</v>
      </c>
      <c r="F241" s="9" t="s">
        <v>29</v>
      </c>
      <c r="G241" s="9" t="s">
        <v>69</v>
      </c>
      <c r="H241" s="9" t="str">
        <f>PROPER(ShoeSales[[#This Row],[Brand]])</f>
        <v>Zara</v>
      </c>
      <c r="I241" s="9" t="s">
        <v>64</v>
      </c>
      <c r="J241" s="10">
        <v>7</v>
      </c>
      <c r="K241" s="9" t="s">
        <v>36</v>
      </c>
      <c r="L241" s="22">
        <f>VLOOKUP(ShoeSales[[#This Row],[Product Cleaned]],Price!$A$2:$C$9,2,FALSE)</f>
        <v>76</v>
      </c>
      <c r="M241" s="19">
        <f>_xlfn.XLOOKUP(ShoeSales[[#This Row],[Product Cleaned]],Price!$A$2:$A$9,Price!$B$2:$B$9)</f>
        <v>76</v>
      </c>
      <c r="N241" s="19">
        <f>_xlfn.XLOOKUP(ShoeSales[[#This Row],[Product Cleaned]],Price!$A$2:$A$9,Price!$C$2:$C$9)</f>
        <v>39</v>
      </c>
      <c r="O241" s="22">
        <f>ShoeSales[[#This Row],[Sell Price]]*ShoeSales[[#This Row],[Quantity]]</f>
        <v>532</v>
      </c>
      <c r="P241" s="19">
        <f>ShoeSales[[#This Row],[Quantity]]*ShoeSales[[#This Row],[Cost Price]]</f>
        <v>273</v>
      </c>
      <c r="Q241" s="19">
        <f>ShoeSales[[#This Row],[Revenue]]-ShoeSales[[#This Row],[Cost]]</f>
        <v>259</v>
      </c>
      <c r="R241" s="24">
        <f>ShoeSales[[#This Row],[Profit]]/ShoeSales[[#This Row],[Revenue]]</f>
        <v>0.48684210526315791</v>
      </c>
      <c r="S241" s="19"/>
      <c r="T241" s="19" t="str">
        <f>UPPER(TEXT(ShoeSales[[#This Row],[Date]], "mmm"))</f>
        <v>MAY</v>
      </c>
    </row>
    <row r="242" spans="1:20" ht="14.25" customHeight="1" x14ac:dyDescent="0.25">
      <c r="A242" s="14">
        <v>46066</v>
      </c>
      <c r="B242" s="6" t="s">
        <v>85</v>
      </c>
      <c r="C242" s="16" t="str">
        <f>TRIM(PROPER(ShoeSales[[#This Row],[Product]]))</f>
        <v>Brogues</v>
      </c>
      <c r="D242" s="6" t="s">
        <v>45</v>
      </c>
      <c r="E242" s="44" t="str">
        <f>UPPER(ShoeSales[[#This Row],[Category]])</f>
        <v>CASUAL</v>
      </c>
      <c r="F242" s="6" t="s">
        <v>49</v>
      </c>
      <c r="G242" s="6" t="s">
        <v>82</v>
      </c>
      <c r="H242" s="16" t="str">
        <f>PROPER(ShoeSales[[#This Row],[Brand]])</f>
        <v>Zara</v>
      </c>
      <c r="I242" s="6" t="s">
        <v>73</v>
      </c>
      <c r="J242" s="7">
        <v>13</v>
      </c>
      <c r="K242" s="6" t="s">
        <v>54</v>
      </c>
      <c r="L242" s="22">
        <f>VLOOKUP(ShoeSales[[#This Row],[Product Cleaned]],Price!$A$2:$C$9,2,FALSE)</f>
        <v>112</v>
      </c>
      <c r="M242" s="19">
        <f>_xlfn.XLOOKUP(ShoeSales[[#This Row],[Product Cleaned]],Price!$A$2:$A$9,Price!$B$2:$B$9)</f>
        <v>112</v>
      </c>
      <c r="N242" s="19">
        <f>_xlfn.XLOOKUP(ShoeSales[[#This Row],[Product Cleaned]],Price!$A$2:$A$9,Price!$C$2:$C$9)</f>
        <v>64</v>
      </c>
      <c r="O242" s="22">
        <f>ShoeSales[[#This Row],[Sell Price]]*ShoeSales[[#This Row],[Quantity]]</f>
        <v>1456</v>
      </c>
      <c r="P242" s="19">
        <f>ShoeSales[[#This Row],[Quantity]]*ShoeSales[[#This Row],[Cost Price]]</f>
        <v>832</v>
      </c>
      <c r="Q242" s="19">
        <f>ShoeSales[[#This Row],[Revenue]]-ShoeSales[[#This Row],[Cost]]</f>
        <v>624</v>
      </c>
      <c r="R242" s="24">
        <f>ShoeSales[[#This Row],[Profit]]/ShoeSales[[#This Row],[Revenue]]</f>
        <v>0.42857142857142855</v>
      </c>
      <c r="S242" s="19"/>
      <c r="T242" s="19" t="str">
        <f>UPPER(TEXT(ShoeSales[[#This Row],[Date]], "mmm"))</f>
        <v>FEB</v>
      </c>
    </row>
    <row r="243" spans="1:20" ht="14.25" customHeight="1" x14ac:dyDescent="0.25">
      <c r="A243" s="15">
        <v>46147</v>
      </c>
      <c r="B243" s="9" t="s">
        <v>83</v>
      </c>
      <c r="C243" s="9" t="str">
        <f>TRIM(PROPER(ShoeSales[[#This Row],[Product]]))</f>
        <v>Monk Straps</v>
      </c>
      <c r="D243" s="9" t="s">
        <v>48</v>
      </c>
      <c r="E243" s="45" t="str">
        <f>UPPER(ShoeSales[[#This Row],[Category]])</f>
        <v>UTILITY</v>
      </c>
      <c r="F243" s="9" t="s">
        <v>29</v>
      </c>
      <c r="G243" s="9" t="s">
        <v>39</v>
      </c>
      <c r="H243" s="9" t="str">
        <f>PROPER(ShoeSales[[#This Row],[Brand]])</f>
        <v>Clarks</v>
      </c>
      <c r="I243" s="9" t="s">
        <v>53</v>
      </c>
      <c r="J243" s="10">
        <v>8</v>
      </c>
      <c r="K243" s="9" t="s">
        <v>32</v>
      </c>
      <c r="L243" s="22">
        <f>VLOOKUP(ShoeSales[[#This Row],[Product Cleaned]],Price!$A$2:$C$9,2,FALSE)</f>
        <v>89</v>
      </c>
      <c r="M243" s="19">
        <f>_xlfn.XLOOKUP(ShoeSales[[#This Row],[Product Cleaned]],Price!$A$2:$A$9,Price!$B$2:$B$9)</f>
        <v>89</v>
      </c>
      <c r="N243" s="19">
        <f>_xlfn.XLOOKUP(ShoeSales[[#This Row],[Product Cleaned]],Price!$A$2:$A$9,Price!$C$2:$C$9)</f>
        <v>47</v>
      </c>
      <c r="O243" s="22">
        <f>ShoeSales[[#This Row],[Sell Price]]*ShoeSales[[#This Row],[Quantity]]</f>
        <v>712</v>
      </c>
      <c r="P243" s="19">
        <f>ShoeSales[[#This Row],[Quantity]]*ShoeSales[[#This Row],[Cost Price]]</f>
        <v>376</v>
      </c>
      <c r="Q243" s="19">
        <f>ShoeSales[[#This Row],[Revenue]]-ShoeSales[[#This Row],[Cost]]</f>
        <v>336</v>
      </c>
      <c r="R243" s="24">
        <f>ShoeSales[[#This Row],[Profit]]/ShoeSales[[#This Row],[Revenue]]</f>
        <v>0.47191011235955055</v>
      </c>
      <c r="S243" s="19"/>
      <c r="T243" s="19" t="str">
        <f>UPPER(TEXT(ShoeSales[[#This Row],[Date]], "mmm"))</f>
        <v>MAY</v>
      </c>
    </row>
    <row r="244" spans="1:20" ht="14.25" customHeight="1" x14ac:dyDescent="0.25">
      <c r="A244" s="14">
        <v>46041</v>
      </c>
      <c r="B244" s="6" t="s">
        <v>33</v>
      </c>
      <c r="C244" s="16" t="str">
        <f>TRIM(PROPER(ShoeSales[[#This Row],[Product]]))</f>
        <v>Loafers</v>
      </c>
      <c r="D244" s="6" t="s">
        <v>37</v>
      </c>
      <c r="E244" s="44" t="str">
        <f>UPPER(ShoeSales[[#This Row],[Category]])</f>
        <v>FORMAL</v>
      </c>
      <c r="F244" s="6" t="s">
        <v>34</v>
      </c>
      <c r="G244" s="6" t="s">
        <v>50</v>
      </c>
      <c r="H244" s="16" t="str">
        <f>PROPER(ShoeSales[[#This Row],[Brand]])</f>
        <v>Nike</v>
      </c>
      <c r="I244" s="6" t="s">
        <v>47</v>
      </c>
      <c r="J244" s="7">
        <v>6</v>
      </c>
      <c r="K244" s="6" t="s">
        <v>54</v>
      </c>
      <c r="L244" s="22">
        <f>VLOOKUP(ShoeSales[[#This Row],[Product Cleaned]],Price!$A$2:$C$9,2,FALSE)</f>
        <v>54</v>
      </c>
      <c r="M244" s="19">
        <f>_xlfn.XLOOKUP(ShoeSales[[#This Row],[Product Cleaned]],Price!$A$2:$A$9,Price!$B$2:$B$9)</f>
        <v>54</v>
      </c>
      <c r="N244" s="19">
        <f>_xlfn.XLOOKUP(ShoeSales[[#This Row],[Product Cleaned]],Price!$A$2:$A$9,Price!$C$2:$C$9)</f>
        <v>28</v>
      </c>
      <c r="O244" s="22">
        <f>ShoeSales[[#This Row],[Sell Price]]*ShoeSales[[#This Row],[Quantity]]</f>
        <v>324</v>
      </c>
      <c r="P244" s="19">
        <f>ShoeSales[[#This Row],[Quantity]]*ShoeSales[[#This Row],[Cost Price]]</f>
        <v>168</v>
      </c>
      <c r="Q244" s="19">
        <f>ShoeSales[[#This Row],[Revenue]]-ShoeSales[[#This Row],[Cost]]</f>
        <v>156</v>
      </c>
      <c r="R244" s="24">
        <f>ShoeSales[[#This Row],[Profit]]/ShoeSales[[#This Row],[Revenue]]</f>
        <v>0.48148148148148145</v>
      </c>
      <c r="S244" s="19"/>
      <c r="T244" s="19" t="str">
        <f>UPPER(TEXT(ShoeSales[[#This Row],[Date]], "mmm"))</f>
        <v>JAN</v>
      </c>
    </row>
    <row r="245" spans="1:20" ht="14.25" customHeight="1" x14ac:dyDescent="0.25">
      <c r="A245" s="15">
        <v>46224</v>
      </c>
      <c r="B245" s="9" t="s">
        <v>10</v>
      </c>
      <c r="C245" s="9" t="str">
        <f>TRIM(PROPER(ShoeSales[[#This Row],[Product]]))</f>
        <v>Oxford</v>
      </c>
      <c r="D245" s="9" t="s">
        <v>28</v>
      </c>
      <c r="E245" s="45" t="str">
        <f>UPPER(ShoeSales[[#This Row],[Category]])</f>
        <v>FORMAL</v>
      </c>
      <c r="F245" s="9" t="s">
        <v>38</v>
      </c>
      <c r="G245" s="9" t="s">
        <v>50</v>
      </c>
      <c r="H245" s="9" t="str">
        <f>PROPER(ShoeSales[[#This Row],[Brand]])</f>
        <v>Nike</v>
      </c>
      <c r="I245" s="9" t="s">
        <v>53</v>
      </c>
      <c r="J245" s="10">
        <v>13</v>
      </c>
      <c r="K245" s="9" t="s">
        <v>32</v>
      </c>
      <c r="L245" s="22">
        <f>VLOOKUP(ShoeSales[[#This Row],[Product Cleaned]],Price!$A$2:$C$9,2,FALSE)</f>
        <v>105</v>
      </c>
      <c r="M245" s="19">
        <f>_xlfn.XLOOKUP(ShoeSales[[#This Row],[Product Cleaned]],Price!$A$2:$A$9,Price!$B$2:$B$9)</f>
        <v>105</v>
      </c>
      <c r="N245" s="19">
        <f>_xlfn.XLOOKUP(ShoeSales[[#This Row],[Product Cleaned]],Price!$A$2:$A$9,Price!$C$2:$C$9)</f>
        <v>58</v>
      </c>
      <c r="O245" s="22">
        <f>ShoeSales[[#This Row],[Sell Price]]*ShoeSales[[#This Row],[Quantity]]</f>
        <v>1365</v>
      </c>
      <c r="P245" s="19">
        <f>ShoeSales[[#This Row],[Quantity]]*ShoeSales[[#This Row],[Cost Price]]</f>
        <v>754</v>
      </c>
      <c r="Q245" s="19">
        <f>ShoeSales[[#This Row],[Revenue]]-ShoeSales[[#This Row],[Cost]]</f>
        <v>611</v>
      </c>
      <c r="R245" s="24">
        <f>ShoeSales[[#This Row],[Profit]]/ShoeSales[[#This Row],[Revenue]]</f>
        <v>0.44761904761904764</v>
      </c>
      <c r="S245" s="19"/>
      <c r="T245" s="19" t="str">
        <f>UPPER(TEXT(ShoeSales[[#This Row],[Date]], "mmm"))</f>
        <v>JUL</v>
      </c>
    </row>
    <row r="246" spans="1:20" ht="14.25" customHeight="1" x14ac:dyDescent="0.25">
      <c r="A246" s="14">
        <v>46203</v>
      </c>
      <c r="B246" s="6" t="s">
        <v>8</v>
      </c>
      <c r="C246" s="16" t="str">
        <f>TRIM(PROPER(ShoeSales[[#This Row],[Product]]))</f>
        <v>Boots</v>
      </c>
      <c r="D246" s="6" t="s">
        <v>28</v>
      </c>
      <c r="E246" s="44" t="str">
        <f>UPPER(ShoeSales[[#This Row],[Category]])</f>
        <v>FORMAL</v>
      </c>
      <c r="F246" s="6" t="s">
        <v>38</v>
      </c>
      <c r="G246" s="6" t="s">
        <v>72</v>
      </c>
      <c r="H246" s="16" t="str">
        <f>PROPER(ShoeSales[[#This Row],[Brand]])</f>
        <v>Zara</v>
      </c>
      <c r="I246" s="6" t="s">
        <v>53</v>
      </c>
      <c r="J246" s="7">
        <v>7</v>
      </c>
      <c r="K246" s="6" t="s">
        <v>32</v>
      </c>
      <c r="L246" s="22">
        <f>VLOOKUP(ShoeSales[[#This Row],[Product Cleaned]],Price!$A$2:$C$9,2,FALSE)</f>
        <v>76</v>
      </c>
      <c r="M246" s="19">
        <f>_xlfn.XLOOKUP(ShoeSales[[#This Row],[Product Cleaned]],Price!$A$2:$A$9,Price!$B$2:$B$9)</f>
        <v>76</v>
      </c>
      <c r="N246" s="19">
        <f>_xlfn.XLOOKUP(ShoeSales[[#This Row],[Product Cleaned]],Price!$A$2:$A$9,Price!$C$2:$C$9)</f>
        <v>39</v>
      </c>
      <c r="O246" s="22">
        <f>ShoeSales[[#This Row],[Sell Price]]*ShoeSales[[#This Row],[Quantity]]</f>
        <v>532</v>
      </c>
      <c r="P246" s="19">
        <f>ShoeSales[[#This Row],[Quantity]]*ShoeSales[[#This Row],[Cost Price]]</f>
        <v>273</v>
      </c>
      <c r="Q246" s="19">
        <f>ShoeSales[[#This Row],[Revenue]]-ShoeSales[[#This Row],[Cost]]</f>
        <v>259</v>
      </c>
      <c r="R246" s="24">
        <f>ShoeSales[[#This Row],[Profit]]/ShoeSales[[#This Row],[Revenue]]</f>
        <v>0.48684210526315791</v>
      </c>
      <c r="S246" s="19"/>
      <c r="T246" s="19" t="str">
        <f>UPPER(TEXT(ShoeSales[[#This Row],[Date]], "mmm"))</f>
        <v>JUN</v>
      </c>
    </row>
    <row r="247" spans="1:20" ht="14.25" customHeight="1" x14ac:dyDescent="0.25">
      <c r="A247" s="15">
        <v>46244</v>
      </c>
      <c r="B247" s="9" t="s">
        <v>10</v>
      </c>
      <c r="C247" s="9" t="str">
        <f>TRIM(PROPER(ShoeSales[[#This Row],[Product]]))</f>
        <v>Oxford</v>
      </c>
      <c r="D247" s="9" t="s">
        <v>87</v>
      </c>
      <c r="E247" s="45" t="str">
        <f>UPPER(ShoeSales[[#This Row],[Category]])</f>
        <v>OPEN</v>
      </c>
      <c r="F247" s="9" t="s">
        <v>38</v>
      </c>
      <c r="G247" s="9" t="s">
        <v>35</v>
      </c>
      <c r="H247" s="9" t="str">
        <f>PROPER(ShoeSales[[#This Row],[Brand]])</f>
        <v>Nike</v>
      </c>
      <c r="I247" s="9" t="s">
        <v>51</v>
      </c>
      <c r="J247" s="10">
        <v>9</v>
      </c>
      <c r="K247" s="9" t="s">
        <v>32</v>
      </c>
      <c r="L247" s="22">
        <f>VLOOKUP(ShoeSales[[#This Row],[Product Cleaned]],Price!$A$2:$C$9,2,FALSE)</f>
        <v>105</v>
      </c>
      <c r="M247" s="19">
        <f>_xlfn.XLOOKUP(ShoeSales[[#This Row],[Product Cleaned]],Price!$A$2:$A$9,Price!$B$2:$B$9)</f>
        <v>105</v>
      </c>
      <c r="N247" s="19">
        <f>_xlfn.XLOOKUP(ShoeSales[[#This Row],[Product Cleaned]],Price!$A$2:$A$9,Price!$C$2:$C$9)</f>
        <v>58</v>
      </c>
      <c r="O247" s="22">
        <f>ShoeSales[[#This Row],[Sell Price]]*ShoeSales[[#This Row],[Quantity]]</f>
        <v>945</v>
      </c>
      <c r="P247" s="19">
        <f>ShoeSales[[#This Row],[Quantity]]*ShoeSales[[#This Row],[Cost Price]]</f>
        <v>522</v>
      </c>
      <c r="Q247" s="19">
        <f>ShoeSales[[#This Row],[Revenue]]-ShoeSales[[#This Row],[Cost]]</f>
        <v>423</v>
      </c>
      <c r="R247" s="24">
        <f>ShoeSales[[#This Row],[Profit]]/ShoeSales[[#This Row],[Revenue]]</f>
        <v>0.44761904761904764</v>
      </c>
      <c r="S247" s="19"/>
      <c r="T247" s="19" t="str">
        <f>UPPER(TEXT(ShoeSales[[#This Row],[Date]], "mmm"))</f>
        <v>AUG</v>
      </c>
    </row>
    <row r="248" spans="1:20" ht="14.25" customHeight="1" x14ac:dyDescent="0.25">
      <c r="A248" s="14">
        <v>46122</v>
      </c>
      <c r="B248" s="6" t="s">
        <v>7</v>
      </c>
      <c r="C248" s="16" t="str">
        <f>TRIM(PROPER(ShoeSales[[#This Row],[Product]]))</f>
        <v>Derby</v>
      </c>
      <c r="D248" s="6" t="s">
        <v>42</v>
      </c>
      <c r="E248" s="44" t="str">
        <f>UPPER(ShoeSales[[#This Row],[Category]])</f>
        <v>UTILITY</v>
      </c>
      <c r="F248" s="6" t="s">
        <v>56</v>
      </c>
      <c r="G248" s="6" t="s">
        <v>81</v>
      </c>
      <c r="H248" s="16" t="str">
        <f>PROPER(ShoeSales[[#This Row],[Brand]])</f>
        <v>Steve Madden</v>
      </c>
      <c r="I248" s="6" t="s">
        <v>43</v>
      </c>
      <c r="J248" s="7">
        <v>3</v>
      </c>
      <c r="K248" s="6" t="s">
        <v>32</v>
      </c>
      <c r="L248" s="22">
        <f>VLOOKUP(ShoeSales[[#This Row],[Product Cleaned]],Price!$A$2:$C$9,2,FALSE)</f>
        <v>32</v>
      </c>
      <c r="M248" s="19">
        <f>_xlfn.XLOOKUP(ShoeSales[[#This Row],[Product Cleaned]],Price!$A$2:$A$9,Price!$B$2:$B$9)</f>
        <v>32</v>
      </c>
      <c r="N248" s="19">
        <f>_xlfn.XLOOKUP(ShoeSales[[#This Row],[Product Cleaned]],Price!$A$2:$A$9,Price!$C$2:$C$9)</f>
        <v>14</v>
      </c>
      <c r="O248" s="22">
        <f>ShoeSales[[#This Row],[Sell Price]]*ShoeSales[[#This Row],[Quantity]]</f>
        <v>96</v>
      </c>
      <c r="P248" s="19">
        <f>ShoeSales[[#This Row],[Quantity]]*ShoeSales[[#This Row],[Cost Price]]</f>
        <v>42</v>
      </c>
      <c r="Q248" s="19">
        <f>ShoeSales[[#This Row],[Revenue]]-ShoeSales[[#This Row],[Cost]]</f>
        <v>54</v>
      </c>
      <c r="R248" s="24">
        <f>ShoeSales[[#This Row],[Profit]]/ShoeSales[[#This Row],[Revenue]]</f>
        <v>0.5625</v>
      </c>
      <c r="S248" s="19"/>
      <c r="T248" s="19" t="str">
        <f>UPPER(TEXT(ShoeSales[[#This Row],[Date]], "mmm"))</f>
        <v>APR</v>
      </c>
    </row>
    <row r="249" spans="1:20" ht="14.25" customHeight="1" x14ac:dyDescent="0.25">
      <c r="A249" s="15">
        <v>46180</v>
      </c>
      <c r="B249" s="9" t="s">
        <v>83</v>
      </c>
      <c r="C249" s="9" t="str">
        <f>TRIM(PROPER(ShoeSales[[#This Row],[Product]]))</f>
        <v>Monk Straps</v>
      </c>
      <c r="D249" s="9" t="s">
        <v>74</v>
      </c>
      <c r="E249" s="45" t="str">
        <f>UPPER(ShoeSales[[#This Row],[Category]])</f>
        <v>OPEN</v>
      </c>
      <c r="F249" s="9" t="s">
        <v>38</v>
      </c>
      <c r="G249" s="9" t="s">
        <v>95</v>
      </c>
      <c r="H249" s="9" t="str">
        <f>PROPER(ShoeSales[[#This Row],[Brand]])</f>
        <v>Timberland</v>
      </c>
      <c r="I249" s="9" t="s">
        <v>47</v>
      </c>
      <c r="J249" s="10">
        <v>11</v>
      </c>
      <c r="K249" s="9" t="s">
        <v>62</v>
      </c>
      <c r="L249" s="22">
        <f>VLOOKUP(ShoeSales[[#This Row],[Product Cleaned]],Price!$A$2:$C$9,2,FALSE)</f>
        <v>89</v>
      </c>
      <c r="M249" s="19">
        <f>_xlfn.XLOOKUP(ShoeSales[[#This Row],[Product Cleaned]],Price!$A$2:$A$9,Price!$B$2:$B$9)</f>
        <v>89</v>
      </c>
      <c r="N249" s="19">
        <f>_xlfn.XLOOKUP(ShoeSales[[#This Row],[Product Cleaned]],Price!$A$2:$A$9,Price!$C$2:$C$9)</f>
        <v>47</v>
      </c>
      <c r="O249" s="22">
        <f>ShoeSales[[#This Row],[Sell Price]]*ShoeSales[[#This Row],[Quantity]]</f>
        <v>979</v>
      </c>
      <c r="P249" s="19">
        <f>ShoeSales[[#This Row],[Quantity]]*ShoeSales[[#This Row],[Cost Price]]</f>
        <v>517</v>
      </c>
      <c r="Q249" s="19">
        <f>ShoeSales[[#This Row],[Revenue]]-ShoeSales[[#This Row],[Cost]]</f>
        <v>462</v>
      </c>
      <c r="R249" s="24">
        <f>ShoeSales[[#This Row],[Profit]]/ShoeSales[[#This Row],[Revenue]]</f>
        <v>0.47191011235955055</v>
      </c>
      <c r="S249" s="19"/>
      <c r="T249" s="19" t="str">
        <f>UPPER(TEXT(ShoeSales[[#This Row],[Date]], "mmm"))</f>
        <v>JUN</v>
      </c>
    </row>
    <row r="250" spans="1:20" ht="14.25" customHeight="1" x14ac:dyDescent="0.25">
      <c r="A250" s="14">
        <v>46200</v>
      </c>
      <c r="B250" s="6" t="s">
        <v>92</v>
      </c>
      <c r="C250" s="16" t="str">
        <f>TRIM(PROPER(ShoeSales[[#This Row],[Product]]))</f>
        <v>Canvas</v>
      </c>
      <c r="D250" s="6" t="s">
        <v>71</v>
      </c>
      <c r="E250" s="44" t="str">
        <f>UPPER(ShoeSales[[#This Row],[Category]])</f>
        <v>CASUAL</v>
      </c>
      <c r="F250" s="6" t="s">
        <v>38</v>
      </c>
      <c r="G250" s="6" t="s">
        <v>63</v>
      </c>
      <c r="H250" s="16" t="str">
        <f>PROPER(ShoeSales[[#This Row],[Brand]])</f>
        <v>Clarks</v>
      </c>
      <c r="I250" s="6" t="s">
        <v>64</v>
      </c>
      <c r="J250" s="7">
        <v>15</v>
      </c>
      <c r="K250" s="6" t="s">
        <v>54</v>
      </c>
      <c r="L250" s="22">
        <f>VLOOKUP(ShoeSales[[#This Row],[Product Cleaned]],Price!$A$2:$C$9,2,FALSE)</f>
        <v>128</v>
      </c>
      <c r="M250" s="19">
        <f>_xlfn.XLOOKUP(ShoeSales[[#This Row],[Product Cleaned]],Price!$A$2:$A$9,Price!$B$2:$B$9)</f>
        <v>128</v>
      </c>
      <c r="N250" s="19">
        <f>_xlfn.XLOOKUP(ShoeSales[[#This Row],[Product Cleaned]],Price!$A$2:$A$9,Price!$C$2:$C$9)</f>
        <v>72</v>
      </c>
      <c r="O250" s="22">
        <f>ShoeSales[[#This Row],[Sell Price]]*ShoeSales[[#This Row],[Quantity]]</f>
        <v>1920</v>
      </c>
      <c r="P250" s="19">
        <f>ShoeSales[[#This Row],[Quantity]]*ShoeSales[[#This Row],[Cost Price]]</f>
        <v>1080</v>
      </c>
      <c r="Q250" s="19">
        <f>ShoeSales[[#This Row],[Revenue]]-ShoeSales[[#This Row],[Cost]]</f>
        <v>840</v>
      </c>
      <c r="R250" s="24">
        <f>ShoeSales[[#This Row],[Profit]]/ShoeSales[[#This Row],[Revenue]]</f>
        <v>0.4375</v>
      </c>
      <c r="S250" s="19"/>
      <c r="T250" s="19" t="str">
        <f>UPPER(TEXT(ShoeSales[[#This Row],[Date]], "mmm"))</f>
        <v>JUN</v>
      </c>
    </row>
    <row r="251" spans="1:20" ht="14.25" customHeight="1" x14ac:dyDescent="0.25">
      <c r="A251" s="15">
        <v>46167</v>
      </c>
      <c r="B251" s="9" t="s">
        <v>27</v>
      </c>
      <c r="C251" s="9" t="str">
        <f>TRIM(PROPER(ShoeSales[[#This Row],[Product]]))</f>
        <v>Monk Straps</v>
      </c>
      <c r="D251" s="9" t="s">
        <v>58</v>
      </c>
      <c r="E251" s="45" t="str">
        <f>UPPER(ShoeSales[[#This Row],[Category]])</f>
        <v>FORMAL</v>
      </c>
      <c r="F251" s="9" t="s">
        <v>38</v>
      </c>
      <c r="G251" s="9" t="s">
        <v>72</v>
      </c>
      <c r="H251" s="9" t="str">
        <f>PROPER(ShoeSales[[#This Row],[Brand]])</f>
        <v>Zara</v>
      </c>
      <c r="I251" s="9" t="s">
        <v>47</v>
      </c>
      <c r="J251" s="10">
        <v>9</v>
      </c>
      <c r="K251" s="9" t="s">
        <v>36</v>
      </c>
      <c r="L251" s="22">
        <f>VLOOKUP(ShoeSales[[#This Row],[Product Cleaned]],Price!$A$2:$C$9,2,FALSE)</f>
        <v>89</v>
      </c>
      <c r="M251" s="19">
        <f>_xlfn.XLOOKUP(ShoeSales[[#This Row],[Product Cleaned]],Price!$A$2:$A$9,Price!$B$2:$B$9)</f>
        <v>89</v>
      </c>
      <c r="N251" s="19">
        <f>_xlfn.XLOOKUP(ShoeSales[[#This Row],[Product Cleaned]],Price!$A$2:$A$9,Price!$C$2:$C$9)</f>
        <v>47</v>
      </c>
      <c r="O251" s="22">
        <f>ShoeSales[[#This Row],[Sell Price]]*ShoeSales[[#This Row],[Quantity]]</f>
        <v>801</v>
      </c>
      <c r="P251" s="19">
        <f>ShoeSales[[#This Row],[Quantity]]*ShoeSales[[#This Row],[Cost Price]]</f>
        <v>423</v>
      </c>
      <c r="Q251" s="19">
        <f>ShoeSales[[#This Row],[Revenue]]-ShoeSales[[#This Row],[Cost]]</f>
        <v>378</v>
      </c>
      <c r="R251" s="24">
        <f>ShoeSales[[#This Row],[Profit]]/ShoeSales[[#This Row],[Revenue]]</f>
        <v>0.47191011235955055</v>
      </c>
      <c r="S251" s="19"/>
      <c r="T251" s="19" t="str">
        <f>UPPER(TEXT(ShoeSales[[#This Row],[Date]], "mmm"))</f>
        <v>MAY</v>
      </c>
    </row>
    <row r="252" spans="1:20" ht="14.25" customHeight="1" x14ac:dyDescent="0.25">
      <c r="A252" s="14">
        <v>46236</v>
      </c>
      <c r="B252" s="6" t="s">
        <v>5</v>
      </c>
      <c r="C252" s="16" t="str">
        <f>TRIM(PROPER(ShoeSales[[#This Row],[Product]]))</f>
        <v>Monk Straps</v>
      </c>
      <c r="D252" s="6" t="s">
        <v>58</v>
      </c>
      <c r="E252" s="44" t="str">
        <f>UPPER(ShoeSales[[#This Row],[Category]])</f>
        <v>FORMAL</v>
      </c>
      <c r="F252" s="6" t="s">
        <v>29</v>
      </c>
      <c r="G252" s="6" t="s">
        <v>75</v>
      </c>
      <c r="H252" s="16" t="str">
        <f>PROPER(ShoeSales[[#This Row],[Brand]])</f>
        <v>Steve Madden</v>
      </c>
      <c r="I252" s="6" t="s">
        <v>53</v>
      </c>
      <c r="J252" s="7">
        <v>1</v>
      </c>
      <c r="K252" s="6" t="s">
        <v>62</v>
      </c>
      <c r="L252" s="22">
        <f>VLOOKUP(ShoeSales[[#This Row],[Product Cleaned]],Price!$A$2:$C$9,2,FALSE)</f>
        <v>89</v>
      </c>
      <c r="M252" s="19">
        <f>_xlfn.XLOOKUP(ShoeSales[[#This Row],[Product Cleaned]],Price!$A$2:$A$9,Price!$B$2:$B$9)</f>
        <v>89</v>
      </c>
      <c r="N252" s="19">
        <f>_xlfn.XLOOKUP(ShoeSales[[#This Row],[Product Cleaned]],Price!$A$2:$A$9,Price!$C$2:$C$9)</f>
        <v>47</v>
      </c>
      <c r="O252" s="22">
        <f>ShoeSales[[#This Row],[Sell Price]]*ShoeSales[[#This Row],[Quantity]]</f>
        <v>89</v>
      </c>
      <c r="P252" s="19">
        <f>ShoeSales[[#This Row],[Quantity]]*ShoeSales[[#This Row],[Cost Price]]</f>
        <v>47</v>
      </c>
      <c r="Q252" s="19">
        <f>ShoeSales[[#This Row],[Revenue]]-ShoeSales[[#This Row],[Cost]]</f>
        <v>42</v>
      </c>
      <c r="R252" s="24">
        <f>ShoeSales[[#This Row],[Profit]]/ShoeSales[[#This Row],[Revenue]]</f>
        <v>0.47191011235955055</v>
      </c>
      <c r="S252" s="19"/>
      <c r="T252" s="19" t="str">
        <f>UPPER(TEXT(ShoeSales[[#This Row],[Date]], "mmm"))</f>
        <v>AUG</v>
      </c>
    </row>
    <row r="253" spans="1:20" ht="14.25" customHeight="1" x14ac:dyDescent="0.25">
      <c r="A253" s="15">
        <v>46152</v>
      </c>
      <c r="B253" s="9" t="s">
        <v>92</v>
      </c>
      <c r="C253" s="9" t="str">
        <f>TRIM(PROPER(ShoeSales[[#This Row],[Product]]))</f>
        <v>Canvas</v>
      </c>
      <c r="D253" s="9" t="s">
        <v>28</v>
      </c>
      <c r="E253" s="45" t="str">
        <f>UPPER(ShoeSales[[#This Row],[Category]])</f>
        <v>FORMAL</v>
      </c>
      <c r="F253" s="9" t="s">
        <v>49</v>
      </c>
      <c r="G253" s="9" t="s">
        <v>30</v>
      </c>
      <c r="H253" s="9" t="str">
        <f>PROPER(ShoeSales[[#This Row],[Brand]])</f>
        <v>Nike</v>
      </c>
      <c r="I253" s="9" t="s">
        <v>64</v>
      </c>
      <c r="J253" s="10">
        <v>1</v>
      </c>
      <c r="K253" s="9" t="s">
        <v>32</v>
      </c>
      <c r="L253" s="22">
        <f>VLOOKUP(ShoeSales[[#This Row],[Product Cleaned]],Price!$A$2:$C$9,2,FALSE)</f>
        <v>128</v>
      </c>
      <c r="M253" s="19">
        <f>_xlfn.XLOOKUP(ShoeSales[[#This Row],[Product Cleaned]],Price!$A$2:$A$9,Price!$B$2:$B$9)</f>
        <v>128</v>
      </c>
      <c r="N253" s="19">
        <f>_xlfn.XLOOKUP(ShoeSales[[#This Row],[Product Cleaned]],Price!$A$2:$A$9,Price!$C$2:$C$9)</f>
        <v>72</v>
      </c>
      <c r="O253" s="22">
        <f>ShoeSales[[#This Row],[Sell Price]]*ShoeSales[[#This Row],[Quantity]]</f>
        <v>128</v>
      </c>
      <c r="P253" s="19">
        <f>ShoeSales[[#This Row],[Quantity]]*ShoeSales[[#This Row],[Cost Price]]</f>
        <v>72</v>
      </c>
      <c r="Q253" s="19">
        <f>ShoeSales[[#This Row],[Revenue]]-ShoeSales[[#This Row],[Cost]]</f>
        <v>56</v>
      </c>
      <c r="R253" s="24">
        <f>ShoeSales[[#This Row],[Profit]]/ShoeSales[[#This Row],[Revenue]]</f>
        <v>0.4375</v>
      </c>
      <c r="S253" s="19"/>
      <c r="T253" s="19" t="str">
        <f>UPPER(TEXT(ShoeSales[[#This Row],[Date]], "mmm"))</f>
        <v>MAY</v>
      </c>
    </row>
    <row r="254" spans="1:20" ht="14.25" customHeight="1" x14ac:dyDescent="0.25">
      <c r="A254" s="14">
        <v>46071</v>
      </c>
      <c r="B254" s="6" t="s">
        <v>60</v>
      </c>
      <c r="C254" s="16" t="str">
        <f>TRIM(PROPER(ShoeSales[[#This Row],[Product]]))</f>
        <v>Oxford</v>
      </c>
      <c r="D254" s="6" t="s">
        <v>42</v>
      </c>
      <c r="E254" s="44" t="str">
        <f>UPPER(ShoeSales[[#This Row],[Category]])</f>
        <v>UTILITY</v>
      </c>
      <c r="F254" s="6" t="s">
        <v>56</v>
      </c>
      <c r="G254" s="6" t="s">
        <v>75</v>
      </c>
      <c r="H254" s="16" t="str">
        <f>PROPER(ShoeSales[[#This Row],[Brand]])</f>
        <v>Steve Madden</v>
      </c>
      <c r="I254" s="6" t="s">
        <v>73</v>
      </c>
      <c r="J254" s="7">
        <v>7</v>
      </c>
      <c r="K254" s="6" t="s">
        <v>54</v>
      </c>
      <c r="L254" s="22">
        <f>VLOOKUP(ShoeSales[[#This Row],[Product Cleaned]],Price!$A$2:$C$9,2,FALSE)</f>
        <v>105</v>
      </c>
      <c r="M254" s="19">
        <f>_xlfn.XLOOKUP(ShoeSales[[#This Row],[Product Cleaned]],Price!$A$2:$A$9,Price!$B$2:$B$9)</f>
        <v>105</v>
      </c>
      <c r="N254" s="19">
        <f>_xlfn.XLOOKUP(ShoeSales[[#This Row],[Product Cleaned]],Price!$A$2:$A$9,Price!$C$2:$C$9)</f>
        <v>58</v>
      </c>
      <c r="O254" s="22">
        <f>ShoeSales[[#This Row],[Sell Price]]*ShoeSales[[#This Row],[Quantity]]</f>
        <v>735</v>
      </c>
      <c r="P254" s="19">
        <f>ShoeSales[[#This Row],[Quantity]]*ShoeSales[[#This Row],[Cost Price]]</f>
        <v>406</v>
      </c>
      <c r="Q254" s="19">
        <f>ShoeSales[[#This Row],[Revenue]]-ShoeSales[[#This Row],[Cost]]</f>
        <v>329</v>
      </c>
      <c r="R254" s="24">
        <f>ShoeSales[[#This Row],[Profit]]/ShoeSales[[#This Row],[Revenue]]</f>
        <v>0.44761904761904764</v>
      </c>
      <c r="S254" s="19"/>
      <c r="T254" s="19" t="str">
        <f>UPPER(TEXT(ShoeSales[[#This Row],[Date]], "mmm"))</f>
        <v>FEB</v>
      </c>
    </row>
    <row r="255" spans="1:20" ht="14.25" customHeight="1" x14ac:dyDescent="0.25">
      <c r="A255" s="15">
        <v>46126</v>
      </c>
      <c r="B255" s="9" t="s">
        <v>5</v>
      </c>
      <c r="C255" s="9" t="str">
        <f>TRIM(PROPER(ShoeSales[[#This Row],[Product]]))</f>
        <v>Monk Straps</v>
      </c>
      <c r="D255" s="9" t="s">
        <v>37</v>
      </c>
      <c r="E255" s="45" t="str">
        <f>UPPER(ShoeSales[[#This Row],[Category]])</f>
        <v>FORMAL</v>
      </c>
      <c r="F255" s="9" t="s">
        <v>49</v>
      </c>
      <c r="G255" s="9" t="s">
        <v>63</v>
      </c>
      <c r="H255" s="9" t="str">
        <f>PROPER(ShoeSales[[#This Row],[Brand]])</f>
        <v>Clarks</v>
      </c>
      <c r="I255" s="9" t="s">
        <v>31</v>
      </c>
      <c r="J255" s="10">
        <v>13</v>
      </c>
      <c r="K255" s="9" t="s">
        <v>36</v>
      </c>
      <c r="L255" s="22">
        <f>VLOOKUP(ShoeSales[[#This Row],[Product Cleaned]],Price!$A$2:$C$9,2,FALSE)</f>
        <v>89</v>
      </c>
      <c r="M255" s="19">
        <f>_xlfn.XLOOKUP(ShoeSales[[#This Row],[Product Cleaned]],Price!$A$2:$A$9,Price!$B$2:$B$9)</f>
        <v>89</v>
      </c>
      <c r="N255" s="19">
        <f>_xlfn.XLOOKUP(ShoeSales[[#This Row],[Product Cleaned]],Price!$A$2:$A$9,Price!$C$2:$C$9)</f>
        <v>47</v>
      </c>
      <c r="O255" s="22">
        <f>ShoeSales[[#This Row],[Sell Price]]*ShoeSales[[#This Row],[Quantity]]</f>
        <v>1157</v>
      </c>
      <c r="P255" s="19">
        <f>ShoeSales[[#This Row],[Quantity]]*ShoeSales[[#This Row],[Cost Price]]</f>
        <v>611</v>
      </c>
      <c r="Q255" s="19">
        <f>ShoeSales[[#This Row],[Revenue]]-ShoeSales[[#This Row],[Cost]]</f>
        <v>546</v>
      </c>
      <c r="R255" s="24">
        <f>ShoeSales[[#This Row],[Profit]]/ShoeSales[[#This Row],[Revenue]]</f>
        <v>0.47191011235955055</v>
      </c>
      <c r="S255" s="19"/>
      <c r="T255" s="19" t="str">
        <f>UPPER(TEXT(ShoeSales[[#This Row],[Date]], "mmm"))</f>
        <v>APR</v>
      </c>
    </row>
    <row r="256" spans="1:20" ht="14.25" customHeight="1" x14ac:dyDescent="0.25">
      <c r="A256" s="14">
        <v>46069</v>
      </c>
      <c r="B256" s="6" t="s">
        <v>10</v>
      </c>
      <c r="C256" s="16" t="str">
        <f>TRIM(PROPER(ShoeSales[[#This Row],[Product]]))</f>
        <v>Oxford</v>
      </c>
      <c r="D256" s="6" t="s">
        <v>37</v>
      </c>
      <c r="E256" s="44" t="str">
        <f>UPPER(ShoeSales[[#This Row],[Category]])</f>
        <v>FORMAL</v>
      </c>
      <c r="F256" s="6" t="s">
        <v>49</v>
      </c>
      <c r="G256" s="6" t="s">
        <v>46</v>
      </c>
      <c r="H256" s="16" t="str">
        <f>PROPER(ShoeSales[[#This Row],[Brand]])</f>
        <v>Clarks</v>
      </c>
      <c r="I256" s="6" t="s">
        <v>51</v>
      </c>
      <c r="J256" s="7">
        <v>15</v>
      </c>
      <c r="K256" s="6" t="s">
        <v>36</v>
      </c>
      <c r="L256" s="22">
        <f>VLOOKUP(ShoeSales[[#This Row],[Product Cleaned]],Price!$A$2:$C$9,2,FALSE)</f>
        <v>105</v>
      </c>
      <c r="M256" s="19">
        <f>_xlfn.XLOOKUP(ShoeSales[[#This Row],[Product Cleaned]],Price!$A$2:$A$9,Price!$B$2:$B$9)</f>
        <v>105</v>
      </c>
      <c r="N256" s="19">
        <f>_xlfn.XLOOKUP(ShoeSales[[#This Row],[Product Cleaned]],Price!$A$2:$A$9,Price!$C$2:$C$9)</f>
        <v>58</v>
      </c>
      <c r="O256" s="22">
        <f>ShoeSales[[#This Row],[Sell Price]]*ShoeSales[[#This Row],[Quantity]]</f>
        <v>1575</v>
      </c>
      <c r="P256" s="19">
        <f>ShoeSales[[#This Row],[Quantity]]*ShoeSales[[#This Row],[Cost Price]]</f>
        <v>870</v>
      </c>
      <c r="Q256" s="19">
        <f>ShoeSales[[#This Row],[Revenue]]-ShoeSales[[#This Row],[Cost]]</f>
        <v>705</v>
      </c>
      <c r="R256" s="24">
        <f>ShoeSales[[#This Row],[Profit]]/ShoeSales[[#This Row],[Revenue]]</f>
        <v>0.44761904761904764</v>
      </c>
      <c r="S256" s="19"/>
      <c r="T256" s="19" t="str">
        <f>UPPER(TEXT(ShoeSales[[#This Row],[Date]], "mmm"))</f>
        <v>FEB</v>
      </c>
    </row>
    <row r="257" spans="1:20" ht="14.25" customHeight="1" x14ac:dyDescent="0.25">
      <c r="A257" s="15">
        <v>46091</v>
      </c>
      <c r="B257" s="9" t="s">
        <v>10</v>
      </c>
      <c r="C257" s="9" t="str">
        <f>TRIM(PROPER(ShoeSales[[#This Row],[Product]]))</f>
        <v>Oxford</v>
      </c>
      <c r="D257" s="9" t="s">
        <v>28</v>
      </c>
      <c r="E257" s="45" t="str">
        <f>UPPER(ShoeSales[[#This Row],[Category]])</f>
        <v>FORMAL</v>
      </c>
      <c r="F257" s="9" t="s">
        <v>56</v>
      </c>
      <c r="G257" s="9" t="s">
        <v>69</v>
      </c>
      <c r="H257" s="9" t="str">
        <f>PROPER(ShoeSales[[#This Row],[Brand]])</f>
        <v>Zara</v>
      </c>
      <c r="I257" s="9" t="s">
        <v>43</v>
      </c>
      <c r="J257" s="10">
        <v>9</v>
      </c>
      <c r="K257" s="9" t="s">
        <v>62</v>
      </c>
      <c r="L257" s="22">
        <f>VLOOKUP(ShoeSales[[#This Row],[Product Cleaned]],Price!$A$2:$C$9,2,FALSE)</f>
        <v>105</v>
      </c>
      <c r="M257" s="19">
        <f>_xlfn.XLOOKUP(ShoeSales[[#This Row],[Product Cleaned]],Price!$A$2:$A$9,Price!$B$2:$B$9)</f>
        <v>105</v>
      </c>
      <c r="N257" s="19">
        <f>_xlfn.XLOOKUP(ShoeSales[[#This Row],[Product Cleaned]],Price!$A$2:$A$9,Price!$C$2:$C$9)</f>
        <v>58</v>
      </c>
      <c r="O257" s="22">
        <f>ShoeSales[[#This Row],[Sell Price]]*ShoeSales[[#This Row],[Quantity]]</f>
        <v>945</v>
      </c>
      <c r="P257" s="19">
        <f>ShoeSales[[#This Row],[Quantity]]*ShoeSales[[#This Row],[Cost Price]]</f>
        <v>522</v>
      </c>
      <c r="Q257" s="19">
        <f>ShoeSales[[#This Row],[Revenue]]-ShoeSales[[#This Row],[Cost]]</f>
        <v>423</v>
      </c>
      <c r="R257" s="24">
        <f>ShoeSales[[#This Row],[Profit]]/ShoeSales[[#This Row],[Revenue]]</f>
        <v>0.44761904761904764</v>
      </c>
      <c r="S257" s="19"/>
      <c r="T257" s="19" t="str">
        <f>UPPER(TEXT(ShoeSales[[#This Row],[Date]], "mmm"))</f>
        <v>MAR</v>
      </c>
    </row>
    <row r="258" spans="1:20" ht="14.25" customHeight="1" x14ac:dyDescent="0.25">
      <c r="A258" s="14">
        <v>46060</v>
      </c>
      <c r="B258" s="6" t="s">
        <v>27</v>
      </c>
      <c r="C258" s="16" t="str">
        <f>TRIM(PROPER(ShoeSales[[#This Row],[Product]]))</f>
        <v>Monk Straps</v>
      </c>
      <c r="D258" s="6" t="s">
        <v>42</v>
      </c>
      <c r="E258" s="44" t="str">
        <f>UPPER(ShoeSales[[#This Row],[Category]])</f>
        <v>UTILITY</v>
      </c>
      <c r="F258" s="6" t="s">
        <v>49</v>
      </c>
      <c r="G258" s="6" t="s">
        <v>39</v>
      </c>
      <c r="H258" s="16" t="str">
        <f>PROPER(ShoeSales[[#This Row],[Brand]])</f>
        <v>Clarks</v>
      </c>
      <c r="I258" s="6" t="s">
        <v>59</v>
      </c>
      <c r="J258" s="7">
        <v>15</v>
      </c>
      <c r="K258" s="6" t="s">
        <v>54</v>
      </c>
      <c r="L258" s="22">
        <f>VLOOKUP(ShoeSales[[#This Row],[Product Cleaned]],Price!$A$2:$C$9,2,FALSE)</f>
        <v>89</v>
      </c>
      <c r="M258" s="19">
        <f>_xlfn.XLOOKUP(ShoeSales[[#This Row],[Product Cleaned]],Price!$A$2:$A$9,Price!$B$2:$B$9)</f>
        <v>89</v>
      </c>
      <c r="N258" s="19">
        <f>_xlfn.XLOOKUP(ShoeSales[[#This Row],[Product Cleaned]],Price!$A$2:$A$9,Price!$C$2:$C$9)</f>
        <v>47</v>
      </c>
      <c r="O258" s="22">
        <f>ShoeSales[[#This Row],[Sell Price]]*ShoeSales[[#This Row],[Quantity]]</f>
        <v>1335</v>
      </c>
      <c r="P258" s="19">
        <f>ShoeSales[[#This Row],[Quantity]]*ShoeSales[[#This Row],[Cost Price]]</f>
        <v>705</v>
      </c>
      <c r="Q258" s="19">
        <f>ShoeSales[[#This Row],[Revenue]]-ShoeSales[[#This Row],[Cost]]</f>
        <v>630</v>
      </c>
      <c r="R258" s="24">
        <f>ShoeSales[[#This Row],[Profit]]/ShoeSales[[#This Row],[Revenue]]</f>
        <v>0.47191011235955055</v>
      </c>
      <c r="S258" s="19"/>
      <c r="T258" s="19" t="str">
        <f>UPPER(TEXT(ShoeSales[[#This Row],[Date]], "mmm"))</f>
        <v>FEB</v>
      </c>
    </row>
    <row r="259" spans="1:20" ht="14.25" customHeight="1" x14ac:dyDescent="0.25">
      <c r="A259" s="15">
        <v>46053</v>
      </c>
      <c r="B259" s="9" t="s">
        <v>7</v>
      </c>
      <c r="C259" s="9" t="str">
        <f>TRIM(PROPER(ShoeSales[[#This Row],[Product]]))</f>
        <v>Derby</v>
      </c>
      <c r="D259" s="9" t="s">
        <v>58</v>
      </c>
      <c r="E259" s="45" t="str">
        <f>UPPER(ShoeSales[[#This Row],[Category]])</f>
        <v>FORMAL</v>
      </c>
      <c r="F259" s="9" t="s">
        <v>38</v>
      </c>
      <c r="G259" s="9" t="s">
        <v>82</v>
      </c>
      <c r="H259" s="9" t="str">
        <f>PROPER(ShoeSales[[#This Row],[Brand]])</f>
        <v>Zara</v>
      </c>
      <c r="I259" s="9" t="s">
        <v>84</v>
      </c>
      <c r="J259" s="10">
        <v>15</v>
      </c>
      <c r="K259" s="9" t="s">
        <v>32</v>
      </c>
      <c r="L259" s="22">
        <f>VLOOKUP(ShoeSales[[#This Row],[Product Cleaned]],Price!$A$2:$C$9,2,FALSE)</f>
        <v>32</v>
      </c>
      <c r="M259" s="19">
        <f>_xlfn.XLOOKUP(ShoeSales[[#This Row],[Product Cleaned]],Price!$A$2:$A$9,Price!$B$2:$B$9)</f>
        <v>32</v>
      </c>
      <c r="N259" s="19">
        <f>_xlfn.XLOOKUP(ShoeSales[[#This Row],[Product Cleaned]],Price!$A$2:$A$9,Price!$C$2:$C$9)</f>
        <v>14</v>
      </c>
      <c r="O259" s="22">
        <f>ShoeSales[[#This Row],[Sell Price]]*ShoeSales[[#This Row],[Quantity]]</f>
        <v>480</v>
      </c>
      <c r="P259" s="19">
        <f>ShoeSales[[#This Row],[Quantity]]*ShoeSales[[#This Row],[Cost Price]]</f>
        <v>210</v>
      </c>
      <c r="Q259" s="19">
        <f>ShoeSales[[#This Row],[Revenue]]-ShoeSales[[#This Row],[Cost]]</f>
        <v>270</v>
      </c>
      <c r="R259" s="24">
        <f>ShoeSales[[#This Row],[Profit]]/ShoeSales[[#This Row],[Revenue]]</f>
        <v>0.5625</v>
      </c>
      <c r="S259" s="19"/>
      <c r="T259" s="19" t="str">
        <f>UPPER(TEXT(ShoeSales[[#This Row],[Date]], "mmm"))</f>
        <v>JAN</v>
      </c>
    </row>
    <row r="260" spans="1:20" ht="14.25" customHeight="1" x14ac:dyDescent="0.25">
      <c r="A260" s="14">
        <v>46098</v>
      </c>
      <c r="B260" s="6" t="s">
        <v>15</v>
      </c>
      <c r="C260" s="16" t="str">
        <f>TRIM(PROPER(ShoeSales[[#This Row],[Product]]))</f>
        <v>Slippers</v>
      </c>
      <c r="D260" s="6" t="s">
        <v>37</v>
      </c>
      <c r="E260" s="44" t="str">
        <f>UPPER(ShoeSales[[#This Row],[Category]])</f>
        <v>FORMAL</v>
      </c>
      <c r="F260" s="6" t="s">
        <v>49</v>
      </c>
      <c r="G260" s="6" t="s">
        <v>72</v>
      </c>
      <c r="H260" s="16" t="str">
        <f>PROPER(ShoeSales[[#This Row],[Brand]])</f>
        <v>Zara</v>
      </c>
      <c r="I260" s="6" t="s">
        <v>64</v>
      </c>
      <c r="J260" s="7">
        <v>13</v>
      </c>
      <c r="K260" s="6" t="s">
        <v>62</v>
      </c>
      <c r="L260" s="22">
        <f>VLOOKUP(ShoeSales[[#This Row],[Product Cleaned]],Price!$A$2:$C$9,2,FALSE)</f>
        <v>119</v>
      </c>
      <c r="M260" s="19">
        <f>_xlfn.XLOOKUP(ShoeSales[[#This Row],[Product Cleaned]],Price!$A$2:$A$9,Price!$B$2:$B$9)</f>
        <v>119</v>
      </c>
      <c r="N260" s="19">
        <f>_xlfn.XLOOKUP(ShoeSales[[#This Row],[Product Cleaned]],Price!$A$2:$A$9,Price!$C$2:$C$9)</f>
        <v>67</v>
      </c>
      <c r="O260" s="22">
        <f>ShoeSales[[#This Row],[Sell Price]]*ShoeSales[[#This Row],[Quantity]]</f>
        <v>1547</v>
      </c>
      <c r="P260" s="19">
        <f>ShoeSales[[#This Row],[Quantity]]*ShoeSales[[#This Row],[Cost Price]]</f>
        <v>871</v>
      </c>
      <c r="Q260" s="19">
        <f>ShoeSales[[#This Row],[Revenue]]-ShoeSales[[#This Row],[Cost]]</f>
        <v>676</v>
      </c>
      <c r="R260" s="24">
        <f>ShoeSales[[#This Row],[Profit]]/ShoeSales[[#This Row],[Revenue]]</f>
        <v>0.43697478991596639</v>
      </c>
      <c r="S260" s="19"/>
      <c r="T260" s="19" t="str">
        <f>UPPER(TEXT(ShoeSales[[#This Row],[Date]], "mmm"))</f>
        <v>MAR</v>
      </c>
    </row>
    <row r="261" spans="1:20" ht="14.25" customHeight="1" x14ac:dyDescent="0.25">
      <c r="A261" s="15">
        <v>46077</v>
      </c>
      <c r="B261" s="9" t="s">
        <v>7</v>
      </c>
      <c r="C261" s="9" t="str">
        <f>TRIM(PROPER(ShoeSales[[#This Row],[Product]]))</f>
        <v>Derby</v>
      </c>
      <c r="D261" s="9" t="s">
        <v>89</v>
      </c>
      <c r="E261" s="45" t="str">
        <f>UPPER(ShoeSales[[#This Row],[Category]])</f>
        <v>OPEN</v>
      </c>
      <c r="F261" s="9" t="s">
        <v>29</v>
      </c>
      <c r="G261" s="9" t="s">
        <v>63</v>
      </c>
      <c r="H261" s="9" t="str">
        <f>PROPER(ShoeSales[[#This Row],[Brand]])</f>
        <v>Clarks</v>
      </c>
      <c r="I261" s="9" t="s">
        <v>40</v>
      </c>
      <c r="J261" s="10">
        <v>6</v>
      </c>
      <c r="K261" s="9" t="s">
        <v>32</v>
      </c>
      <c r="L261" s="22">
        <f>VLOOKUP(ShoeSales[[#This Row],[Product Cleaned]],Price!$A$2:$C$9,2,FALSE)</f>
        <v>32</v>
      </c>
      <c r="M261" s="19">
        <f>_xlfn.XLOOKUP(ShoeSales[[#This Row],[Product Cleaned]],Price!$A$2:$A$9,Price!$B$2:$B$9)</f>
        <v>32</v>
      </c>
      <c r="N261" s="19">
        <f>_xlfn.XLOOKUP(ShoeSales[[#This Row],[Product Cleaned]],Price!$A$2:$A$9,Price!$C$2:$C$9)</f>
        <v>14</v>
      </c>
      <c r="O261" s="22">
        <f>ShoeSales[[#This Row],[Sell Price]]*ShoeSales[[#This Row],[Quantity]]</f>
        <v>192</v>
      </c>
      <c r="P261" s="19">
        <f>ShoeSales[[#This Row],[Quantity]]*ShoeSales[[#This Row],[Cost Price]]</f>
        <v>84</v>
      </c>
      <c r="Q261" s="19">
        <f>ShoeSales[[#This Row],[Revenue]]-ShoeSales[[#This Row],[Cost]]</f>
        <v>108</v>
      </c>
      <c r="R261" s="24">
        <f>ShoeSales[[#This Row],[Profit]]/ShoeSales[[#This Row],[Revenue]]</f>
        <v>0.5625</v>
      </c>
      <c r="S261" s="19"/>
      <c r="T261" s="19" t="str">
        <f>UPPER(TEXT(ShoeSales[[#This Row],[Date]], "mmm"))</f>
        <v>FEB</v>
      </c>
    </row>
    <row r="262" spans="1:20" ht="14.25" customHeight="1" x14ac:dyDescent="0.25">
      <c r="A262" s="14">
        <v>46041</v>
      </c>
      <c r="B262" s="6" t="s">
        <v>83</v>
      </c>
      <c r="C262" s="16" t="str">
        <f>TRIM(PROPER(ShoeSales[[#This Row],[Product]]))</f>
        <v>Monk Straps</v>
      </c>
      <c r="D262" s="6" t="s">
        <v>89</v>
      </c>
      <c r="E262" s="44" t="str">
        <f>UPPER(ShoeSales[[#This Row],[Category]])</f>
        <v>OPEN</v>
      </c>
      <c r="F262" s="6" t="s">
        <v>56</v>
      </c>
      <c r="G262" s="6" t="s">
        <v>95</v>
      </c>
      <c r="H262" s="16" t="str">
        <f>PROPER(ShoeSales[[#This Row],[Brand]])</f>
        <v>Timberland</v>
      </c>
      <c r="I262" s="6" t="s">
        <v>53</v>
      </c>
      <c r="J262" s="7">
        <v>6</v>
      </c>
      <c r="K262" s="6" t="s">
        <v>62</v>
      </c>
      <c r="L262" s="22">
        <f>VLOOKUP(ShoeSales[[#This Row],[Product Cleaned]],Price!$A$2:$C$9,2,FALSE)</f>
        <v>89</v>
      </c>
      <c r="M262" s="19">
        <f>_xlfn.XLOOKUP(ShoeSales[[#This Row],[Product Cleaned]],Price!$A$2:$A$9,Price!$B$2:$B$9)</f>
        <v>89</v>
      </c>
      <c r="N262" s="19">
        <f>_xlfn.XLOOKUP(ShoeSales[[#This Row],[Product Cleaned]],Price!$A$2:$A$9,Price!$C$2:$C$9)</f>
        <v>47</v>
      </c>
      <c r="O262" s="22">
        <f>ShoeSales[[#This Row],[Sell Price]]*ShoeSales[[#This Row],[Quantity]]</f>
        <v>534</v>
      </c>
      <c r="P262" s="19">
        <f>ShoeSales[[#This Row],[Quantity]]*ShoeSales[[#This Row],[Cost Price]]</f>
        <v>282</v>
      </c>
      <c r="Q262" s="19">
        <f>ShoeSales[[#This Row],[Revenue]]-ShoeSales[[#This Row],[Cost]]</f>
        <v>252</v>
      </c>
      <c r="R262" s="24">
        <f>ShoeSales[[#This Row],[Profit]]/ShoeSales[[#This Row],[Revenue]]</f>
        <v>0.47191011235955055</v>
      </c>
      <c r="S262" s="19"/>
      <c r="T262" s="19" t="str">
        <f>UPPER(TEXT(ShoeSales[[#This Row],[Date]], "mmm"))</f>
        <v>JAN</v>
      </c>
    </row>
    <row r="263" spans="1:20" ht="14.25" customHeight="1" x14ac:dyDescent="0.25">
      <c r="A263" s="15">
        <v>46189</v>
      </c>
      <c r="B263" s="9" t="s">
        <v>44</v>
      </c>
      <c r="C263" s="9" t="str">
        <f>TRIM(PROPER(ShoeSales[[#This Row],[Product]]))</f>
        <v>Boots</v>
      </c>
      <c r="D263" s="9" t="s">
        <v>58</v>
      </c>
      <c r="E263" s="45" t="str">
        <f>UPPER(ShoeSales[[#This Row],[Category]])</f>
        <v>FORMAL</v>
      </c>
      <c r="F263" s="9" t="s">
        <v>29</v>
      </c>
      <c r="G263" s="9" t="s">
        <v>39</v>
      </c>
      <c r="H263" s="9" t="str">
        <f>PROPER(ShoeSales[[#This Row],[Brand]])</f>
        <v>Clarks</v>
      </c>
      <c r="I263" s="9" t="s">
        <v>61</v>
      </c>
      <c r="J263" s="10">
        <v>10</v>
      </c>
      <c r="K263" s="9" t="s">
        <v>36</v>
      </c>
      <c r="L263" s="22">
        <f>VLOOKUP(ShoeSales[[#This Row],[Product Cleaned]],Price!$A$2:$C$9,2,FALSE)</f>
        <v>76</v>
      </c>
      <c r="M263" s="19">
        <f>_xlfn.XLOOKUP(ShoeSales[[#This Row],[Product Cleaned]],Price!$A$2:$A$9,Price!$B$2:$B$9)</f>
        <v>76</v>
      </c>
      <c r="N263" s="19">
        <f>_xlfn.XLOOKUP(ShoeSales[[#This Row],[Product Cleaned]],Price!$A$2:$A$9,Price!$C$2:$C$9)</f>
        <v>39</v>
      </c>
      <c r="O263" s="22">
        <f>ShoeSales[[#This Row],[Sell Price]]*ShoeSales[[#This Row],[Quantity]]</f>
        <v>760</v>
      </c>
      <c r="P263" s="19">
        <f>ShoeSales[[#This Row],[Quantity]]*ShoeSales[[#This Row],[Cost Price]]</f>
        <v>390</v>
      </c>
      <c r="Q263" s="19">
        <f>ShoeSales[[#This Row],[Revenue]]-ShoeSales[[#This Row],[Cost]]</f>
        <v>370</v>
      </c>
      <c r="R263" s="24">
        <f>ShoeSales[[#This Row],[Profit]]/ShoeSales[[#This Row],[Revenue]]</f>
        <v>0.48684210526315791</v>
      </c>
      <c r="S263" s="19"/>
      <c r="T263" s="19" t="str">
        <f>UPPER(TEXT(ShoeSales[[#This Row],[Date]], "mmm"))</f>
        <v>JUN</v>
      </c>
    </row>
    <row r="264" spans="1:20" ht="14.25" customHeight="1" x14ac:dyDescent="0.25">
      <c r="A264" s="14">
        <v>46190</v>
      </c>
      <c r="B264" s="6" t="s">
        <v>76</v>
      </c>
      <c r="C264" s="16" t="str">
        <f>TRIM(PROPER(ShoeSales[[#This Row],[Product]]))</f>
        <v>Derby</v>
      </c>
      <c r="D264" s="6" t="s">
        <v>74</v>
      </c>
      <c r="E264" s="44" t="str">
        <f>UPPER(ShoeSales[[#This Row],[Category]])</f>
        <v>OPEN</v>
      </c>
      <c r="F264" s="6" t="s">
        <v>38</v>
      </c>
      <c r="G264" s="6" t="s">
        <v>46</v>
      </c>
      <c r="H264" s="16" t="str">
        <f>PROPER(ShoeSales[[#This Row],[Brand]])</f>
        <v>Clarks</v>
      </c>
      <c r="I264" s="6" t="s">
        <v>66</v>
      </c>
      <c r="J264" s="7">
        <v>4</v>
      </c>
      <c r="K264" s="6" t="s">
        <v>62</v>
      </c>
      <c r="L264" s="22">
        <f>VLOOKUP(ShoeSales[[#This Row],[Product Cleaned]],Price!$A$2:$C$9,2,FALSE)</f>
        <v>32</v>
      </c>
      <c r="M264" s="19">
        <f>_xlfn.XLOOKUP(ShoeSales[[#This Row],[Product Cleaned]],Price!$A$2:$A$9,Price!$B$2:$B$9)</f>
        <v>32</v>
      </c>
      <c r="N264" s="19">
        <f>_xlfn.XLOOKUP(ShoeSales[[#This Row],[Product Cleaned]],Price!$A$2:$A$9,Price!$C$2:$C$9)</f>
        <v>14</v>
      </c>
      <c r="O264" s="22">
        <f>ShoeSales[[#This Row],[Sell Price]]*ShoeSales[[#This Row],[Quantity]]</f>
        <v>128</v>
      </c>
      <c r="P264" s="19">
        <f>ShoeSales[[#This Row],[Quantity]]*ShoeSales[[#This Row],[Cost Price]]</f>
        <v>56</v>
      </c>
      <c r="Q264" s="19">
        <f>ShoeSales[[#This Row],[Revenue]]-ShoeSales[[#This Row],[Cost]]</f>
        <v>72</v>
      </c>
      <c r="R264" s="24">
        <f>ShoeSales[[#This Row],[Profit]]/ShoeSales[[#This Row],[Revenue]]</f>
        <v>0.5625</v>
      </c>
      <c r="S264" s="19"/>
      <c r="T264" s="19" t="str">
        <f>UPPER(TEXT(ShoeSales[[#This Row],[Date]], "mmm"))</f>
        <v>JUN</v>
      </c>
    </row>
    <row r="265" spans="1:20" ht="14.25" customHeight="1" x14ac:dyDescent="0.25">
      <c r="A265" s="15">
        <v>46227</v>
      </c>
      <c r="B265" s="9" t="s">
        <v>7</v>
      </c>
      <c r="C265" s="9" t="str">
        <f>TRIM(PROPER(ShoeSales[[#This Row],[Product]]))</f>
        <v>Derby</v>
      </c>
      <c r="D265" s="9" t="s">
        <v>89</v>
      </c>
      <c r="E265" s="45" t="str">
        <f>UPPER(ShoeSales[[#This Row],[Category]])</f>
        <v>OPEN</v>
      </c>
      <c r="F265" s="9" t="s">
        <v>56</v>
      </c>
      <c r="G265" s="9" t="s">
        <v>30</v>
      </c>
      <c r="H265" s="9" t="str">
        <f>PROPER(ShoeSales[[#This Row],[Brand]])</f>
        <v>Nike</v>
      </c>
      <c r="I265" s="9" t="s">
        <v>84</v>
      </c>
      <c r="J265" s="10">
        <v>7</v>
      </c>
      <c r="K265" s="9" t="s">
        <v>62</v>
      </c>
      <c r="L265" s="22">
        <f>VLOOKUP(ShoeSales[[#This Row],[Product Cleaned]],Price!$A$2:$C$9,2,FALSE)</f>
        <v>32</v>
      </c>
      <c r="M265" s="19">
        <f>_xlfn.XLOOKUP(ShoeSales[[#This Row],[Product Cleaned]],Price!$A$2:$A$9,Price!$B$2:$B$9)</f>
        <v>32</v>
      </c>
      <c r="N265" s="19">
        <f>_xlfn.XLOOKUP(ShoeSales[[#This Row],[Product Cleaned]],Price!$A$2:$A$9,Price!$C$2:$C$9)</f>
        <v>14</v>
      </c>
      <c r="O265" s="22">
        <f>ShoeSales[[#This Row],[Sell Price]]*ShoeSales[[#This Row],[Quantity]]</f>
        <v>224</v>
      </c>
      <c r="P265" s="19">
        <f>ShoeSales[[#This Row],[Quantity]]*ShoeSales[[#This Row],[Cost Price]]</f>
        <v>98</v>
      </c>
      <c r="Q265" s="19">
        <f>ShoeSales[[#This Row],[Revenue]]-ShoeSales[[#This Row],[Cost]]</f>
        <v>126</v>
      </c>
      <c r="R265" s="24">
        <f>ShoeSales[[#This Row],[Profit]]/ShoeSales[[#This Row],[Revenue]]</f>
        <v>0.5625</v>
      </c>
      <c r="S265" s="19"/>
      <c r="T265" s="19" t="str">
        <f>UPPER(TEXT(ShoeSales[[#This Row],[Date]], "mmm"))</f>
        <v>JUL</v>
      </c>
    </row>
    <row r="266" spans="1:20" ht="14.25" customHeight="1" x14ac:dyDescent="0.25">
      <c r="A266" s="14">
        <v>46169</v>
      </c>
      <c r="B266" s="6" t="s">
        <v>10</v>
      </c>
      <c r="C266" s="16" t="str">
        <f>TRIM(PROPER(ShoeSales[[#This Row],[Product]]))</f>
        <v>Oxford</v>
      </c>
      <c r="D266" s="6" t="s">
        <v>87</v>
      </c>
      <c r="E266" s="44" t="str">
        <f>UPPER(ShoeSales[[#This Row],[Category]])</f>
        <v>OPEN</v>
      </c>
      <c r="F266" s="6" t="s">
        <v>49</v>
      </c>
      <c r="G266" s="6" t="s">
        <v>39</v>
      </c>
      <c r="H266" s="16" t="str">
        <f>PROPER(ShoeSales[[#This Row],[Brand]])</f>
        <v>Clarks</v>
      </c>
      <c r="I266" s="6" t="s">
        <v>53</v>
      </c>
      <c r="J266" s="7">
        <v>10</v>
      </c>
      <c r="K266" s="6" t="s">
        <v>36</v>
      </c>
      <c r="L266" s="22">
        <f>VLOOKUP(ShoeSales[[#This Row],[Product Cleaned]],Price!$A$2:$C$9,2,FALSE)</f>
        <v>105</v>
      </c>
      <c r="M266" s="19">
        <f>_xlfn.XLOOKUP(ShoeSales[[#This Row],[Product Cleaned]],Price!$A$2:$A$9,Price!$B$2:$B$9)</f>
        <v>105</v>
      </c>
      <c r="N266" s="19">
        <f>_xlfn.XLOOKUP(ShoeSales[[#This Row],[Product Cleaned]],Price!$A$2:$A$9,Price!$C$2:$C$9)</f>
        <v>58</v>
      </c>
      <c r="O266" s="22">
        <f>ShoeSales[[#This Row],[Sell Price]]*ShoeSales[[#This Row],[Quantity]]</f>
        <v>1050</v>
      </c>
      <c r="P266" s="19">
        <f>ShoeSales[[#This Row],[Quantity]]*ShoeSales[[#This Row],[Cost Price]]</f>
        <v>580</v>
      </c>
      <c r="Q266" s="19">
        <f>ShoeSales[[#This Row],[Revenue]]-ShoeSales[[#This Row],[Cost]]</f>
        <v>470</v>
      </c>
      <c r="R266" s="24">
        <f>ShoeSales[[#This Row],[Profit]]/ShoeSales[[#This Row],[Revenue]]</f>
        <v>0.44761904761904764</v>
      </c>
      <c r="S266" s="19"/>
      <c r="T266" s="19" t="str">
        <f>UPPER(TEXT(ShoeSales[[#This Row],[Date]], "mmm"))</f>
        <v>MAY</v>
      </c>
    </row>
    <row r="267" spans="1:20" ht="14.25" customHeight="1" x14ac:dyDescent="0.25">
      <c r="A267" s="15">
        <v>46066</v>
      </c>
      <c r="B267" s="9" t="s">
        <v>70</v>
      </c>
      <c r="C267" s="9" t="str">
        <f>TRIM(PROPER(ShoeSales[[#This Row],[Product]]))</f>
        <v>Derby</v>
      </c>
      <c r="D267" s="9" t="s">
        <v>58</v>
      </c>
      <c r="E267" s="45" t="str">
        <f>UPPER(ShoeSales[[#This Row],[Category]])</f>
        <v>FORMAL</v>
      </c>
      <c r="F267" s="9" t="s">
        <v>29</v>
      </c>
      <c r="G267" s="9" t="s">
        <v>94</v>
      </c>
      <c r="H267" s="9" t="str">
        <f>PROPER(ShoeSales[[#This Row],[Brand]])</f>
        <v>Timberland</v>
      </c>
      <c r="I267" s="9" t="s">
        <v>47</v>
      </c>
      <c r="J267" s="10">
        <v>10</v>
      </c>
      <c r="K267" s="9" t="s">
        <v>36</v>
      </c>
      <c r="L267" s="22">
        <f>VLOOKUP(ShoeSales[[#This Row],[Product Cleaned]],Price!$A$2:$C$9,2,FALSE)</f>
        <v>32</v>
      </c>
      <c r="M267" s="19">
        <f>_xlfn.XLOOKUP(ShoeSales[[#This Row],[Product Cleaned]],Price!$A$2:$A$9,Price!$B$2:$B$9)</f>
        <v>32</v>
      </c>
      <c r="N267" s="19">
        <f>_xlfn.XLOOKUP(ShoeSales[[#This Row],[Product Cleaned]],Price!$A$2:$A$9,Price!$C$2:$C$9)</f>
        <v>14</v>
      </c>
      <c r="O267" s="22">
        <f>ShoeSales[[#This Row],[Sell Price]]*ShoeSales[[#This Row],[Quantity]]</f>
        <v>320</v>
      </c>
      <c r="P267" s="19">
        <f>ShoeSales[[#This Row],[Quantity]]*ShoeSales[[#This Row],[Cost Price]]</f>
        <v>140</v>
      </c>
      <c r="Q267" s="19">
        <f>ShoeSales[[#This Row],[Revenue]]-ShoeSales[[#This Row],[Cost]]</f>
        <v>180</v>
      </c>
      <c r="R267" s="24">
        <f>ShoeSales[[#This Row],[Profit]]/ShoeSales[[#This Row],[Revenue]]</f>
        <v>0.5625</v>
      </c>
      <c r="S267" s="19"/>
      <c r="T267" s="19" t="str">
        <f>UPPER(TEXT(ShoeSales[[#This Row],[Date]], "mmm"))</f>
        <v>FEB</v>
      </c>
    </row>
    <row r="268" spans="1:20" ht="14.25" customHeight="1" x14ac:dyDescent="0.25">
      <c r="A268" s="14">
        <v>46053</v>
      </c>
      <c r="B268" s="6" t="s">
        <v>6</v>
      </c>
      <c r="C268" s="16" t="str">
        <f>TRIM(PROPER(ShoeSales[[#This Row],[Product]]))</f>
        <v>Loafers</v>
      </c>
      <c r="D268" s="6" t="s">
        <v>58</v>
      </c>
      <c r="E268" s="44" t="str">
        <f>UPPER(ShoeSales[[#This Row],[Category]])</f>
        <v>FORMAL</v>
      </c>
      <c r="F268" s="6" t="s">
        <v>56</v>
      </c>
      <c r="G268" s="6" t="s">
        <v>63</v>
      </c>
      <c r="H268" s="16" t="str">
        <f>PROPER(ShoeSales[[#This Row],[Brand]])</f>
        <v>Clarks</v>
      </c>
      <c r="I268" s="6" t="s">
        <v>40</v>
      </c>
      <c r="J268" s="7">
        <v>15</v>
      </c>
      <c r="K268" s="6" t="s">
        <v>62</v>
      </c>
      <c r="L268" s="22">
        <f>VLOOKUP(ShoeSales[[#This Row],[Product Cleaned]],Price!$A$2:$C$9,2,FALSE)</f>
        <v>54</v>
      </c>
      <c r="M268" s="19">
        <f>_xlfn.XLOOKUP(ShoeSales[[#This Row],[Product Cleaned]],Price!$A$2:$A$9,Price!$B$2:$B$9)</f>
        <v>54</v>
      </c>
      <c r="N268" s="19">
        <f>_xlfn.XLOOKUP(ShoeSales[[#This Row],[Product Cleaned]],Price!$A$2:$A$9,Price!$C$2:$C$9)</f>
        <v>28</v>
      </c>
      <c r="O268" s="22">
        <f>ShoeSales[[#This Row],[Sell Price]]*ShoeSales[[#This Row],[Quantity]]</f>
        <v>810</v>
      </c>
      <c r="P268" s="19">
        <f>ShoeSales[[#This Row],[Quantity]]*ShoeSales[[#This Row],[Cost Price]]</f>
        <v>420</v>
      </c>
      <c r="Q268" s="19">
        <f>ShoeSales[[#This Row],[Revenue]]-ShoeSales[[#This Row],[Cost]]</f>
        <v>390</v>
      </c>
      <c r="R268" s="24">
        <f>ShoeSales[[#This Row],[Profit]]/ShoeSales[[#This Row],[Revenue]]</f>
        <v>0.48148148148148145</v>
      </c>
      <c r="S268" s="19"/>
      <c r="T268" s="19" t="str">
        <f>UPPER(TEXT(ShoeSales[[#This Row],[Date]], "mmm"))</f>
        <v>JAN</v>
      </c>
    </row>
    <row r="269" spans="1:20" ht="14.25" customHeight="1" x14ac:dyDescent="0.25">
      <c r="A269" s="15">
        <v>46131</v>
      </c>
      <c r="B269" s="9" t="s">
        <v>6</v>
      </c>
      <c r="C269" s="9" t="str">
        <f>TRIM(PROPER(ShoeSales[[#This Row],[Product]]))</f>
        <v>Loafers</v>
      </c>
      <c r="D269" s="9" t="s">
        <v>89</v>
      </c>
      <c r="E269" s="45" t="str">
        <f>UPPER(ShoeSales[[#This Row],[Category]])</f>
        <v>OPEN</v>
      </c>
      <c r="F269" s="9" t="s">
        <v>38</v>
      </c>
      <c r="G269" s="9" t="s">
        <v>82</v>
      </c>
      <c r="H269" s="9" t="str">
        <f>PROPER(ShoeSales[[#This Row],[Brand]])</f>
        <v>Zara</v>
      </c>
      <c r="I269" s="9" t="s">
        <v>43</v>
      </c>
      <c r="J269" s="10">
        <v>1</v>
      </c>
      <c r="K269" s="9" t="s">
        <v>36</v>
      </c>
      <c r="L269" s="22">
        <f>VLOOKUP(ShoeSales[[#This Row],[Product Cleaned]],Price!$A$2:$C$9,2,FALSE)</f>
        <v>54</v>
      </c>
      <c r="M269" s="19">
        <f>_xlfn.XLOOKUP(ShoeSales[[#This Row],[Product Cleaned]],Price!$A$2:$A$9,Price!$B$2:$B$9)</f>
        <v>54</v>
      </c>
      <c r="N269" s="19">
        <f>_xlfn.XLOOKUP(ShoeSales[[#This Row],[Product Cleaned]],Price!$A$2:$A$9,Price!$C$2:$C$9)</f>
        <v>28</v>
      </c>
      <c r="O269" s="22">
        <f>ShoeSales[[#This Row],[Sell Price]]*ShoeSales[[#This Row],[Quantity]]</f>
        <v>54</v>
      </c>
      <c r="P269" s="19">
        <f>ShoeSales[[#This Row],[Quantity]]*ShoeSales[[#This Row],[Cost Price]]</f>
        <v>28</v>
      </c>
      <c r="Q269" s="19">
        <f>ShoeSales[[#This Row],[Revenue]]-ShoeSales[[#This Row],[Cost]]</f>
        <v>26</v>
      </c>
      <c r="R269" s="24">
        <f>ShoeSales[[#This Row],[Profit]]/ShoeSales[[#This Row],[Revenue]]</f>
        <v>0.48148148148148145</v>
      </c>
      <c r="S269" s="19"/>
      <c r="T269" s="19" t="str">
        <f>UPPER(TEXT(ShoeSales[[#This Row],[Date]], "mmm"))</f>
        <v>APR</v>
      </c>
    </row>
    <row r="270" spans="1:20" ht="14.25" customHeight="1" x14ac:dyDescent="0.25">
      <c r="A270" s="14">
        <v>46105</v>
      </c>
      <c r="B270" s="6" t="s">
        <v>9</v>
      </c>
      <c r="C270" s="16" t="str">
        <f>TRIM(PROPER(ShoeSales[[#This Row],[Product]]))</f>
        <v>Canvas</v>
      </c>
      <c r="D270" s="6" t="s">
        <v>89</v>
      </c>
      <c r="E270" s="44" t="str">
        <f>UPPER(ShoeSales[[#This Row],[Category]])</f>
        <v>OPEN</v>
      </c>
      <c r="F270" s="6" t="s">
        <v>34</v>
      </c>
      <c r="G270" s="6" t="s">
        <v>57</v>
      </c>
      <c r="H270" s="16" t="str">
        <f>PROPER(ShoeSales[[#This Row],[Brand]])</f>
        <v>Timberland</v>
      </c>
      <c r="I270" s="6" t="s">
        <v>31</v>
      </c>
      <c r="J270" s="7">
        <v>2</v>
      </c>
      <c r="K270" s="6" t="s">
        <v>54</v>
      </c>
      <c r="L270" s="22">
        <f>VLOOKUP(ShoeSales[[#This Row],[Product Cleaned]],Price!$A$2:$C$9,2,FALSE)</f>
        <v>128</v>
      </c>
      <c r="M270" s="19">
        <f>_xlfn.XLOOKUP(ShoeSales[[#This Row],[Product Cleaned]],Price!$A$2:$A$9,Price!$B$2:$B$9)</f>
        <v>128</v>
      </c>
      <c r="N270" s="19">
        <f>_xlfn.XLOOKUP(ShoeSales[[#This Row],[Product Cleaned]],Price!$A$2:$A$9,Price!$C$2:$C$9)</f>
        <v>72</v>
      </c>
      <c r="O270" s="22">
        <f>ShoeSales[[#This Row],[Sell Price]]*ShoeSales[[#This Row],[Quantity]]</f>
        <v>256</v>
      </c>
      <c r="P270" s="19">
        <f>ShoeSales[[#This Row],[Quantity]]*ShoeSales[[#This Row],[Cost Price]]</f>
        <v>144</v>
      </c>
      <c r="Q270" s="19">
        <f>ShoeSales[[#This Row],[Revenue]]-ShoeSales[[#This Row],[Cost]]</f>
        <v>112</v>
      </c>
      <c r="R270" s="24">
        <f>ShoeSales[[#This Row],[Profit]]/ShoeSales[[#This Row],[Revenue]]</f>
        <v>0.4375</v>
      </c>
      <c r="S270" s="19"/>
      <c r="T270" s="19" t="str">
        <f>UPPER(TEXT(ShoeSales[[#This Row],[Date]], "mmm"))</f>
        <v>MAR</v>
      </c>
    </row>
    <row r="271" spans="1:20" ht="14.25" customHeight="1" x14ac:dyDescent="0.25">
      <c r="A271" s="15">
        <v>46235</v>
      </c>
      <c r="B271" s="9" t="s">
        <v>10</v>
      </c>
      <c r="C271" s="9" t="str">
        <f>TRIM(PROPER(ShoeSales[[#This Row],[Product]]))</f>
        <v>Oxford</v>
      </c>
      <c r="D271" s="9" t="s">
        <v>74</v>
      </c>
      <c r="E271" s="45" t="str">
        <f>UPPER(ShoeSales[[#This Row],[Category]])</f>
        <v>OPEN</v>
      </c>
      <c r="F271" s="9" t="s">
        <v>49</v>
      </c>
      <c r="G271" s="9" t="s">
        <v>72</v>
      </c>
      <c r="H271" s="9" t="str">
        <f>PROPER(ShoeSales[[#This Row],[Brand]])</f>
        <v>Zara</v>
      </c>
      <c r="I271" s="9" t="s">
        <v>78</v>
      </c>
      <c r="J271" s="10">
        <v>12</v>
      </c>
      <c r="K271" s="9" t="s">
        <v>54</v>
      </c>
      <c r="L271" s="22">
        <f>VLOOKUP(ShoeSales[[#This Row],[Product Cleaned]],Price!$A$2:$C$9,2,FALSE)</f>
        <v>105</v>
      </c>
      <c r="M271" s="19">
        <f>_xlfn.XLOOKUP(ShoeSales[[#This Row],[Product Cleaned]],Price!$A$2:$A$9,Price!$B$2:$B$9)</f>
        <v>105</v>
      </c>
      <c r="N271" s="19">
        <f>_xlfn.XLOOKUP(ShoeSales[[#This Row],[Product Cleaned]],Price!$A$2:$A$9,Price!$C$2:$C$9)</f>
        <v>58</v>
      </c>
      <c r="O271" s="22">
        <f>ShoeSales[[#This Row],[Sell Price]]*ShoeSales[[#This Row],[Quantity]]</f>
        <v>1260</v>
      </c>
      <c r="P271" s="19">
        <f>ShoeSales[[#This Row],[Quantity]]*ShoeSales[[#This Row],[Cost Price]]</f>
        <v>696</v>
      </c>
      <c r="Q271" s="19">
        <f>ShoeSales[[#This Row],[Revenue]]-ShoeSales[[#This Row],[Cost]]</f>
        <v>564</v>
      </c>
      <c r="R271" s="24">
        <f>ShoeSales[[#This Row],[Profit]]/ShoeSales[[#This Row],[Revenue]]</f>
        <v>0.44761904761904764</v>
      </c>
      <c r="S271" s="19"/>
      <c r="T271" s="19" t="str">
        <f>UPPER(TEXT(ShoeSales[[#This Row],[Date]], "mmm"))</f>
        <v>AUG</v>
      </c>
    </row>
    <row r="272" spans="1:20" ht="14.25" customHeight="1" x14ac:dyDescent="0.25">
      <c r="A272" s="14">
        <v>46178</v>
      </c>
      <c r="B272" s="6" t="s">
        <v>90</v>
      </c>
      <c r="C272" s="16" t="str">
        <f>TRIM(PROPER(ShoeSales[[#This Row],[Product]]))</f>
        <v>Loafers</v>
      </c>
      <c r="D272" s="6" t="s">
        <v>58</v>
      </c>
      <c r="E272" s="44" t="str">
        <f>UPPER(ShoeSales[[#This Row],[Category]])</f>
        <v>FORMAL</v>
      </c>
      <c r="F272" s="6" t="s">
        <v>56</v>
      </c>
      <c r="G272" s="6" t="s">
        <v>50</v>
      </c>
      <c r="H272" s="16" t="str">
        <f>PROPER(ShoeSales[[#This Row],[Brand]])</f>
        <v>Nike</v>
      </c>
      <c r="I272" s="6" t="s">
        <v>61</v>
      </c>
      <c r="J272" s="7">
        <v>15</v>
      </c>
      <c r="K272" s="6" t="s">
        <v>32</v>
      </c>
      <c r="L272" s="22">
        <f>VLOOKUP(ShoeSales[[#This Row],[Product Cleaned]],Price!$A$2:$C$9,2,FALSE)</f>
        <v>54</v>
      </c>
      <c r="M272" s="19">
        <f>_xlfn.XLOOKUP(ShoeSales[[#This Row],[Product Cleaned]],Price!$A$2:$A$9,Price!$B$2:$B$9)</f>
        <v>54</v>
      </c>
      <c r="N272" s="19">
        <f>_xlfn.XLOOKUP(ShoeSales[[#This Row],[Product Cleaned]],Price!$A$2:$A$9,Price!$C$2:$C$9)</f>
        <v>28</v>
      </c>
      <c r="O272" s="22">
        <f>ShoeSales[[#This Row],[Sell Price]]*ShoeSales[[#This Row],[Quantity]]</f>
        <v>810</v>
      </c>
      <c r="P272" s="19">
        <f>ShoeSales[[#This Row],[Quantity]]*ShoeSales[[#This Row],[Cost Price]]</f>
        <v>420</v>
      </c>
      <c r="Q272" s="19">
        <f>ShoeSales[[#This Row],[Revenue]]-ShoeSales[[#This Row],[Cost]]</f>
        <v>390</v>
      </c>
      <c r="R272" s="24">
        <f>ShoeSales[[#This Row],[Profit]]/ShoeSales[[#This Row],[Revenue]]</f>
        <v>0.48148148148148145</v>
      </c>
      <c r="S272" s="19"/>
      <c r="T272" s="19" t="str">
        <f>UPPER(TEXT(ShoeSales[[#This Row],[Date]], "mmm"))</f>
        <v>JUN</v>
      </c>
    </row>
    <row r="273" spans="1:20" ht="14.25" customHeight="1" x14ac:dyDescent="0.25">
      <c r="A273" s="15">
        <v>46190</v>
      </c>
      <c r="B273" s="9" t="s">
        <v>7</v>
      </c>
      <c r="C273" s="9" t="str">
        <f>TRIM(PROPER(ShoeSales[[#This Row],[Product]]))</f>
        <v>Derby</v>
      </c>
      <c r="D273" s="9" t="s">
        <v>37</v>
      </c>
      <c r="E273" s="45" t="str">
        <f>UPPER(ShoeSales[[#This Row],[Category]])</f>
        <v>FORMAL</v>
      </c>
      <c r="F273" s="9" t="s">
        <v>49</v>
      </c>
      <c r="G273" s="9" t="s">
        <v>95</v>
      </c>
      <c r="H273" s="9" t="str">
        <f>PROPER(ShoeSales[[#This Row],[Brand]])</f>
        <v>Timberland</v>
      </c>
      <c r="I273" s="9" t="s">
        <v>61</v>
      </c>
      <c r="J273" s="10">
        <v>13</v>
      </c>
      <c r="K273" s="9" t="s">
        <v>62</v>
      </c>
      <c r="L273" s="22">
        <f>VLOOKUP(ShoeSales[[#This Row],[Product Cleaned]],Price!$A$2:$C$9,2,FALSE)</f>
        <v>32</v>
      </c>
      <c r="M273" s="19">
        <f>_xlfn.XLOOKUP(ShoeSales[[#This Row],[Product Cleaned]],Price!$A$2:$A$9,Price!$B$2:$B$9)</f>
        <v>32</v>
      </c>
      <c r="N273" s="19">
        <f>_xlfn.XLOOKUP(ShoeSales[[#This Row],[Product Cleaned]],Price!$A$2:$A$9,Price!$C$2:$C$9)</f>
        <v>14</v>
      </c>
      <c r="O273" s="22">
        <f>ShoeSales[[#This Row],[Sell Price]]*ShoeSales[[#This Row],[Quantity]]</f>
        <v>416</v>
      </c>
      <c r="P273" s="19">
        <f>ShoeSales[[#This Row],[Quantity]]*ShoeSales[[#This Row],[Cost Price]]</f>
        <v>182</v>
      </c>
      <c r="Q273" s="19">
        <f>ShoeSales[[#This Row],[Revenue]]-ShoeSales[[#This Row],[Cost]]</f>
        <v>234</v>
      </c>
      <c r="R273" s="24">
        <f>ShoeSales[[#This Row],[Profit]]/ShoeSales[[#This Row],[Revenue]]</f>
        <v>0.5625</v>
      </c>
      <c r="S273" s="19"/>
      <c r="T273" s="19" t="str">
        <f>UPPER(TEXT(ShoeSales[[#This Row],[Date]], "mmm"))</f>
        <v>JUN</v>
      </c>
    </row>
    <row r="274" spans="1:20" ht="14.25" customHeight="1" x14ac:dyDescent="0.25">
      <c r="A274" s="14">
        <v>46110</v>
      </c>
      <c r="B274" s="6" t="s">
        <v>88</v>
      </c>
      <c r="C274" s="16" t="str">
        <f>TRIM(PROPER(ShoeSales[[#This Row],[Product]]))</f>
        <v>Slippers</v>
      </c>
      <c r="D274" s="6" t="s">
        <v>89</v>
      </c>
      <c r="E274" s="44" t="str">
        <f>UPPER(ShoeSales[[#This Row],[Category]])</f>
        <v>OPEN</v>
      </c>
      <c r="F274" s="6" t="s">
        <v>38</v>
      </c>
      <c r="G274" s="6" t="s">
        <v>39</v>
      </c>
      <c r="H274" s="16" t="str">
        <f>PROPER(ShoeSales[[#This Row],[Brand]])</f>
        <v>Clarks</v>
      </c>
      <c r="I274" s="6" t="s">
        <v>31</v>
      </c>
      <c r="J274" s="7">
        <v>3</v>
      </c>
      <c r="K274" s="6" t="s">
        <v>54</v>
      </c>
      <c r="L274" s="22">
        <f>VLOOKUP(ShoeSales[[#This Row],[Product Cleaned]],Price!$A$2:$C$9,2,FALSE)</f>
        <v>119</v>
      </c>
      <c r="M274" s="19">
        <f>_xlfn.XLOOKUP(ShoeSales[[#This Row],[Product Cleaned]],Price!$A$2:$A$9,Price!$B$2:$B$9)</f>
        <v>119</v>
      </c>
      <c r="N274" s="19">
        <f>_xlfn.XLOOKUP(ShoeSales[[#This Row],[Product Cleaned]],Price!$A$2:$A$9,Price!$C$2:$C$9)</f>
        <v>67</v>
      </c>
      <c r="O274" s="22">
        <f>ShoeSales[[#This Row],[Sell Price]]*ShoeSales[[#This Row],[Quantity]]</f>
        <v>357</v>
      </c>
      <c r="P274" s="19">
        <f>ShoeSales[[#This Row],[Quantity]]*ShoeSales[[#This Row],[Cost Price]]</f>
        <v>201</v>
      </c>
      <c r="Q274" s="19">
        <f>ShoeSales[[#This Row],[Revenue]]-ShoeSales[[#This Row],[Cost]]</f>
        <v>156</v>
      </c>
      <c r="R274" s="24">
        <f>ShoeSales[[#This Row],[Profit]]/ShoeSales[[#This Row],[Revenue]]</f>
        <v>0.43697478991596639</v>
      </c>
      <c r="S274" s="19"/>
      <c r="T274" s="19" t="str">
        <f>UPPER(TEXT(ShoeSales[[#This Row],[Date]], "mmm"))</f>
        <v>MAR</v>
      </c>
    </row>
    <row r="275" spans="1:20" ht="14.25" customHeight="1" x14ac:dyDescent="0.25">
      <c r="A275" s="15">
        <v>46208</v>
      </c>
      <c r="B275" s="9" t="s">
        <v>83</v>
      </c>
      <c r="C275" s="9" t="str">
        <f>TRIM(PROPER(ShoeSales[[#This Row],[Product]]))</f>
        <v>Monk Straps</v>
      </c>
      <c r="D275" s="9" t="s">
        <v>28</v>
      </c>
      <c r="E275" s="45" t="str">
        <f>UPPER(ShoeSales[[#This Row],[Category]])</f>
        <v>FORMAL</v>
      </c>
      <c r="F275" s="9" t="s">
        <v>49</v>
      </c>
      <c r="G275" s="9" t="s">
        <v>95</v>
      </c>
      <c r="H275" s="9" t="str">
        <f>PROPER(ShoeSales[[#This Row],[Brand]])</f>
        <v>Timberland</v>
      </c>
      <c r="I275" s="9" t="s">
        <v>84</v>
      </c>
      <c r="J275" s="10">
        <v>3</v>
      </c>
      <c r="K275" s="9" t="s">
        <v>54</v>
      </c>
      <c r="L275" s="22">
        <f>VLOOKUP(ShoeSales[[#This Row],[Product Cleaned]],Price!$A$2:$C$9,2,FALSE)</f>
        <v>89</v>
      </c>
      <c r="M275" s="19">
        <f>_xlfn.XLOOKUP(ShoeSales[[#This Row],[Product Cleaned]],Price!$A$2:$A$9,Price!$B$2:$B$9)</f>
        <v>89</v>
      </c>
      <c r="N275" s="19">
        <f>_xlfn.XLOOKUP(ShoeSales[[#This Row],[Product Cleaned]],Price!$A$2:$A$9,Price!$C$2:$C$9)</f>
        <v>47</v>
      </c>
      <c r="O275" s="22">
        <f>ShoeSales[[#This Row],[Sell Price]]*ShoeSales[[#This Row],[Quantity]]</f>
        <v>267</v>
      </c>
      <c r="P275" s="19">
        <f>ShoeSales[[#This Row],[Quantity]]*ShoeSales[[#This Row],[Cost Price]]</f>
        <v>141</v>
      </c>
      <c r="Q275" s="19">
        <f>ShoeSales[[#This Row],[Revenue]]-ShoeSales[[#This Row],[Cost]]</f>
        <v>126</v>
      </c>
      <c r="R275" s="24">
        <f>ShoeSales[[#This Row],[Profit]]/ShoeSales[[#This Row],[Revenue]]</f>
        <v>0.47191011235955055</v>
      </c>
      <c r="S275" s="19"/>
      <c r="T275" s="19" t="str">
        <f>UPPER(TEXT(ShoeSales[[#This Row],[Date]], "mmm"))</f>
        <v>JUL</v>
      </c>
    </row>
    <row r="276" spans="1:20" ht="14.25" customHeight="1" x14ac:dyDescent="0.25">
      <c r="A276" s="14">
        <v>46097</v>
      </c>
      <c r="B276" s="6" t="s">
        <v>15</v>
      </c>
      <c r="C276" s="16" t="str">
        <f>TRIM(PROPER(ShoeSales[[#This Row],[Product]]))</f>
        <v>Slippers</v>
      </c>
      <c r="D276" s="6" t="s">
        <v>37</v>
      </c>
      <c r="E276" s="44" t="str">
        <f>UPPER(ShoeSales[[#This Row],[Category]])</f>
        <v>FORMAL</v>
      </c>
      <c r="F276" s="6" t="s">
        <v>29</v>
      </c>
      <c r="G276" s="6" t="s">
        <v>63</v>
      </c>
      <c r="H276" s="16" t="str">
        <f>PROPER(ShoeSales[[#This Row],[Brand]])</f>
        <v>Clarks</v>
      </c>
      <c r="I276" s="6" t="s">
        <v>51</v>
      </c>
      <c r="J276" s="7">
        <v>12</v>
      </c>
      <c r="K276" s="6" t="s">
        <v>62</v>
      </c>
      <c r="L276" s="22">
        <f>VLOOKUP(ShoeSales[[#This Row],[Product Cleaned]],Price!$A$2:$C$9,2,FALSE)</f>
        <v>119</v>
      </c>
      <c r="M276" s="19">
        <f>_xlfn.XLOOKUP(ShoeSales[[#This Row],[Product Cleaned]],Price!$A$2:$A$9,Price!$B$2:$B$9)</f>
        <v>119</v>
      </c>
      <c r="N276" s="19">
        <f>_xlfn.XLOOKUP(ShoeSales[[#This Row],[Product Cleaned]],Price!$A$2:$A$9,Price!$C$2:$C$9)</f>
        <v>67</v>
      </c>
      <c r="O276" s="22">
        <f>ShoeSales[[#This Row],[Sell Price]]*ShoeSales[[#This Row],[Quantity]]</f>
        <v>1428</v>
      </c>
      <c r="P276" s="19">
        <f>ShoeSales[[#This Row],[Quantity]]*ShoeSales[[#This Row],[Cost Price]]</f>
        <v>804</v>
      </c>
      <c r="Q276" s="19">
        <f>ShoeSales[[#This Row],[Revenue]]-ShoeSales[[#This Row],[Cost]]</f>
        <v>624</v>
      </c>
      <c r="R276" s="24">
        <f>ShoeSales[[#This Row],[Profit]]/ShoeSales[[#This Row],[Revenue]]</f>
        <v>0.43697478991596639</v>
      </c>
      <c r="S276" s="19"/>
      <c r="T276" s="19" t="str">
        <f>UPPER(TEXT(ShoeSales[[#This Row],[Date]], "mmm"))</f>
        <v>MAR</v>
      </c>
    </row>
    <row r="277" spans="1:20" ht="14.25" customHeight="1" x14ac:dyDescent="0.25">
      <c r="A277" s="15">
        <v>46199</v>
      </c>
      <c r="B277" s="9" t="s">
        <v>52</v>
      </c>
      <c r="C277" s="9" t="str">
        <f>TRIM(PROPER(ShoeSales[[#This Row],[Product]]))</f>
        <v>Canvas</v>
      </c>
      <c r="D277" s="9" t="s">
        <v>28</v>
      </c>
      <c r="E277" s="45" t="str">
        <f>UPPER(ShoeSales[[#This Row],[Category]])</f>
        <v>FORMAL</v>
      </c>
      <c r="F277" s="9" t="s">
        <v>49</v>
      </c>
      <c r="G277" s="9" t="s">
        <v>82</v>
      </c>
      <c r="H277" s="9" t="str">
        <f>PROPER(ShoeSales[[#This Row],[Brand]])</f>
        <v>Zara</v>
      </c>
      <c r="I277" s="9" t="s">
        <v>40</v>
      </c>
      <c r="J277" s="10">
        <v>8</v>
      </c>
      <c r="K277" s="9" t="s">
        <v>54</v>
      </c>
      <c r="L277" s="22">
        <f>VLOOKUP(ShoeSales[[#This Row],[Product Cleaned]],Price!$A$2:$C$9,2,FALSE)</f>
        <v>128</v>
      </c>
      <c r="M277" s="19">
        <f>_xlfn.XLOOKUP(ShoeSales[[#This Row],[Product Cleaned]],Price!$A$2:$A$9,Price!$B$2:$B$9)</f>
        <v>128</v>
      </c>
      <c r="N277" s="19">
        <f>_xlfn.XLOOKUP(ShoeSales[[#This Row],[Product Cleaned]],Price!$A$2:$A$9,Price!$C$2:$C$9)</f>
        <v>72</v>
      </c>
      <c r="O277" s="22">
        <f>ShoeSales[[#This Row],[Sell Price]]*ShoeSales[[#This Row],[Quantity]]</f>
        <v>1024</v>
      </c>
      <c r="P277" s="19">
        <f>ShoeSales[[#This Row],[Quantity]]*ShoeSales[[#This Row],[Cost Price]]</f>
        <v>576</v>
      </c>
      <c r="Q277" s="19">
        <f>ShoeSales[[#This Row],[Revenue]]-ShoeSales[[#This Row],[Cost]]</f>
        <v>448</v>
      </c>
      <c r="R277" s="24">
        <f>ShoeSales[[#This Row],[Profit]]/ShoeSales[[#This Row],[Revenue]]</f>
        <v>0.4375</v>
      </c>
      <c r="S277" s="19"/>
      <c r="T277" s="19" t="str">
        <f>UPPER(TEXT(ShoeSales[[#This Row],[Date]], "mmm"))</f>
        <v>JUN</v>
      </c>
    </row>
    <row r="278" spans="1:20" ht="14.25" customHeight="1" x14ac:dyDescent="0.25">
      <c r="A278" s="14">
        <v>46111</v>
      </c>
      <c r="B278" s="6" t="s">
        <v>85</v>
      </c>
      <c r="C278" s="16" t="str">
        <f>TRIM(PROPER(ShoeSales[[#This Row],[Product]]))</f>
        <v>Brogues</v>
      </c>
      <c r="D278" s="6" t="s">
        <v>89</v>
      </c>
      <c r="E278" s="44" t="str">
        <f>UPPER(ShoeSales[[#This Row],[Category]])</f>
        <v>OPEN</v>
      </c>
      <c r="F278" s="6" t="s">
        <v>49</v>
      </c>
      <c r="G278" s="6" t="s">
        <v>94</v>
      </c>
      <c r="H278" s="16" t="str">
        <f>PROPER(ShoeSales[[#This Row],[Brand]])</f>
        <v>Timberland</v>
      </c>
      <c r="I278" s="6" t="s">
        <v>84</v>
      </c>
      <c r="J278" s="7">
        <v>4</v>
      </c>
      <c r="K278" s="6" t="s">
        <v>32</v>
      </c>
      <c r="L278" s="22">
        <f>VLOOKUP(ShoeSales[[#This Row],[Product Cleaned]],Price!$A$2:$C$9,2,FALSE)</f>
        <v>112</v>
      </c>
      <c r="M278" s="19">
        <f>_xlfn.XLOOKUP(ShoeSales[[#This Row],[Product Cleaned]],Price!$A$2:$A$9,Price!$B$2:$B$9)</f>
        <v>112</v>
      </c>
      <c r="N278" s="19">
        <f>_xlfn.XLOOKUP(ShoeSales[[#This Row],[Product Cleaned]],Price!$A$2:$A$9,Price!$C$2:$C$9)</f>
        <v>64</v>
      </c>
      <c r="O278" s="22">
        <f>ShoeSales[[#This Row],[Sell Price]]*ShoeSales[[#This Row],[Quantity]]</f>
        <v>448</v>
      </c>
      <c r="P278" s="19">
        <f>ShoeSales[[#This Row],[Quantity]]*ShoeSales[[#This Row],[Cost Price]]</f>
        <v>256</v>
      </c>
      <c r="Q278" s="19">
        <f>ShoeSales[[#This Row],[Revenue]]-ShoeSales[[#This Row],[Cost]]</f>
        <v>192</v>
      </c>
      <c r="R278" s="24">
        <f>ShoeSales[[#This Row],[Profit]]/ShoeSales[[#This Row],[Revenue]]</f>
        <v>0.42857142857142855</v>
      </c>
      <c r="S278" s="19"/>
      <c r="T278" s="19" t="str">
        <f>UPPER(TEXT(ShoeSales[[#This Row],[Date]], "mmm"))</f>
        <v>MAR</v>
      </c>
    </row>
    <row r="279" spans="1:20" ht="14.25" customHeight="1" x14ac:dyDescent="0.25">
      <c r="A279" s="15">
        <v>46094</v>
      </c>
      <c r="B279" s="9" t="s">
        <v>7</v>
      </c>
      <c r="C279" s="9" t="str">
        <f>TRIM(PROPER(ShoeSales[[#This Row],[Product]]))</f>
        <v>Derby</v>
      </c>
      <c r="D279" s="9" t="s">
        <v>71</v>
      </c>
      <c r="E279" s="45" t="str">
        <f>UPPER(ShoeSales[[#This Row],[Category]])</f>
        <v>CASUAL</v>
      </c>
      <c r="F279" s="9" t="s">
        <v>38</v>
      </c>
      <c r="G279" s="9" t="s">
        <v>39</v>
      </c>
      <c r="H279" s="9" t="str">
        <f>PROPER(ShoeSales[[#This Row],[Brand]])</f>
        <v>Clarks</v>
      </c>
      <c r="I279" s="9" t="s">
        <v>64</v>
      </c>
      <c r="J279" s="10">
        <v>9</v>
      </c>
      <c r="K279" s="9" t="s">
        <v>36</v>
      </c>
      <c r="L279" s="22">
        <f>VLOOKUP(ShoeSales[[#This Row],[Product Cleaned]],Price!$A$2:$C$9,2,FALSE)</f>
        <v>32</v>
      </c>
      <c r="M279" s="19">
        <f>_xlfn.XLOOKUP(ShoeSales[[#This Row],[Product Cleaned]],Price!$A$2:$A$9,Price!$B$2:$B$9)</f>
        <v>32</v>
      </c>
      <c r="N279" s="19">
        <f>_xlfn.XLOOKUP(ShoeSales[[#This Row],[Product Cleaned]],Price!$A$2:$A$9,Price!$C$2:$C$9)</f>
        <v>14</v>
      </c>
      <c r="O279" s="22">
        <f>ShoeSales[[#This Row],[Sell Price]]*ShoeSales[[#This Row],[Quantity]]</f>
        <v>288</v>
      </c>
      <c r="P279" s="19">
        <f>ShoeSales[[#This Row],[Quantity]]*ShoeSales[[#This Row],[Cost Price]]</f>
        <v>126</v>
      </c>
      <c r="Q279" s="19">
        <f>ShoeSales[[#This Row],[Revenue]]-ShoeSales[[#This Row],[Cost]]</f>
        <v>162</v>
      </c>
      <c r="R279" s="24">
        <f>ShoeSales[[#This Row],[Profit]]/ShoeSales[[#This Row],[Revenue]]</f>
        <v>0.5625</v>
      </c>
      <c r="S279" s="19"/>
      <c r="T279" s="19" t="str">
        <f>UPPER(TEXT(ShoeSales[[#This Row],[Date]], "mmm"))</f>
        <v>MAR</v>
      </c>
    </row>
    <row r="280" spans="1:20" ht="14.25" customHeight="1" x14ac:dyDescent="0.25">
      <c r="A280" s="14">
        <v>46031</v>
      </c>
      <c r="B280" s="6" t="s">
        <v>52</v>
      </c>
      <c r="C280" s="16" t="str">
        <f>TRIM(PROPER(ShoeSales[[#This Row],[Product]]))</f>
        <v>Canvas</v>
      </c>
      <c r="D280" s="6" t="s">
        <v>37</v>
      </c>
      <c r="E280" s="44" t="str">
        <f>UPPER(ShoeSales[[#This Row],[Category]])</f>
        <v>FORMAL</v>
      </c>
      <c r="F280" s="6" t="s">
        <v>34</v>
      </c>
      <c r="G280" s="6" t="s">
        <v>46</v>
      </c>
      <c r="H280" s="16" t="str">
        <f>PROPER(ShoeSales[[#This Row],[Brand]])</f>
        <v>Clarks</v>
      </c>
      <c r="I280" s="6" t="s">
        <v>40</v>
      </c>
      <c r="J280" s="7">
        <v>7</v>
      </c>
      <c r="K280" s="6" t="s">
        <v>54</v>
      </c>
      <c r="L280" s="22">
        <f>VLOOKUP(ShoeSales[[#This Row],[Product Cleaned]],Price!$A$2:$C$9,2,FALSE)</f>
        <v>128</v>
      </c>
      <c r="M280" s="19">
        <f>_xlfn.XLOOKUP(ShoeSales[[#This Row],[Product Cleaned]],Price!$A$2:$A$9,Price!$B$2:$B$9)</f>
        <v>128</v>
      </c>
      <c r="N280" s="19">
        <f>_xlfn.XLOOKUP(ShoeSales[[#This Row],[Product Cleaned]],Price!$A$2:$A$9,Price!$C$2:$C$9)</f>
        <v>72</v>
      </c>
      <c r="O280" s="22">
        <f>ShoeSales[[#This Row],[Sell Price]]*ShoeSales[[#This Row],[Quantity]]</f>
        <v>896</v>
      </c>
      <c r="P280" s="19">
        <f>ShoeSales[[#This Row],[Quantity]]*ShoeSales[[#This Row],[Cost Price]]</f>
        <v>504</v>
      </c>
      <c r="Q280" s="19">
        <f>ShoeSales[[#This Row],[Revenue]]-ShoeSales[[#This Row],[Cost]]</f>
        <v>392</v>
      </c>
      <c r="R280" s="24">
        <f>ShoeSales[[#This Row],[Profit]]/ShoeSales[[#This Row],[Revenue]]</f>
        <v>0.4375</v>
      </c>
      <c r="S280" s="19"/>
      <c r="T280" s="19" t="str">
        <f>UPPER(TEXT(ShoeSales[[#This Row],[Date]], "mmm"))</f>
        <v>JAN</v>
      </c>
    </row>
    <row r="281" spans="1:20" ht="14.25" customHeight="1" x14ac:dyDescent="0.25">
      <c r="A281" s="15">
        <v>46174</v>
      </c>
      <c r="B281" s="9" t="s">
        <v>52</v>
      </c>
      <c r="C281" s="9" t="str">
        <f>TRIM(PROPER(ShoeSales[[#This Row],[Product]]))</f>
        <v>Canvas</v>
      </c>
      <c r="D281" s="9" t="s">
        <v>28</v>
      </c>
      <c r="E281" s="45" t="str">
        <f>UPPER(ShoeSales[[#This Row],[Category]])</f>
        <v>FORMAL</v>
      </c>
      <c r="F281" s="9" t="s">
        <v>56</v>
      </c>
      <c r="G281" s="9" t="s">
        <v>46</v>
      </c>
      <c r="H281" s="9" t="str">
        <f>PROPER(ShoeSales[[#This Row],[Brand]])</f>
        <v>Clarks</v>
      </c>
      <c r="I281" s="9" t="s">
        <v>51</v>
      </c>
      <c r="J281" s="10">
        <v>8</v>
      </c>
      <c r="K281" s="9" t="s">
        <v>32</v>
      </c>
      <c r="L281" s="22">
        <f>VLOOKUP(ShoeSales[[#This Row],[Product Cleaned]],Price!$A$2:$C$9,2,FALSE)</f>
        <v>128</v>
      </c>
      <c r="M281" s="19">
        <f>_xlfn.XLOOKUP(ShoeSales[[#This Row],[Product Cleaned]],Price!$A$2:$A$9,Price!$B$2:$B$9)</f>
        <v>128</v>
      </c>
      <c r="N281" s="19">
        <f>_xlfn.XLOOKUP(ShoeSales[[#This Row],[Product Cleaned]],Price!$A$2:$A$9,Price!$C$2:$C$9)</f>
        <v>72</v>
      </c>
      <c r="O281" s="22">
        <f>ShoeSales[[#This Row],[Sell Price]]*ShoeSales[[#This Row],[Quantity]]</f>
        <v>1024</v>
      </c>
      <c r="P281" s="19">
        <f>ShoeSales[[#This Row],[Quantity]]*ShoeSales[[#This Row],[Cost Price]]</f>
        <v>576</v>
      </c>
      <c r="Q281" s="19">
        <f>ShoeSales[[#This Row],[Revenue]]-ShoeSales[[#This Row],[Cost]]</f>
        <v>448</v>
      </c>
      <c r="R281" s="24">
        <f>ShoeSales[[#This Row],[Profit]]/ShoeSales[[#This Row],[Revenue]]</f>
        <v>0.4375</v>
      </c>
      <c r="S281" s="19"/>
      <c r="T281" s="19" t="str">
        <f>UPPER(TEXT(ShoeSales[[#This Row],[Date]], "mmm"))</f>
        <v>JUN</v>
      </c>
    </row>
    <row r="282" spans="1:20" ht="14.25" customHeight="1" x14ac:dyDescent="0.25">
      <c r="A282" s="14">
        <v>46168</v>
      </c>
      <c r="B282" s="6" t="s">
        <v>12</v>
      </c>
      <c r="C282" s="16" t="str">
        <f>TRIM(PROPER(ShoeSales[[#This Row],[Product]]))</f>
        <v>Brogues</v>
      </c>
      <c r="D282" s="6" t="s">
        <v>58</v>
      </c>
      <c r="E282" s="44" t="str">
        <f>UPPER(ShoeSales[[#This Row],[Category]])</f>
        <v>FORMAL</v>
      </c>
      <c r="F282" s="6" t="s">
        <v>56</v>
      </c>
      <c r="G282" s="6" t="s">
        <v>39</v>
      </c>
      <c r="H282" s="16" t="str">
        <f>PROPER(ShoeSales[[#This Row],[Brand]])</f>
        <v>Clarks</v>
      </c>
      <c r="I282" s="6" t="s">
        <v>91</v>
      </c>
      <c r="J282" s="7">
        <v>6</v>
      </c>
      <c r="K282" s="6" t="s">
        <v>32</v>
      </c>
      <c r="L282" s="22">
        <f>VLOOKUP(ShoeSales[[#This Row],[Product Cleaned]],Price!$A$2:$C$9,2,FALSE)</f>
        <v>112</v>
      </c>
      <c r="M282" s="19">
        <f>_xlfn.XLOOKUP(ShoeSales[[#This Row],[Product Cleaned]],Price!$A$2:$A$9,Price!$B$2:$B$9)</f>
        <v>112</v>
      </c>
      <c r="N282" s="19">
        <f>_xlfn.XLOOKUP(ShoeSales[[#This Row],[Product Cleaned]],Price!$A$2:$A$9,Price!$C$2:$C$9)</f>
        <v>64</v>
      </c>
      <c r="O282" s="22">
        <f>ShoeSales[[#This Row],[Sell Price]]*ShoeSales[[#This Row],[Quantity]]</f>
        <v>672</v>
      </c>
      <c r="P282" s="19">
        <f>ShoeSales[[#This Row],[Quantity]]*ShoeSales[[#This Row],[Cost Price]]</f>
        <v>384</v>
      </c>
      <c r="Q282" s="19">
        <f>ShoeSales[[#This Row],[Revenue]]-ShoeSales[[#This Row],[Cost]]</f>
        <v>288</v>
      </c>
      <c r="R282" s="24">
        <f>ShoeSales[[#This Row],[Profit]]/ShoeSales[[#This Row],[Revenue]]</f>
        <v>0.42857142857142855</v>
      </c>
      <c r="S282" s="19"/>
      <c r="T282" s="19" t="str">
        <f>UPPER(TEXT(ShoeSales[[#This Row],[Date]], "mmm"))</f>
        <v>MAY</v>
      </c>
    </row>
    <row r="283" spans="1:20" ht="14.25" customHeight="1" x14ac:dyDescent="0.25">
      <c r="A283" s="15">
        <v>46059</v>
      </c>
      <c r="B283" s="9" t="s">
        <v>9</v>
      </c>
      <c r="C283" s="9" t="str">
        <f>TRIM(PROPER(ShoeSales[[#This Row],[Product]]))</f>
        <v>Canvas</v>
      </c>
      <c r="D283" s="9" t="s">
        <v>28</v>
      </c>
      <c r="E283" s="45" t="str">
        <f>UPPER(ShoeSales[[#This Row],[Category]])</f>
        <v>FORMAL</v>
      </c>
      <c r="F283" s="9" t="s">
        <v>34</v>
      </c>
      <c r="G283" s="9" t="s">
        <v>46</v>
      </c>
      <c r="H283" s="9" t="str">
        <f>PROPER(ShoeSales[[#This Row],[Brand]])</f>
        <v>Clarks</v>
      </c>
      <c r="I283" s="9" t="s">
        <v>43</v>
      </c>
      <c r="J283" s="10">
        <v>3</v>
      </c>
      <c r="K283" s="9" t="s">
        <v>32</v>
      </c>
      <c r="L283" s="22">
        <f>VLOOKUP(ShoeSales[[#This Row],[Product Cleaned]],Price!$A$2:$C$9,2,FALSE)</f>
        <v>128</v>
      </c>
      <c r="M283" s="19">
        <f>_xlfn.XLOOKUP(ShoeSales[[#This Row],[Product Cleaned]],Price!$A$2:$A$9,Price!$B$2:$B$9)</f>
        <v>128</v>
      </c>
      <c r="N283" s="19">
        <f>_xlfn.XLOOKUP(ShoeSales[[#This Row],[Product Cleaned]],Price!$A$2:$A$9,Price!$C$2:$C$9)</f>
        <v>72</v>
      </c>
      <c r="O283" s="22">
        <f>ShoeSales[[#This Row],[Sell Price]]*ShoeSales[[#This Row],[Quantity]]</f>
        <v>384</v>
      </c>
      <c r="P283" s="19">
        <f>ShoeSales[[#This Row],[Quantity]]*ShoeSales[[#This Row],[Cost Price]]</f>
        <v>216</v>
      </c>
      <c r="Q283" s="19">
        <f>ShoeSales[[#This Row],[Revenue]]-ShoeSales[[#This Row],[Cost]]</f>
        <v>168</v>
      </c>
      <c r="R283" s="24">
        <f>ShoeSales[[#This Row],[Profit]]/ShoeSales[[#This Row],[Revenue]]</f>
        <v>0.4375</v>
      </c>
      <c r="S283" s="19"/>
      <c r="T283" s="19" t="str">
        <f>UPPER(TEXT(ShoeSales[[#This Row],[Date]], "mmm"))</f>
        <v>FEB</v>
      </c>
    </row>
    <row r="284" spans="1:20" ht="14.25" customHeight="1" x14ac:dyDescent="0.25">
      <c r="A284" s="14">
        <v>46088</v>
      </c>
      <c r="B284" s="6" t="s">
        <v>67</v>
      </c>
      <c r="C284" s="16" t="str">
        <f>TRIM(PROPER(ShoeSales[[#This Row],[Product]]))</f>
        <v>Oxford</v>
      </c>
      <c r="D284" s="6" t="s">
        <v>93</v>
      </c>
      <c r="E284" s="44" t="str">
        <f>UPPER(ShoeSales[[#This Row],[Category]])</f>
        <v>UTILITY</v>
      </c>
      <c r="F284" s="6" t="s">
        <v>29</v>
      </c>
      <c r="G284" s="6" t="s">
        <v>63</v>
      </c>
      <c r="H284" s="16" t="str">
        <f>PROPER(ShoeSales[[#This Row],[Brand]])</f>
        <v>Clarks</v>
      </c>
      <c r="I284" s="6" t="s">
        <v>53</v>
      </c>
      <c r="J284" s="7">
        <v>3</v>
      </c>
      <c r="K284" s="6" t="s">
        <v>54</v>
      </c>
      <c r="L284" s="22">
        <f>VLOOKUP(ShoeSales[[#This Row],[Product Cleaned]],Price!$A$2:$C$9,2,FALSE)</f>
        <v>105</v>
      </c>
      <c r="M284" s="19">
        <f>_xlfn.XLOOKUP(ShoeSales[[#This Row],[Product Cleaned]],Price!$A$2:$A$9,Price!$B$2:$B$9)</f>
        <v>105</v>
      </c>
      <c r="N284" s="19">
        <f>_xlfn.XLOOKUP(ShoeSales[[#This Row],[Product Cleaned]],Price!$A$2:$A$9,Price!$C$2:$C$9)</f>
        <v>58</v>
      </c>
      <c r="O284" s="22">
        <f>ShoeSales[[#This Row],[Sell Price]]*ShoeSales[[#This Row],[Quantity]]</f>
        <v>315</v>
      </c>
      <c r="P284" s="19">
        <f>ShoeSales[[#This Row],[Quantity]]*ShoeSales[[#This Row],[Cost Price]]</f>
        <v>174</v>
      </c>
      <c r="Q284" s="19">
        <f>ShoeSales[[#This Row],[Revenue]]-ShoeSales[[#This Row],[Cost]]</f>
        <v>141</v>
      </c>
      <c r="R284" s="24">
        <f>ShoeSales[[#This Row],[Profit]]/ShoeSales[[#This Row],[Revenue]]</f>
        <v>0.44761904761904764</v>
      </c>
      <c r="S284" s="19"/>
      <c r="T284" s="19" t="str">
        <f>UPPER(TEXT(ShoeSales[[#This Row],[Date]], "mmm"))</f>
        <v>MAR</v>
      </c>
    </row>
    <row r="285" spans="1:20" ht="14.25" customHeight="1" x14ac:dyDescent="0.25">
      <c r="A285" s="15">
        <v>46032</v>
      </c>
      <c r="B285" s="9" t="s">
        <v>92</v>
      </c>
      <c r="C285" s="9" t="str">
        <f>TRIM(PROPER(ShoeSales[[#This Row],[Product]]))</f>
        <v>Canvas</v>
      </c>
      <c r="D285" s="9" t="s">
        <v>28</v>
      </c>
      <c r="E285" s="45" t="str">
        <f>UPPER(ShoeSales[[#This Row],[Category]])</f>
        <v>FORMAL</v>
      </c>
      <c r="F285" s="9" t="s">
        <v>29</v>
      </c>
      <c r="G285" s="9" t="s">
        <v>39</v>
      </c>
      <c r="H285" s="9" t="str">
        <f>PROPER(ShoeSales[[#This Row],[Brand]])</f>
        <v>Clarks</v>
      </c>
      <c r="I285" s="9" t="s">
        <v>84</v>
      </c>
      <c r="J285" s="10">
        <v>7</v>
      </c>
      <c r="K285" s="9" t="s">
        <v>32</v>
      </c>
      <c r="L285" s="22">
        <f>VLOOKUP(ShoeSales[[#This Row],[Product Cleaned]],Price!$A$2:$C$9,2,FALSE)</f>
        <v>128</v>
      </c>
      <c r="M285" s="19">
        <f>_xlfn.XLOOKUP(ShoeSales[[#This Row],[Product Cleaned]],Price!$A$2:$A$9,Price!$B$2:$B$9)</f>
        <v>128</v>
      </c>
      <c r="N285" s="19">
        <f>_xlfn.XLOOKUP(ShoeSales[[#This Row],[Product Cleaned]],Price!$A$2:$A$9,Price!$C$2:$C$9)</f>
        <v>72</v>
      </c>
      <c r="O285" s="22">
        <f>ShoeSales[[#This Row],[Sell Price]]*ShoeSales[[#This Row],[Quantity]]</f>
        <v>896</v>
      </c>
      <c r="P285" s="19">
        <f>ShoeSales[[#This Row],[Quantity]]*ShoeSales[[#This Row],[Cost Price]]</f>
        <v>504</v>
      </c>
      <c r="Q285" s="19">
        <f>ShoeSales[[#This Row],[Revenue]]-ShoeSales[[#This Row],[Cost]]</f>
        <v>392</v>
      </c>
      <c r="R285" s="24">
        <f>ShoeSales[[#This Row],[Profit]]/ShoeSales[[#This Row],[Revenue]]</f>
        <v>0.4375</v>
      </c>
      <c r="S285" s="19"/>
      <c r="T285" s="19" t="str">
        <f>UPPER(TEXT(ShoeSales[[#This Row],[Date]], "mmm"))</f>
        <v>JAN</v>
      </c>
    </row>
    <row r="286" spans="1:20" ht="14.25" customHeight="1" x14ac:dyDescent="0.25">
      <c r="A286" s="14">
        <v>46125</v>
      </c>
      <c r="B286" s="6" t="s">
        <v>68</v>
      </c>
      <c r="C286" s="16" t="str">
        <f>TRIM(PROPER(ShoeSales[[#This Row],[Product]]))</f>
        <v>Slippers</v>
      </c>
      <c r="D286" s="6" t="s">
        <v>28</v>
      </c>
      <c r="E286" s="44" t="str">
        <f>UPPER(ShoeSales[[#This Row],[Category]])</f>
        <v>FORMAL</v>
      </c>
      <c r="F286" s="6" t="s">
        <v>49</v>
      </c>
      <c r="G286" s="6" t="s">
        <v>46</v>
      </c>
      <c r="H286" s="16" t="str">
        <f>PROPER(ShoeSales[[#This Row],[Brand]])</f>
        <v>Clarks</v>
      </c>
      <c r="I286" s="6" t="s">
        <v>84</v>
      </c>
      <c r="J286" s="7">
        <v>5</v>
      </c>
      <c r="K286" s="6" t="s">
        <v>62</v>
      </c>
      <c r="L286" s="22">
        <f>VLOOKUP(ShoeSales[[#This Row],[Product Cleaned]],Price!$A$2:$C$9,2,FALSE)</f>
        <v>119</v>
      </c>
      <c r="M286" s="19">
        <f>_xlfn.XLOOKUP(ShoeSales[[#This Row],[Product Cleaned]],Price!$A$2:$A$9,Price!$B$2:$B$9)</f>
        <v>119</v>
      </c>
      <c r="N286" s="19">
        <f>_xlfn.XLOOKUP(ShoeSales[[#This Row],[Product Cleaned]],Price!$A$2:$A$9,Price!$C$2:$C$9)</f>
        <v>67</v>
      </c>
      <c r="O286" s="22">
        <f>ShoeSales[[#This Row],[Sell Price]]*ShoeSales[[#This Row],[Quantity]]</f>
        <v>595</v>
      </c>
      <c r="P286" s="19">
        <f>ShoeSales[[#This Row],[Quantity]]*ShoeSales[[#This Row],[Cost Price]]</f>
        <v>335</v>
      </c>
      <c r="Q286" s="19">
        <f>ShoeSales[[#This Row],[Revenue]]-ShoeSales[[#This Row],[Cost]]</f>
        <v>260</v>
      </c>
      <c r="R286" s="24">
        <f>ShoeSales[[#This Row],[Profit]]/ShoeSales[[#This Row],[Revenue]]</f>
        <v>0.43697478991596639</v>
      </c>
      <c r="S286" s="19"/>
      <c r="T286" s="19" t="str">
        <f>UPPER(TEXT(ShoeSales[[#This Row],[Date]], "mmm"))</f>
        <v>APR</v>
      </c>
    </row>
    <row r="287" spans="1:20" ht="14.25" customHeight="1" x14ac:dyDescent="0.25">
      <c r="A287" s="15">
        <v>46049</v>
      </c>
      <c r="B287" s="9" t="s">
        <v>68</v>
      </c>
      <c r="C287" s="9" t="str">
        <f>TRIM(PROPER(ShoeSales[[#This Row],[Product]]))</f>
        <v>Slippers</v>
      </c>
      <c r="D287" s="9" t="s">
        <v>77</v>
      </c>
      <c r="E287" s="45" t="str">
        <f>UPPER(ShoeSales[[#This Row],[Category]])</f>
        <v>CASUAL</v>
      </c>
      <c r="F287" s="9" t="s">
        <v>29</v>
      </c>
      <c r="G287" s="9" t="s">
        <v>63</v>
      </c>
      <c r="H287" s="9" t="str">
        <f>PROPER(ShoeSales[[#This Row],[Brand]])</f>
        <v>Clarks</v>
      </c>
      <c r="I287" s="9" t="s">
        <v>66</v>
      </c>
      <c r="J287" s="10">
        <v>3</v>
      </c>
      <c r="K287" s="9" t="s">
        <v>36</v>
      </c>
      <c r="L287" s="22">
        <f>VLOOKUP(ShoeSales[[#This Row],[Product Cleaned]],Price!$A$2:$C$9,2,FALSE)</f>
        <v>119</v>
      </c>
      <c r="M287" s="19">
        <f>_xlfn.XLOOKUP(ShoeSales[[#This Row],[Product Cleaned]],Price!$A$2:$A$9,Price!$B$2:$B$9)</f>
        <v>119</v>
      </c>
      <c r="N287" s="19">
        <f>_xlfn.XLOOKUP(ShoeSales[[#This Row],[Product Cleaned]],Price!$A$2:$A$9,Price!$C$2:$C$9)</f>
        <v>67</v>
      </c>
      <c r="O287" s="22">
        <f>ShoeSales[[#This Row],[Sell Price]]*ShoeSales[[#This Row],[Quantity]]</f>
        <v>357</v>
      </c>
      <c r="P287" s="19">
        <f>ShoeSales[[#This Row],[Quantity]]*ShoeSales[[#This Row],[Cost Price]]</f>
        <v>201</v>
      </c>
      <c r="Q287" s="19">
        <f>ShoeSales[[#This Row],[Revenue]]-ShoeSales[[#This Row],[Cost]]</f>
        <v>156</v>
      </c>
      <c r="R287" s="24">
        <f>ShoeSales[[#This Row],[Profit]]/ShoeSales[[#This Row],[Revenue]]</f>
        <v>0.43697478991596639</v>
      </c>
      <c r="S287" s="19"/>
      <c r="T287" s="19" t="str">
        <f>UPPER(TEXT(ShoeSales[[#This Row],[Date]], "mmm"))</f>
        <v>JAN</v>
      </c>
    </row>
    <row r="288" spans="1:20" ht="14.25" customHeight="1" x14ac:dyDescent="0.25">
      <c r="A288" s="14">
        <v>46138</v>
      </c>
      <c r="B288" s="6" t="s">
        <v>10</v>
      </c>
      <c r="C288" s="16" t="str">
        <f>TRIM(PROPER(ShoeSales[[#This Row],[Product]]))</f>
        <v>Oxford</v>
      </c>
      <c r="D288" s="6" t="s">
        <v>87</v>
      </c>
      <c r="E288" s="44" t="str">
        <f>UPPER(ShoeSales[[#This Row],[Category]])</f>
        <v>OPEN</v>
      </c>
      <c r="F288" s="6" t="s">
        <v>29</v>
      </c>
      <c r="G288" s="6" t="s">
        <v>46</v>
      </c>
      <c r="H288" s="16" t="str">
        <f>PROPER(ShoeSales[[#This Row],[Brand]])</f>
        <v>Clarks</v>
      </c>
      <c r="I288" s="6" t="s">
        <v>31</v>
      </c>
      <c r="J288" s="7">
        <v>12</v>
      </c>
      <c r="K288" s="6" t="s">
        <v>36</v>
      </c>
      <c r="L288" s="22">
        <f>VLOOKUP(ShoeSales[[#This Row],[Product Cleaned]],Price!$A$2:$C$9,2,FALSE)</f>
        <v>105</v>
      </c>
      <c r="M288" s="19">
        <f>_xlfn.XLOOKUP(ShoeSales[[#This Row],[Product Cleaned]],Price!$A$2:$A$9,Price!$B$2:$B$9)</f>
        <v>105</v>
      </c>
      <c r="N288" s="19">
        <f>_xlfn.XLOOKUP(ShoeSales[[#This Row],[Product Cleaned]],Price!$A$2:$A$9,Price!$C$2:$C$9)</f>
        <v>58</v>
      </c>
      <c r="O288" s="22">
        <f>ShoeSales[[#This Row],[Sell Price]]*ShoeSales[[#This Row],[Quantity]]</f>
        <v>1260</v>
      </c>
      <c r="P288" s="19">
        <f>ShoeSales[[#This Row],[Quantity]]*ShoeSales[[#This Row],[Cost Price]]</f>
        <v>696</v>
      </c>
      <c r="Q288" s="19">
        <f>ShoeSales[[#This Row],[Revenue]]-ShoeSales[[#This Row],[Cost]]</f>
        <v>564</v>
      </c>
      <c r="R288" s="24">
        <f>ShoeSales[[#This Row],[Profit]]/ShoeSales[[#This Row],[Revenue]]</f>
        <v>0.44761904761904764</v>
      </c>
      <c r="S288" s="19"/>
      <c r="T288" s="19" t="str">
        <f>UPPER(TEXT(ShoeSales[[#This Row],[Date]], "mmm"))</f>
        <v>APR</v>
      </c>
    </row>
    <row r="289" spans="1:20" ht="14.25" customHeight="1" x14ac:dyDescent="0.25">
      <c r="A289" s="15">
        <v>46193</v>
      </c>
      <c r="B289" s="9" t="s">
        <v>76</v>
      </c>
      <c r="C289" s="9" t="str">
        <f>TRIM(PROPER(ShoeSales[[#This Row],[Product]]))</f>
        <v>Derby</v>
      </c>
      <c r="D289" s="9" t="s">
        <v>28</v>
      </c>
      <c r="E289" s="45" t="str">
        <f>UPPER(ShoeSales[[#This Row],[Category]])</f>
        <v>FORMAL</v>
      </c>
      <c r="F289" s="9" t="s">
        <v>49</v>
      </c>
      <c r="G289" s="9" t="s">
        <v>39</v>
      </c>
      <c r="H289" s="9" t="str">
        <f>PROPER(ShoeSales[[#This Row],[Brand]])</f>
        <v>Clarks</v>
      </c>
      <c r="I289" s="9" t="s">
        <v>47</v>
      </c>
      <c r="J289" s="10">
        <v>9</v>
      </c>
      <c r="K289" s="9" t="s">
        <v>36</v>
      </c>
      <c r="L289" s="22">
        <f>VLOOKUP(ShoeSales[[#This Row],[Product Cleaned]],Price!$A$2:$C$9,2,FALSE)</f>
        <v>32</v>
      </c>
      <c r="M289" s="19">
        <f>_xlfn.XLOOKUP(ShoeSales[[#This Row],[Product Cleaned]],Price!$A$2:$A$9,Price!$B$2:$B$9)</f>
        <v>32</v>
      </c>
      <c r="N289" s="19">
        <f>_xlfn.XLOOKUP(ShoeSales[[#This Row],[Product Cleaned]],Price!$A$2:$A$9,Price!$C$2:$C$9)</f>
        <v>14</v>
      </c>
      <c r="O289" s="22">
        <f>ShoeSales[[#This Row],[Sell Price]]*ShoeSales[[#This Row],[Quantity]]</f>
        <v>288</v>
      </c>
      <c r="P289" s="19">
        <f>ShoeSales[[#This Row],[Quantity]]*ShoeSales[[#This Row],[Cost Price]]</f>
        <v>126</v>
      </c>
      <c r="Q289" s="19">
        <f>ShoeSales[[#This Row],[Revenue]]-ShoeSales[[#This Row],[Cost]]</f>
        <v>162</v>
      </c>
      <c r="R289" s="24">
        <f>ShoeSales[[#This Row],[Profit]]/ShoeSales[[#This Row],[Revenue]]</f>
        <v>0.5625</v>
      </c>
      <c r="S289" s="19"/>
      <c r="T289" s="19" t="str">
        <f>UPPER(TEXT(ShoeSales[[#This Row],[Date]], "mmm"))</f>
        <v>JUN</v>
      </c>
    </row>
    <row r="290" spans="1:20" ht="14.25" customHeight="1" x14ac:dyDescent="0.25">
      <c r="A290" s="14">
        <v>46124</v>
      </c>
      <c r="B290" s="6" t="s">
        <v>88</v>
      </c>
      <c r="C290" s="16" t="str">
        <f>TRIM(PROPER(ShoeSales[[#This Row],[Product]]))</f>
        <v>Slippers</v>
      </c>
      <c r="D290" s="6" t="s">
        <v>58</v>
      </c>
      <c r="E290" s="44" t="str">
        <f>UPPER(ShoeSales[[#This Row],[Category]])</f>
        <v>FORMAL</v>
      </c>
      <c r="F290" s="6" t="s">
        <v>29</v>
      </c>
      <c r="G290" s="6" t="s">
        <v>63</v>
      </c>
      <c r="H290" s="16" t="str">
        <f>PROPER(ShoeSales[[#This Row],[Brand]])</f>
        <v>Clarks</v>
      </c>
      <c r="I290" s="6" t="s">
        <v>59</v>
      </c>
      <c r="J290" s="7">
        <v>3</v>
      </c>
      <c r="K290" s="6" t="s">
        <v>62</v>
      </c>
      <c r="L290" s="22">
        <f>VLOOKUP(ShoeSales[[#This Row],[Product Cleaned]],Price!$A$2:$C$9,2,FALSE)</f>
        <v>119</v>
      </c>
      <c r="M290" s="19">
        <f>_xlfn.XLOOKUP(ShoeSales[[#This Row],[Product Cleaned]],Price!$A$2:$A$9,Price!$B$2:$B$9)</f>
        <v>119</v>
      </c>
      <c r="N290" s="19">
        <f>_xlfn.XLOOKUP(ShoeSales[[#This Row],[Product Cleaned]],Price!$A$2:$A$9,Price!$C$2:$C$9)</f>
        <v>67</v>
      </c>
      <c r="O290" s="22">
        <f>ShoeSales[[#This Row],[Sell Price]]*ShoeSales[[#This Row],[Quantity]]</f>
        <v>357</v>
      </c>
      <c r="P290" s="19">
        <f>ShoeSales[[#This Row],[Quantity]]*ShoeSales[[#This Row],[Cost Price]]</f>
        <v>201</v>
      </c>
      <c r="Q290" s="19">
        <f>ShoeSales[[#This Row],[Revenue]]-ShoeSales[[#This Row],[Cost]]</f>
        <v>156</v>
      </c>
      <c r="R290" s="24">
        <f>ShoeSales[[#This Row],[Profit]]/ShoeSales[[#This Row],[Revenue]]</f>
        <v>0.43697478991596639</v>
      </c>
      <c r="S290" s="19"/>
      <c r="T290" s="19" t="str">
        <f>UPPER(TEXT(ShoeSales[[#This Row],[Date]], "mmm"))</f>
        <v>APR</v>
      </c>
    </row>
    <row r="291" spans="1:20" ht="14.25" customHeight="1" x14ac:dyDescent="0.25">
      <c r="A291" s="15">
        <v>46028</v>
      </c>
      <c r="B291" s="9" t="s">
        <v>67</v>
      </c>
      <c r="C291" s="9" t="str">
        <f>TRIM(PROPER(ShoeSales[[#This Row],[Product]]))</f>
        <v>Oxford</v>
      </c>
      <c r="D291" s="9" t="s">
        <v>58</v>
      </c>
      <c r="E291" s="45" t="str">
        <f>UPPER(ShoeSales[[#This Row],[Category]])</f>
        <v>FORMAL</v>
      </c>
      <c r="F291" s="9" t="s">
        <v>29</v>
      </c>
      <c r="G291" s="9" t="s">
        <v>30</v>
      </c>
      <c r="H291" s="9" t="str">
        <f>PROPER(ShoeSales[[#This Row],[Brand]])</f>
        <v>Nike</v>
      </c>
      <c r="I291" s="9" t="s">
        <v>51</v>
      </c>
      <c r="J291" s="10">
        <v>9</v>
      </c>
      <c r="K291" s="9" t="s">
        <v>32</v>
      </c>
      <c r="L291" s="22">
        <f>VLOOKUP(ShoeSales[[#This Row],[Product Cleaned]],Price!$A$2:$C$9,2,FALSE)</f>
        <v>105</v>
      </c>
      <c r="M291" s="19">
        <f>_xlfn.XLOOKUP(ShoeSales[[#This Row],[Product Cleaned]],Price!$A$2:$A$9,Price!$B$2:$B$9)</f>
        <v>105</v>
      </c>
      <c r="N291" s="19">
        <f>_xlfn.XLOOKUP(ShoeSales[[#This Row],[Product Cleaned]],Price!$A$2:$A$9,Price!$C$2:$C$9)</f>
        <v>58</v>
      </c>
      <c r="O291" s="22">
        <f>ShoeSales[[#This Row],[Sell Price]]*ShoeSales[[#This Row],[Quantity]]</f>
        <v>945</v>
      </c>
      <c r="P291" s="19">
        <f>ShoeSales[[#This Row],[Quantity]]*ShoeSales[[#This Row],[Cost Price]]</f>
        <v>522</v>
      </c>
      <c r="Q291" s="19">
        <f>ShoeSales[[#This Row],[Revenue]]-ShoeSales[[#This Row],[Cost]]</f>
        <v>423</v>
      </c>
      <c r="R291" s="24">
        <f>ShoeSales[[#This Row],[Profit]]/ShoeSales[[#This Row],[Revenue]]</f>
        <v>0.44761904761904764</v>
      </c>
      <c r="S291" s="19"/>
      <c r="T291" s="19" t="str">
        <f>UPPER(TEXT(ShoeSales[[#This Row],[Date]], "mmm"))</f>
        <v>JAN</v>
      </c>
    </row>
    <row r="292" spans="1:20" ht="14.25" customHeight="1" x14ac:dyDescent="0.25">
      <c r="A292" s="14">
        <v>46090</v>
      </c>
      <c r="B292" s="6" t="s">
        <v>79</v>
      </c>
      <c r="C292" s="16" t="str">
        <f>TRIM(PROPER(ShoeSales[[#This Row],[Product]]))</f>
        <v>Brogues</v>
      </c>
      <c r="D292" s="6" t="s">
        <v>37</v>
      </c>
      <c r="E292" s="44" t="str">
        <f>UPPER(ShoeSales[[#This Row],[Category]])</f>
        <v>FORMAL</v>
      </c>
      <c r="F292" s="6" t="s">
        <v>49</v>
      </c>
      <c r="G292" s="6" t="s">
        <v>72</v>
      </c>
      <c r="H292" s="16" t="str">
        <f>PROPER(ShoeSales[[#This Row],[Brand]])</f>
        <v>Zara</v>
      </c>
      <c r="I292" s="6" t="s">
        <v>47</v>
      </c>
      <c r="J292" s="7">
        <v>2</v>
      </c>
      <c r="K292" s="6" t="s">
        <v>36</v>
      </c>
      <c r="L292" s="22">
        <f>VLOOKUP(ShoeSales[[#This Row],[Product Cleaned]],Price!$A$2:$C$9,2,FALSE)</f>
        <v>112</v>
      </c>
      <c r="M292" s="19">
        <f>_xlfn.XLOOKUP(ShoeSales[[#This Row],[Product Cleaned]],Price!$A$2:$A$9,Price!$B$2:$B$9)</f>
        <v>112</v>
      </c>
      <c r="N292" s="19">
        <f>_xlfn.XLOOKUP(ShoeSales[[#This Row],[Product Cleaned]],Price!$A$2:$A$9,Price!$C$2:$C$9)</f>
        <v>64</v>
      </c>
      <c r="O292" s="22">
        <f>ShoeSales[[#This Row],[Sell Price]]*ShoeSales[[#This Row],[Quantity]]</f>
        <v>224</v>
      </c>
      <c r="P292" s="19">
        <f>ShoeSales[[#This Row],[Quantity]]*ShoeSales[[#This Row],[Cost Price]]</f>
        <v>128</v>
      </c>
      <c r="Q292" s="19">
        <f>ShoeSales[[#This Row],[Revenue]]-ShoeSales[[#This Row],[Cost]]</f>
        <v>96</v>
      </c>
      <c r="R292" s="24">
        <f>ShoeSales[[#This Row],[Profit]]/ShoeSales[[#This Row],[Revenue]]</f>
        <v>0.42857142857142855</v>
      </c>
      <c r="S292" s="19"/>
      <c r="T292" s="19" t="str">
        <f>UPPER(TEXT(ShoeSales[[#This Row],[Date]], "mmm"))</f>
        <v>MAR</v>
      </c>
    </row>
    <row r="293" spans="1:20" ht="14.25" customHeight="1" x14ac:dyDescent="0.25">
      <c r="A293" s="15">
        <v>46182</v>
      </c>
      <c r="B293" s="9" t="s">
        <v>41</v>
      </c>
      <c r="C293" s="9" t="str">
        <f>TRIM(PROPER(ShoeSales[[#This Row],[Product]]))</f>
        <v>Boots</v>
      </c>
      <c r="D293" s="9" t="s">
        <v>71</v>
      </c>
      <c r="E293" s="45" t="str">
        <f>UPPER(ShoeSales[[#This Row],[Category]])</f>
        <v>CASUAL</v>
      </c>
      <c r="F293" s="9" t="s">
        <v>49</v>
      </c>
      <c r="G293" s="9" t="s">
        <v>30</v>
      </c>
      <c r="H293" s="9" t="str">
        <f>PROPER(ShoeSales[[#This Row],[Brand]])</f>
        <v>Nike</v>
      </c>
      <c r="I293" s="9" t="s">
        <v>78</v>
      </c>
      <c r="J293" s="10">
        <v>6</v>
      </c>
      <c r="K293" s="9" t="s">
        <v>32</v>
      </c>
      <c r="L293" s="22">
        <f>VLOOKUP(ShoeSales[[#This Row],[Product Cleaned]],Price!$A$2:$C$9,2,FALSE)</f>
        <v>76</v>
      </c>
      <c r="M293" s="19">
        <f>_xlfn.XLOOKUP(ShoeSales[[#This Row],[Product Cleaned]],Price!$A$2:$A$9,Price!$B$2:$B$9)</f>
        <v>76</v>
      </c>
      <c r="N293" s="19">
        <f>_xlfn.XLOOKUP(ShoeSales[[#This Row],[Product Cleaned]],Price!$A$2:$A$9,Price!$C$2:$C$9)</f>
        <v>39</v>
      </c>
      <c r="O293" s="22">
        <f>ShoeSales[[#This Row],[Sell Price]]*ShoeSales[[#This Row],[Quantity]]</f>
        <v>456</v>
      </c>
      <c r="P293" s="19">
        <f>ShoeSales[[#This Row],[Quantity]]*ShoeSales[[#This Row],[Cost Price]]</f>
        <v>234</v>
      </c>
      <c r="Q293" s="19">
        <f>ShoeSales[[#This Row],[Revenue]]-ShoeSales[[#This Row],[Cost]]</f>
        <v>222</v>
      </c>
      <c r="R293" s="24">
        <f>ShoeSales[[#This Row],[Profit]]/ShoeSales[[#This Row],[Revenue]]</f>
        <v>0.48684210526315791</v>
      </c>
      <c r="S293" s="19"/>
      <c r="T293" s="19" t="str">
        <f>UPPER(TEXT(ShoeSales[[#This Row],[Date]], "mmm"))</f>
        <v>JUN</v>
      </c>
    </row>
    <row r="294" spans="1:20" ht="14.25" customHeight="1" x14ac:dyDescent="0.25">
      <c r="A294" s="14">
        <v>46091</v>
      </c>
      <c r="B294" s="6" t="s">
        <v>60</v>
      </c>
      <c r="C294" s="16" t="str">
        <f>TRIM(PROPER(ShoeSales[[#This Row],[Product]]))</f>
        <v>Oxford</v>
      </c>
      <c r="D294" s="6" t="s">
        <v>28</v>
      </c>
      <c r="E294" s="44" t="str">
        <f>UPPER(ShoeSales[[#This Row],[Category]])</f>
        <v>FORMAL</v>
      </c>
      <c r="F294" s="6" t="s">
        <v>34</v>
      </c>
      <c r="G294" s="6" t="s">
        <v>95</v>
      </c>
      <c r="H294" s="16" t="str">
        <f>PROPER(ShoeSales[[#This Row],[Brand]])</f>
        <v>Timberland</v>
      </c>
      <c r="I294" s="6" t="s">
        <v>91</v>
      </c>
      <c r="J294" s="7">
        <v>14</v>
      </c>
      <c r="K294" s="6" t="s">
        <v>36</v>
      </c>
      <c r="L294" s="22">
        <f>VLOOKUP(ShoeSales[[#This Row],[Product Cleaned]],Price!$A$2:$C$9,2,FALSE)</f>
        <v>105</v>
      </c>
      <c r="M294" s="19">
        <f>_xlfn.XLOOKUP(ShoeSales[[#This Row],[Product Cleaned]],Price!$A$2:$A$9,Price!$B$2:$B$9)</f>
        <v>105</v>
      </c>
      <c r="N294" s="19">
        <f>_xlfn.XLOOKUP(ShoeSales[[#This Row],[Product Cleaned]],Price!$A$2:$A$9,Price!$C$2:$C$9)</f>
        <v>58</v>
      </c>
      <c r="O294" s="22">
        <f>ShoeSales[[#This Row],[Sell Price]]*ShoeSales[[#This Row],[Quantity]]</f>
        <v>1470</v>
      </c>
      <c r="P294" s="19">
        <f>ShoeSales[[#This Row],[Quantity]]*ShoeSales[[#This Row],[Cost Price]]</f>
        <v>812</v>
      </c>
      <c r="Q294" s="19">
        <f>ShoeSales[[#This Row],[Revenue]]-ShoeSales[[#This Row],[Cost]]</f>
        <v>658</v>
      </c>
      <c r="R294" s="24">
        <f>ShoeSales[[#This Row],[Profit]]/ShoeSales[[#This Row],[Revenue]]</f>
        <v>0.44761904761904764</v>
      </c>
      <c r="S294" s="19"/>
      <c r="T294" s="19" t="str">
        <f>UPPER(TEXT(ShoeSales[[#This Row],[Date]], "mmm"))</f>
        <v>MAR</v>
      </c>
    </row>
    <row r="295" spans="1:20" ht="14.25" customHeight="1" x14ac:dyDescent="0.25">
      <c r="A295" s="15">
        <v>46037</v>
      </c>
      <c r="B295" s="9" t="s">
        <v>33</v>
      </c>
      <c r="C295" s="9" t="str">
        <f>TRIM(PROPER(ShoeSales[[#This Row],[Product]]))</f>
        <v>Loafers</v>
      </c>
      <c r="D295" s="9" t="s">
        <v>28</v>
      </c>
      <c r="E295" s="45" t="str">
        <f>UPPER(ShoeSales[[#This Row],[Category]])</f>
        <v>FORMAL</v>
      </c>
      <c r="F295" s="9" t="s">
        <v>29</v>
      </c>
      <c r="G295" s="9" t="s">
        <v>82</v>
      </c>
      <c r="H295" s="9" t="str">
        <f>PROPER(ShoeSales[[#This Row],[Brand]])</f>
        <v>Zara</v>
      </c>
      <c r="I295" s="9" t="s">
        <v>78</v>
      </c>
      <c r="J295" s="10">
        <v>7</v>
      </c>
      <c r="K295" s="9" t="s">
        <v>54</v>
      </c>
      <c r="L295" s="22">
        <f>VLOOKUP(ShoeSales[[#This Row],[Product Cleaned]],Price!$A$2:$C$9,2,FALSE)</f>
        <v>54</v>
      </c>
      <c r="M295" s="19">
        <f>_xlfn.XLOOKUP(ShoeSales[[#This Row],[Product Cleaned]],Price!$A$2:$A$9,Price!$B$2:$B$9)</f>
        <v>54</v>
      </c>
      <c r="N295" s="19">
        <f>_xlfn.XLOOKUP(ShoeSales[[#This Row],[Product Cleaned]],Price!$A$2:$A$9,Price!$C$2:$C$9)</f>
        <v>28</v>
      </c>
      <c r="O295" s="22">
        <f>ShoeSales[[#This Row],[Sell Price]]*ShoeSales[[#This Row],[Quantity]]</f>
        <v>378</v>
      </c>
      <c r="P295" s="19">
        <f>ShoeSales[[#This Row],[Quantity]]*ShoeSales[[#This Row],[Cost Price]]</f>
        <v>196</v>
      </c>
      <c r="Q295" s="19">
        <f>ShoeSales[[#This Row],[Revenue]]-ShoeSales[[#This Row],[Cost]]</f>
        <v>182</v>
      </c>
      <c r="R295" s="24">
        <f>ShoeSales[[#This Row],[Profit]]/ShoeSales[[#This Row],[Revenue]]</f>
        <v>0.48148148148148145</v>
      </c>
      <c r="S295" s="19"/>
      <c r="T295" s="19" t="str">
        <f>UPPER(TEXT(ShoeSales[[#This Row],[Date]], "mmm"))</f>
        <v>JAN</v>
      </c>
    </row>
    <row r="296" spans="1:20" ht="14.25" customHeight="1" x14ac:dyDescent="0.25">
      <c r="A296" s="14">
        <v>46073</v>
      </c>
      <c r="B296" s="6" t="s">
        <v>41</v>
      </c>
      <c r="C296" s="16" t="str">
        <f>TRIM(PROPER(ShoeSales[[#This Row],[Product]]))</f>
        <v>Boots</v>
      </c>
      <c r="D296" s="6" t="s">
        <v>89</v>
      </c>
      <c r="E296" s="44" t="str">
        <f>UPPER(ShoeSales[[#This Row],[Category]])</f>
        <v>OPEN</v>
      </c>
      <c r="F296" s="6" t="s">
        <v>29</v>
      </c>
      <c r="G296" s="6" t="s">
        <v>72</v>
      </c>
      <c r="H296" s="16" t="str">
        <f>PROPER(ShoeSales[[#This Row],[Brand]])</f>
        <v>Zara</v>
      </c>
      <c r="I296" s="6" t="s">
        <v>84</v>
      </c>
      <c r="J296" s="7">
        <v>8</v>
      </c>
      <c r="K296" s="6" t="s">
        <v>62</v>
      </c>
      <c r="L296" s="22">
        <f>VLOOKUP(ShoeSales[[#This Row],[Product Cleaned]],Price!$A$2:$C$9,2,FALSE)</f>
        <v>76</v>
      </c>
      <c r="M296" s="19">
        <f>_xlfn.XLOOKUP(ShoeSales[[#This Row],[Product Cleaned]],Price!$A$2:$A$9,Price!$B$2:$B$9)</f>
        <v>76</v>
      </c>
      <c r="N296" s="19">
        <f>_xlfn.XLOOKUP(ShoeSales[[#This Row],[Product Cleaned]],Price!$A$2:$A$9,Price!$C$2:$C$9)</f>
        <v>39</v>
      </c>
      <c r="O296" s="22">
        <f>ShoeSales[[#This Row],[Sell Price]]*ShoeSales[[#This Row],[Quantity]]</f>
        <v>608</v>
      </c>
      <c r="P296" s="19">
        <f>ShoeSales[[#This Row],[Quantity]]*ShoeSales[[#This Row],[Cost Price]]</f>
        <v>312</v>
      </c>
      <c r="Q296" s="19">
        <f>ShoeSales[[#This Row],[Revenue]]-ShoeSales[[#This Row],[Cost]]</f>
        <v>296</v>
      </c>
      <c r="R296" s="24">
        <f>ShoeSales[[#This Row],[Profit]]/ShoeSales[[#This Row],[Revenue]]</f>
        <v>0.48684210526315791</v>
      </c>
      <c r="S296" s="19"/>
      <c r="T296" s="19" t="str">
        <f>UPPER(TEXT(ShoeSales[[#This Row],[Date]], "mmm"))</f>
        <v>FEB</v>
      </c>
    </row>
    <row r="297" spans="1:20" ht="14.25" customHeight="1" x14ac:dyDescent="0.25">
      <c r="A297" s="15">
        <v>46147</v>
      </c>
      <c r="B297" s="9" t="s">
        <v>70</v>
      </c>
      <c r="C297" s="9" t="str">
        <f>TRIM(PROPER(ShoeSales[[#This Row],[Product]]))</f>
        <v>Derby</v>
      </c>
      <c r="D297" s="9" t="s">
        <v>71</v>
      </c>
      <c r="E297" s="45" t="str">
        <f>UPPER(ShoeSales[[#This Row],[Category]])</f>
        <v>CASUAL</v>
      </c>
      <c r="F297" s="9" t="s">
        <v>29</v>
      </c>
      <c r="G297" s="9" t="s">
        <v>82</v>
      </c>
      <c r="H297" s="9" t="str">
        <f>PROPER(ShoeSales[[#This Row],[Brand]])</f>
        <v>Zara</v>
      </c>
      <c r="I297" s="9" t="s">
        <v>47</v>
      </c>
      <c r="J297" s="10">
        <v>1</v>
      </c>
      <c r="K297" s="9" t="s">
        <v>62</v>
      </c>
      <c r="L297" s="22">
        <f>VLOOKUP(ShoeSales[[#This Row],[Product Cleaned]],Price!$A$2:$C$9,2,FALSE)</f>
        <v>32</v>
      </c>
      <c r="M297" s="19">
        <f>_xlfn.XLOOKUP(ShoeSales[[#This Row],[Product Cleaned]],Price!$A$2:$A$9,Price!$B$2:$B$9)</f>
        <v>32</v>
      </c>
      <c r="N297" s="19">
        <f>_xlfn.XLOOKUP(ShoeSales[[#This Row],[Product Cleaned]],Price!$A$2:$A$9,Price!$C$2:$C$9)</f>
        <v>14</v>
      </c>
      <c r="O297" s="22">
        <f>ShoeSales[[#This Row],[Sell Price]]*ShoeSales[[#This Row],[Quantity]]</f>
        <v>32</v>
      </c>
      <c r="P297" s="19">
        <f>ShoeSales[[#This Row],[Quantity]]*ShoeSales[[#This Row],[Cost Price]]</f>
        <v>14</v>
      </c>
      <c r="Q297" s="19">
        <f>ShoeSales[[#This Row],[Revenue]]-ShoeSales[[#This Row],[Cost]]</f>
        <v>18</v>
      </c>
      <c r="R297" s="24">
        <f>ShoeSales[[#This Row],[Profit]]/ShoeSales[[#This Row],[Revenue]]</f>
        <v>0.5625</v>
      </c>
      <c r="S297" s="19"/>
      <c r="T297" s="19" t="str">
        <f>UPPER(TEXT(ShoeSales[[#This Row],[Date]], "mmm"))</f>
        <v>MAY</v>
      </c>
    </row>
    <row r="298" spans="1:20" ht="14.25" customHeight="1" x14ac:dyDescent="0.25">
      <c r="A298" s="14">
        <v>46068</v>
      </c>
      <c r="B298" s="6" t="s">
        <v>90</v>
      </c>
      <c r="C298" s="16" t="str">
        <f>TRIM(PROPER(ShoeSales[[#This Row],[Product]]))</f>
        <v>Loafers</v>
      </c>
      <c r="D298" s="6" t="s">
        <v>28</v>
      </c>
      <c r="E298" s="44" t="str">
        <f>UPPER(ShoeSales[[#This Row],[Category]])</f>
        <v>FORMAL</v>
      </c>
      <c r="F298" s="6" t="s">
        <v>29</v>
      </c>
      <c r="G298" s="6" t="s">
        <v>39</v>
      </c>
      <c r="H298" s="16" t="str">
        <f>PROPER(ShoeSales[[#This Row],[Brand]])</f>
        <v>Clarks</v>
      </c>
      <c r="I298" s="6" t="s">
        <v>64</v>
      </c>
      <c r="J298" s="7">
        <v>9</v>
      </c>
      <c r="K298" s="6" t="s">
        <v>32</v>
      </c>
      <c r="L298" s="22">
        <f>VLOOKUP(ShoeSales[[#This Row],[Product Cleaned]],Price!$A$2:$C$9,2,FALSE)</f>
        <v>54</v>
      </c>
      <c r="M298" s="19">
        <f>_xlfn.XLOOKUP(ShoeSales[[#This Row],[Product Cleaned]],Price!$A$2:$A$9,Price!$B$2:$B$9)</f>
        <v>54</v>
      </c>
      <c r="N298" s="19">
        <f>_xlfn.XLOOKUP(ShoeSales[[#This Row],[Product Cleaned]],Price!$A$2:$A$9,Price!$C$2:$C$9)</f>
        <v>28</v>
      </c>
      <c r="O298" s="22">
        <f>ShoeSales[[#This Row],[Sell Price]]*ShoeSales[[#This Row],[Quantity]]</f>
        <v>486</v>
      </c>
      <c r="P298" s="19">
        <f>ShoeSales[[#This Row],[Quantity]]*ShoeSales[[#This Row],[Cost Price]]</f>
        <v>252</v>
      </c>
      <c r="Q298" s="19">
        <f>ShoeSales[[#This Row],[Revenue]]-ShoeSales[[#This Row],[Cost]]</f>
        <v>234</v>
      </c>
      <c r="R298" s="24">
        <f>ShoeSales[[#This Row],[Profit]]/ShoeSales[[#This Row],[Revenue]]</f>
        <v>0.48148148148148145</v>
      </c>
      <c r="S298" s="19"/>
      <c r="T298" s="19" t="str">
        <f>UPPER(TEXT(ShoeSales[[#This Row],[Date]], "mmm"))</f>
        <v>FEB</v>
      </c>
    </row>
    <row r="299" spans="1:20" ht="14.25" customHeight="1" x14ac:dyDescent="0.25">
      <c r="A299" s="15">
        <v>46163</v>
      </c>
      <c r="B299" s="9" t="s">
        <v>70</v>
      </c>
      <c r="C299" s="9" t="str">
        <f>TRIM(PROPER(ShoeSales[[#This Row],[Product]]))</f>
        <v>Derby</v>
      </c>
      <c r="D299" s="9" t="s">
        <v>45</v>
      </c>
      <c r="E299" s="45" t="str">
        <f>UPPER(ShoeSales[[#This Row],[Category]])</f>
        <v>CASUAL</v>
      </c>
      <c r="F299" s="9" t="s">
        <v>29</v>
      </c>
      <c r="G299" s="9" t="s">
        <v>69</v>
      </c>
      <c r="H299" s="9" t="str">
        <f>PROPER(ShoeSales[[#This Row],[Brand]])</f>
        <v>Zara</v>
      </c>
      <c r="I299" s="9" t="s">
        <v>64</v>
      </c>
      <c r="J299" s="10">
        <v>1</v>
      </c>
      <c r="K299" s="9" t="s">
        <v>54</v>
      </c>
      <c r="L299" s="22">
        <f>VLOOKUP(ShoeSales[[#This Row],[Product Cleaned]],Price!$A$2:$C$9,2,FALSE)</f>
        <v>32</v>
      </c>
      <c r="M299" s="19">
        <f>_xlfn.XLOOKUP(ShoeSales[[#This Row],[Product Cleaned]],Price!$A$2:$A$9,Price!$B$2:$B$9)</f>
        <v>32</v>
      </c>
      <c r="N299" s="19">
        <f>_xlfn.XLOOKUP(ShoeSales[[#This Row],[Product Cleaned]],Price!$A$2:$A$9,Price!$C$2:$C$9)</f>
        <v>14</v>
      </c>
      <c r="O299" s="22">
        <f>ShoeSales[[#This Row],[Sell Price]]*ShoeSales[[#This Row],[Quantity]]</f>
        <v>32</v>
      </c>
      <c r="P299" s="19">
        <f>ShoeSales[[#This Row],[Quantity]]*ShoeSales[[#This Row],[Cost Price]]</f>
        <v>14</v>
      </c>
      <c r="Q299" s="19">
        <f>ShoeSales[[#This Row],[Revenue]]-ShoeSales[[#This Row],[Cost]]</f>
        <v>18</v>
      </c>
      <c r="R299" s="24">
        <f>ShoeSales[[#This Row],[Profit]]/ShoeSales[[#This Row],[Revenue]]</f>
        <v>0.5625</v>
      </c>
      <c r="S299" s="19"/>
      <c r="T299" s="19" t="str">
        <f>UPPER(TEXT(ShoeSales[[#This Row],[Date]], "mmm"))</f>
        <v>MAY</v>
      </c>
    </row>
    <row r="300" spans="1:20" ht="14.25" customHeight="1" x14ac:dyDescent="0.25">
      <c r="A300" s="14">
        <v>46236</v>
      </c>
      <c r="B300" s="6" t="s">
        <v>6</v>
      </c>
      <c r="C300" s="16" t="str">
        <f>TRIM(PROPER(ShoeSales[[#This Row],[Product]]))</f>
        <v>Loafers</v>
      </c>
      <c r="D300" s="6" t="s">
        <v>58</v>
      </c>
      <c r="E300" s="44" t="str">
        <f>UPPER(ShoeSales[[#This Row],[Category]])</f>
        <v>FORMAL</v>
      </c>
      <c r="F300" s="6" t="s">
        <v>29</v>
      </c>
      <c r="G300" s="6" t="s">
        <v>35</v>
      </c>
      <c r="H300" s="16" t="str">
        <f>PROPER(ShoeSales[[#This Row],[Brand]])</f>
        <v>Nike</v>
      </c>
      <c r="I300" s="6" t="s">
        <v>61</v>
      </c>
      <c r="J300" s="7">
        <v>14</v>
      </c>
      <c r="K300" s="6" t="s">
        <v>54</v>
      </c>
      <c r="L300" s="22">
        <f>VLOOKUP(ShoeSales[[#This Row],[Product Cleaned]],Price!$A$2:$C$9,2,FALSE)</f>
        <v>54</v>
      </c>
      <c r="M300" s="19">
        <f>_xlfn.XLOOKUP(ShoeSales[[#This Row],[Product Cleaned]],Price!$A$2:$A$9,Price!$B$2:$B$9)</f>
        <v>54</v>
      </c>
      <c r="N300" s="19">
        <f>_xlfn.XLOOKUP(ShoeSales[[#This Row],[Product Cleaned]],Price!$A$2:$A$9,Price!$C$2:$C$9)</f>
        <v>28</v>
      </c>
      <c r="O300" s="22">
        <f>ShoeSales[[#This Row],[Sell Price]]*ShoeSales[[#This Row],[Quantity]]</f>
        <v>756</v>
      </c>
      <c r="P300" s="19">
        <f>ShoeSales[[#This Row],[Quantity]]*ShoeSales[[#This Row],[Cost Price]]</f>
        <v>392</v>
      </c>
      <c r="Q300" s="19">
        <f>ShoeSales[[#This Row],[Revenue]]-ShoeSales[[#This Row],[Cost]]</f>
        <v>364</v>
      </c>
      <c r="R300" s="24">
        <f>ShoeSales[[#This Row],[Profit]]/ShoeSales[[#This Row],[Revenue]]</f>
        <v>0.48148148148148145</v>
      </c>
      <c r="S300" s="19"/>
      <c r="T300" s="19" t="str">
        <f>UPPER(TEXT(ShoeSales[[#This Row],[Date]], "mmm"))</f>
        <v>AUG</v>
      </c>
    </row>
    <row r="301" spans="1:20" ht="14.25" customHeight="1" x14ac:dyDescent="0.25">
      <c r="A301" s="15">
        <v>46175</v>
      </c>
      <c r="B301" s="9" t="s">
        <v>88</v>
      </c>
      <c r="C301" s="9" t="str">
        <f>TRIM(PROPER(ShoeSales[[#This Row],[Product]]))</f>
        <v>Slippers</v>
      </c>
      <c r="D301" s="9" t="s">
        <v>77</v>
      </c>
      <c r="E301" s="45" t="str">
        <f>UPPER(ShoeSales[[#This Row],[Category]])</f>
        <v>CASUAL</v>
      </c>
      <c r="F301" s="9" t="s">
        <v>56</v>
      </c>
      <c r="G301" s="9" t="s">
        <v>57</v>
      </c>
      <c r="H301" s="9" t="str">
        <f>PROPER(ShoeSales[[#This Row],[Brand]])</f>
        <v>Timberland</v>
      </c>
      <c r="I301" s="9" t="s">
        <v>51</v>
      </c>
      <c r="J301" s="10">
        <v>7</v>
      </c>
      <c r="K301" s="9" t="s">
        <v>36</v>
      </c>
      <c r="L301" s="22">
        <f>VLOOKUP(ShoeSales[[#This Row],[Product Cleaned]],Price!$A$2:$C$9,2,FALSE)</f>
        <v>119</v>
      </c>
      <c r="M301" s="19">
        <f>_xlfn.XLOOKUP(ShoeSales[[#This Row],[Product Cleaned]],Price!$A$2:$A$9,Price!$B$2:$B$9)</f>
        <v>119</v>
      </c>
      <c r="N301" s="19">
        <f>_xlfn.XLOOKUP(ShoeSales[[#This Row],[Product Cleaned]],Price!$A$2:$A$9,Price!$C$2:$C$9)</f>
        <v>67</v>
      </c>
      <c r="O301" s="22">
        <f>ShoeSales[[#This Row],[Sell Price]]*ShoeSales[[#This Row],[Quantity]]</f>
        <v>833</v>
      </c>
      <c r="P301" s="19">
        <f>ShoeSales[[#This Row],[Quantity]]*ShoeSales[[#This Row],[Cost Price]]</f>
        <v>469</v>
      </c>
      <c r="Q301" s="19">
        <f>ShoeSales[[#This Row],[Revenue]]-ShoeSales[[#This Row],[Cost]]</f>
        <v>364</v>
      </c>
      <c r="R301" s="24">
        <f>ShoeSales[[#This Row],[Profit]]/ShoeSales[[#This Row],[Revenue]]</f>
        <v>0.43697478991596639</v>
      </c>
      <c r="S301" s="19"/>
      <c r="T301" s="19" t="str">
        <f>UPPER(TEXT(ShoeSales[[#This Row],[Date]], "mmm"))</f>
        <v>JUN</v>
      </c>
    </row>
    <row r="302" spans="1:20" ht="14.25" customHeight="1" x14ac:dyDescent="0.25">
      <c r="A302" s="14">
        <v>46076</v>
      </c>
      <c r="B302" s="6" t="s">
        <v>44</v>
      </c>
      <c r="C302" s="16" t="str">
        <f>TRIM(PROPER(ShoeSales[[#This Row],[Product]]))</f>
        <v>Boots</v>
      </c>
      <c r="D302" s="6" t="s">
        <v>93</v>
      </c>
      <c r="E302" s="44" t="str">
        <f>UPPER(ShoeSales[[#This Row],[Category]])</f>
        <v>UTILITY</v>
      </c>
      <c r="F302" s="6" t="s">
        <v>34</v>
      </c>
      <c r="G302" s="6" t="s">
        <v>46</v>
      </c>
      <c r="H302" s="16" t="str">
        <f>PROPER(ShoeSales[[#This Row],[Brand]])</f>
        <v>Clarks</v>
      </c>
      <c r="I302" s="6" t="s">
        <v>43</v>
      </c>
      <c r="J302" s="7">
        <v>6</v>
      </c>
      <c r="K302" s="6" t="s">
        <v>32</v>
      </c>
      <c r="L302" s="22">
        <f>VLOOKUP(ShoeSales[[#This Row],[Product Cleaned]],Price!$A$2:$C$9,2,FALSE)</f>
        <v>76</v>
      </c>
      <c r="M302" s="19">
        <f>_xlfn.XLOOKUP(ShoeSales[[#This Row],[Product Cleaned]],Price!$A$2:$A$9,Price!$B$2:$B$9)</f>
        <v>76</v>
      </c>
      <c r="N302" s="19">
        <f>_xlfn.XLOOKUP(ShoeSales[[#This Row],[Product Cleaned]],Price!$A$2:$A$9,Price!$C$2:$C$9)</f>
        <v>39</v>
      </c>
      <c r="O302" s="22">
        <f>ShoeSales[[#This Row],[Sell Price]]*ShoeSales[[#This Row],[Quantity]]</f>
        <v>456</v>
      </c>
      <c r="P302" s="19">
        <f>ShoeSales[[#This Row],[Quantity]]*ShoeSales[[#This Row],[Cost Price]]</f>
        <v>234</v>
      </c>
      <c r="Q302" s="19">
        <f>ShoeSales[[#This Row],[Revenue]]-ShoeSales[[#This Row],[Cost]]</f>
        <v>222</v>
      </c>
      <c r="R302" s="24">
        <f>ShoeSales[[#This Row],[Profit]]/ShoeSales[[#This Row],[Revenue]]</f>
        <v>0.48684210526315791</v>
      </c>
      <c r="S302" s="19"/>
      <c r="T302" s="19" t="str">
        <f>UPPER(TEXT(ShoeSales[[#This Row],[Date]], "mmm"))</f>
        <v>FEB</v>
      </c>
    </row>
    <row r="303" spans="1:20" ht="14.25" customHeight="1" x14ac:dyDescent="0.25">
      <c r="A303" s="15">
        <v>46177</v>
      </c>
      <c r="B303" s="9" t="s">
        <v>6</v>
      </c>
      <c r="C303" s="9" t="str">
        <f>TRIM(PROPER(ShoeSales[[#This Row],[Product]]))</f>
        <v>Loafers</v>
      </c>
      <c r="D303" s="9" t="s">
        <v>74</v>
      </c>
      <c r="E303" s="45" t="str">
        <f>UPPER(ShoeSales[[#This Row],[Category]])</f>
        <v>OPEN</v>
      </c>
      <c r="F303" s="9" t="s">
        <v>29</v>
      </c>
      <c r="G303" s="9" t="s">
        <v>46</v>
      </c>
      <c r="H303" s="9" t="str">
        <f>PROPER(ShoeSales[[#This Row],[Brand]])</f>
        <v>Clarks</v>
      </c>
      <c r="I303" s="9" t="s">
        <v>73</v>
      </c>
      <c r="J303" s="10">
        <v>6</v>
      </c>
      <c r="K303" s="9" t="s">
        <v>36</v>
      </c>
      <c r="L303" s="22">
        <f>VLOOKUP(ShoeSales[[#This Row],[Product Cleaned]],Price!$A$2:$C$9,2,FALSE)</f>
        <v>54</v>
      </c>
      <c r="M303" s="19">
        <f>_xlfn.XLOOKUP(ShoeSales[[#This Row],[Product Cleaned]],Price!$A$2:$A$9,Price!$B$2:$B$9)</f>
        <v>54</v>
      </c>
      <c r="N303" s="19">
        <f>_xlfn.XLOOKUP(ShoeSales[[#This Row],[Product Cleaned]],Price!$A$2:$A$9,Price!$C$2:$C$9)</f>
        <v>28</v>
      </c>
      <c r="O303" s="22">
        <f>ShoeSales[[#This Row],[Sell Price]]*ShoeSales[[#This Row],[Quantity]]</f>
        <v>324</v>
      </c>
      <c r="P303" s="19">
        <f>ShoeSales[[#This Row],[Quantity]]*ShoeSales[[#This Row],[Cost Price]]</f>
        <v>168</v>
      </c>
      <c r="Q303" s="19">
        <f>ShoeSales[[#This Row],[Revenue]]-ShoeSales[[#This Row],[Cost]]</f>
        <v>156</v>
      </c>
      <c r="R303" s="24">
        <f>ShoeSales[[#This Row],[Profit]]/ShoeSales[[#This Row],[Revenue]]</f>
        <v>0.48148148148148145</v>
      </c>
      <c r="S303" s="19"/>
      <c r="T303" s="19" t="str">
        <f>UPPER(TEXT(ShoeSales[[#This Row],[Date]], "mmm"))</f>
        <v>JUN</v>
      </c>
    </row>
    <row r="304" spans="1:20" ht="14.25" customHeight="1" x14ac:dyDescent="0.25">
      <c r="A304" s="14">
        <v>46161</v>
      </c>
      <c r="B304" s="6" t="s">
        <v>67</v>
      </c>
      <c r="C304" s="16" t="str">
        <f>TRIM(PROPER(ShoeSales[[#This Row],[Product]]))</f>
        <v>Oxford</v>
      </c>
      <c r="D304" s="6" t="s">
        <v>77</v>
      </c>
      <c r="E304" s="44" t="str">
        <f>UPPER(ShoeSales[[#This Row],[Category]])</f>
        <v>CASUAL</v>
      </c>
      <c r="F304" s="6" t="s">
        <v>29</v>
      </c>
      <c r="G304" s="6" t="s">
        <v>63</v>
      </c>
      <c r="H304" s="16" t="str">
        <f>PROPER(ShoeSales[[#This Row],[Brand]])</f>
        <v>Clarks</v>
      </c>
      <c r="I304" s="6" t="s">
        <v>73</v>
      </c>
      <c r="J304" s="7">
        <v>4</v>
      </c>
      <c r="K304" s="6" t="s">
        <v>32</v>
      </c>
      <c r="L304" s="22">
        <f>VLOOKUP(ShoeSales[[#This Row],[Product Cleaned]],Price!$A$2:$C$9,2,FALSE)</f>
        <v>105</v>
      </c>
      <c r="M304" s="19">
        <f>_xlfn.XLOOKUP(ShoeSales[[#This Row],[Product Cleaned]],Price!$A$2:$A$9,Price!$B$2:$B$9)</f>
        <v>105</v>
      </c>
      <c r="N304" s="19">
        <f>_xlfn.XLOOKUP(ShoeSales[[#This Row],[Product Cleaned]],Price!$A$2:$A$9,Price!$C$2:$C$9)</f>
        <v>58</v>
      </c>
      <c r="O304" s="22">
        <f>ShoeSales[[#This Row],[Sell Price]]*ShoeSales[[#This Row],[Quantity]]</f>
        <v>420</v>
      </c>
      <c r="P304" s="19">
        <f>ShoeSales[[#This Row],[Quantity]]*ShoeSales[[#This Row],[Cost Price]]</f>
        <v>232</v>
      </c>
      <c r="Q304" s="19">
        <f>ShoeSales[[#This Row],[Revenue]]-ShoeSales[[#This Row],[Cost]]</f>
        <v>188</v>
      </c>
      <c r="R304" s="24">
        <f>ShoeSales[[#This Row],[Profit]]/ShoeSales[[#This Row],[Revenue]]</f>
        <v>0.44761904761904764</v>
      </c>
      <c r="S304" s="19"/>
      <c r="T304" s="19" t="str">
        <f>UPPER(TEXT(ShoeSales[[#This Row],[Date]], "mmm"))</f>
        <v>MAY</v>
      </c>
    </row>
    <row r="305" spans="1:20" ht="14.25" customHeight="1" x14ac:dyDescent="0.25">
      <c r="A305" s="15">
        <v>46200</v>
      </c>
      <c r="B305" s="9" t="s">
        <v>27</v>
      </c>
      <c r="C305" s="9" t="str">
        <f>TRIM(PROPER(ShoeSales[[#This Row],[Product]]))</f>
        <v>Monk Straps</v>
      </c>
      <c r="D305" s="9" t="s">
        <v>48</v>
      </c>
      <c r="E305" s="45" t="str">
        <f>UPPER(ShoeSales[[#This Row],[Category]])</f>
        <v>UTILITY</v>
      </c>
      <c r="F305" s="9" t="s">
        <v>49</v>
      </c>
      <c r="G305" s="9" t="s">
        <v>81</v>
      </c>
      <c r="H305" s="9" t="str">
        <f>PROPER(ShoeSales[[#This Row],[Brand]])</f>
        <v>Steve Madden</v>
      </c>
      <c r="I305" s="9" t="s">
        <v>64</v>
      </c>
      <c r="J305" s="10">
        <v>12</v>
      </c>
      <c r="K305" s="9" t="s">
        <v>54</v>
      </c>
      <c r="L305" s="22">
        <f>VLOOKUP(ShoeSales[[#This Row],[Product Cleaned]],Price!$A$2:$C$9,2,FALSE)</f>
        <v>89</v>
      </c>
      <c r="M305" s="19">
        <f>_xlfn.XLOOKUP(ShoeSales[[#This Row],[Product Cleaned]],Price!$A$2:$A$9,Price!$B$2:$B$9)</f>
        <v>89</v>
      </c>
      <c r="N305" s="19">
        <f>_xlfn.XLOOKUP(ShoeSales[[#This Row],[Product Cleaned]],Price!$A$2:$A$9,Price!$C$2:$C$9)</f>
        <v>47</v>
      </c>
      <c r="O305" s="22">
        <f>ShoeSales[[#This Row],[Sell Price]]*ShoeSales[[#This Row],[Quantity]]</f>
        <v>1068</v>
      </c>
      <c r="P305" s="19">
        <f>ShoeSales[[#This Row],[Quantity]]*ShoeSales[[#This Row],[Cost Price]]</f>
        <v>564</v>
      </c>
      <c r="Q305" s="19">
        <f>ShoeSales[[#This Row],[Revenue]]-ShoeSales[[#This Row],[Cost]]</f>
        <v>504</v>
      </c>
      <c r="R305" s="24">
        <f>ShoeSales[[#This Row],[Profit]]/ShoeSales[[#This Row],[Revenue]]</f>
        <v>0.47191011235955055</v>
      </c>
      <c r="S305" s="19"/>
      <c r="T305" s="19" t="str">
        <f>UPPER(TEXT(ShoeSales[[#This Row],[Date]], "mmm"))</f>
        <v>JUN</v>
      </c>
    </row>
    <row r="306" spans="1:20" ht="14.25" customHeight="1" x14ac:dyDescent="0.25">
      <c r="A306" s="14">
        <v>46025</v>
      </c>
      <c r="B306" s="6" t="s">
        <v>44</v>
      </c>
      <c r="C306" s="16" t="str">
        <f>TRIM(PROPER(ShoeSales[[#This Row],[Product]]))</f>
        <v>Boots</v>
      </c>
      <c r="D306" s="6" t="s">
        <v>37</v>
      </c>
      <c r="E306" s="44" t="str">
        <f>UPPER(ShoeSales[[#This Row],[Category]])</f>
        <v>FORMAL</v>
      </c>
      <c r="F306" s="6" t="s">
        <v>49</v>
      </c>
      <c r="G306" s="6" t="s">
        <v>46</v>
      </c>
      <c r="H306" s="16" t="str">
        <f>PROPER(ShoeSales[[#This Row],[Brand]])</f>
        <v>Clarks</v>
      </c>
      <c r="I306" s="6" t="s">
        <v>53</v>
      </c>
      <c r="J306" s="7">
        <v>13</v>
      </c>
      <c r="K306" s="6" t="s">
        <v>36</v>
      </c>
      <c r="L306" s="22">
        <f>VLOOKUP(ShoeSales[[#This Row],[Product Cleaned]],Price!$A$2:$C$9,2,FALSE)</f>
        <v>76</v>
      </c>
      <c r="M306" s="19">
        <f>_xlfn.XLOOKUP(ShoeSales[[#This Row],[Product Cleaned]],Price!$A$2:$A$9,Price!$B$2:$B$9)</f>
        <v>76</v>
      </c>
      <c r="N306" s="19">
        <f>_xlfn.XLOOKUP(ShoeSales[[#This Row],[Product Cleaned]],Price!$A$2:$A$9,Price!$C$2:$C$9)</f>
        <v>39</v>
      </c>
      <c r="O306" s="22">
        <f>ShoeSales[[#This Row],[Sell Price]]*ShoeSales[[#This Row],[Quantity]]</f>
        <v>988</v>
      </c>
      <c r="P306" s="19">
        <f>ShoeSales[[#This Row],[Quantity]]*ShoeSales[[#This Row],[Cost Price]]</f>
        <v>507</v>
      </c>
      <c r="Q306" s="19">
        <f>ShoeSales[[#This Row],[Revenue]]-ShoeSales[[#This Row],[Cost]]</f>
        <v>481</v>
      </c>
      <c r="R306" s="24">
        <f>ShoeSales[[#This Row],[Profit]]/ShoeSales[[#This Row],[Revenue]]</f>
        <v>0.48684210526315791</v>
      </c>
      <c r="S306" s="19"/>
      <c r="T306" s="19" t="str">
        <f>UPPER(TEXT(ShoeSales[[#This Row],[Date]], "mmm"))</f>
        <v>JAN</v>
      </c>
    </row>
    <row r="307" spans="1:20" ht="14.25" customHeight="1" x14ac:dyDescent="0.25">
      <c r="A307" s="15">
        <v>46175</v>
      </c>
      <c r="B307" s="9" t="s">
        <v>33</v>
      </c>
      <c r="C307" s="9" t="str">
        <f>TRIM(PROPER(ShoeSales[[#This Row],[Product]]))</f>
        <v>Loafers</v>
      </c>
      <c r="D307" s="9" t="s">
        <v>58</v>
      </c>
      <c r="E307" s="45" t="str">
        <f>UPPER(ShoeSales[[#This Row],[Category]])</f>
        <v>FORMAL</v>
      </c>
      <c r="F307" s="9" t="s">
        <v>29</v>
      </c>
      <c r="G307" s="9" t="s">
        <v>82</v>
      </c>
      <c r="H307" s="9" t="str">
        <f>PROPER(ShoeSales[[#This Row],[Brand]])</f>
        <v>Zara</v>
      </c>
      <c r="I307" s="9" t="s">
        <v>64</v>
      </c>
      <c r="J307" s="10">
        <v>6</v>
      </c>
      <c r="K307" s="9" t="s">
        <v>54</v>
      </c>
      <c r="L307" s="22">
        <f>VLOOKUP(ShoeSales[[#This Row],[Product Cleaned]],Price!$A$2:$C$9,2,FALSE)</f>
        <v>54</v>
      </c>
      <c r="M307" s="19">
        <f>_xlfn.XLOOKUP(ShoeSales[[#This Row],[Product Cleaned]],Price!$A$2:$A$9,Price!$B$2:$B$9)</f>
        <v>54</v>
      </c>
      <c r="N307" s="19">
        <f>_xlfn.XLOOKUP(ShoeSales[[#This Row],[Product Cleaned]],Price!$A$2:$A$9,Price!$C$2:$C$9)</f>
        <v>28</v>
      </c>
      <c r="O307" s="22">
        <f>ShoeSales[[#This Row],[Sell Price]]*ShoeSales[[#This Row],[Quantity]]</f>
        <v>324</v>
      </c>
      <c r="P307" s="19">
        <f>ShoeSales[[#This Row],[Quantity]]*ShoeSales[[#This Row],[Cost Price]]</f>
        <v>168</v>
      </c>
      <c r="Q307" s="19">
        <f>ShoeSales[[#This Row],[Revenue]]-ShoeSales[[#This Row],[Cost]]</f>
        <v>156</v>
      </c>
      <c r="R307" s="24">
        <f>ShoeSales[[#This Row],[Profit]]/ShoeSales[[#This Row],[Revenue]]</f>
        <v>0.48148148148148145</v>
      </c>
      <c r="S307" s="19"/>
      <c r="T307" s="19" t="str">
        <f>UPPER(TEXT(ShoeSales[[#This Row],[Date]], "mmm"))</f>
        <v>JUN</v>
      </c>
    </row>
    <row r="308" spans="1:20" ht="14.25" customHeight="1" x14ac:dyDescent="0.25">
      <c r="A308" s="14">
        <v>46127</v>
      </c>
      <c r="B308" s="6" t="s">
        <v>12</v>
      </c>
      <c r="C308" s="16" t="str">
        <f>TRIM(PROPER(ShoeSales[[#This Row],[Product]]))</f>
        <v>Brogues</v>
      </c>
      <c r="D308" s="6" t="s">
        <v>28</v>
      </c>
      <c r="E308" s="44" t="str">
        <f>UPPER(ShoeSales[[#This Row],[Category]])</f>
        <v>FORMAL</v>
      </c>
      <c r="F308" s="6" t="s">
        <v>38</v>
      </c>
      <c r="G308" s="6" t="s">
        <v>30</v>
      </c>
      <c r="H308" s="16" t="str">
        <f>PROPER(ShoeSales[[#This Row],[Brand]])</f>
        <v>Nike</v>
      </c>
      <c r="I308" s="6" t="s">
        <v>91</v>
      </c>
      <c r="J308" s="7">
        <v>13</v>
      </c>
      <c r="K308" s="6" t="s">
        <v>36</v>
      </c>
      <c r="L308" s="22">
        <f>VLOOKUP(ShoeSales[[#This Row],[Product Cleaned]],Price!$A$2:$C$9,2,FALSE)</f>
        <v>112</v>
      </c>
      <c r="M308" s="19">
        <f>_xlfn.XLOOKUP(ShoeSales[[#This Row],[Product Cleaned]],Price!$A$2:$A$9,Price!$B$2:$B$9)</f>
        <v>112</v>
      </c>
      <c r="N308" s="19">
        <f>_xlfn.XLOOKUP(ShoeSales[[#This Row],[Product Cleaned]],Price!$A$2:$A$9,Price!$C$2:$C$9)</f>
        <v>64</v>
      </c>
      <c r="O308" s="22">
        <f>ShoeSales[[#This Row],[Sell Price]]*ShoeSales[[#This Row],[Quantity]]</f>
        <v>1456</v>
      </c>
      <c r="P308" s="19">
        <f>ShoeSales[[#This Row],[Quantity]]*ShoeSales[[#This Row],[Cost Price]]</f>
        <v>832</v>
      </c>
      <c r="Q308" s="19">
        <f>ShoeSales[[#This Row],[Revenue]]-ShoeSales[[#This Row],[Cost]]</f>
        <v>624</v>
      </c>
      <c r="R308" s="24">
        <f>ShoeSales[[#This Row],[Profit]]/ShoeSales[[#This Row],[Revenue]]</f>
        <v>0.42857142857142855</v>
      </c>
      <c r="S308" s="19"/>
      <c r="T308" s="19" t="str">
        <f>UPPER(TEXT(ShoeSales[[#This Row],[Date]], "mmm"))</f>
        <v>APR</v>
      </c>
    </row>
    <row r="309" spans="1:20" ht="14.25" customHeight="1" x14ac:dyDescent="0.25">
      <c r="A309" s="15">
        <v>46120</v>
      </c>
      <c r="B309" s="9" t="s">
        <v>27</v>
      </c>
      <c r="C309" s="9" t="str">
        <f>TRIM(PROPER(ShoeSales[[#This Row],[Product]]))</f>
        <v>Monk Straps</v>
      </c>
      <c r="D309" s="9" t="s">
        <v>28</v>
      </c>
      <c r="E309" s="45" t="str">
        <f>UPPER(ShoeSales[[#This Row],[Category]])</f>
        <v>FORMAL</v>
      </c>
      <c r="F309" s="9" t="s">
        <v>49</v>
      </c>
      <c r="G309" s="9" t="s">
        <v>35</v>
      </c>
      <c r="H309" s="9" t="str">
        <f>PROPER(ShoeSales[[#This Row],[Brand]])</f>
        <v>Nike</v>
      </c>
      <c r="I309" s="9" t="s">
        <v>61</v>
      </c>
      <c r="J309" s="10">
        <v>5</v>
      </c>
      <c r="K309" s="9" t="s">
        <v>54</v>
      </c>
      <c r="L309" s="22">
        <f>VLOOKUP(ShoeSales[[#This Row],[Product Cleaned]],Price!$A$2:$C$9,2,FALSE)</f>
        <v>89</v>
      </c>
      <c r="M309" s="19">
        <f>_xlfn.XLOOKUP(ShoeSales[[#This Row],[Product Cleaned]],Price!$A$2:$A$9,Price!$B$2:$B$9)</f>
        <v>89</v>
      </c>
      <c r="N309" s="19">
        <f>_xlfn.XLOOKUP(ShoeSales[[#This Row],[Product Cleaned]],Price!$A$2:$A$9,Price!$C$2:$C$9)</f>
        <v>47</v>
      </c>
      <c r="O309" s="22">
        <f>ShoeSales[[#This Row],[Sell Price]]*ShoeSales[[#This Row],[Quantity]]</f>
        <v>445</v>
      </c>
      <c r="P309" s="19">
        <f>ShoeSales[[#This Row],[Quantity]]*ShoeSales[[#This Row],[Cost Price]]</f>
        <v>235</v>
      </c>
      <c r="Q309" s="19">
        <f>ShoeSales[[#This Row],[Revenue]]-ShoeSales[[#This Row],[Cost]]</f>
        <v>210</v>
      </c>
      <c r="R309" s="24">
        <f>ShoeSales[[#This Row],[Profit]]/ShoeSales[[#This Row],[Revenue]]</f>
        <v>0.47191011235955055</v>
      </c>
      <c r="S309" s="19"/>
      <c r="T309" s="19" t="str">
        <f>UPPER(TEXT(ShoeSales[[#This Row],[Date]], "mmm"))</f>
        <v>APR</v>
      </c>
    </row>
    <row r="310" spans="1:20" ht="14.25" customHeight="1" x14ac:dyDescent="0.25">
      <c r="A310" s="14">
        <v>46149</v>
      </c>
      <c r="B310" s="6" t="s">
        <v>6</v>
      </c>
      <c r="C310" s="16" t="str">
        <f>TRIM(PROPER(ShoeSales[[#This Row],[Product]]))</f>
        <v>Loafers</v>
      </c>
      <c r="D310" s="6" t="s">
        <v>71</v>
      </c>
      <c r="E310" s="44" t="str">
        <f>UPPER(ShoeSales[[#This Row],[Category]])</f>
        <v>CASUAL</v>
      </c>
      <c r="F310" s="6" t="s">
        <v>56</v>
      </c>
      <c r="G310" s="6" t="s">
        <v>72</v>
      </c>
      <c r="H310" s="16" t="str">
        <f>PROPER(ShoeSales[[#This Row],[Brand]])</f>
        <v>Zara</v>
      </c>
      <c r="I310" s="6" t="s">
        <v>40</v>
      </c>
      <c r="J310" s="7">
        <v>2</v>
      </c>
      <c r="K310" s="6" t="s">
        <v>36</v>
      </c>
      <c r="L310" s="22">
        <f>VLOOKUP(ShoeSales[[#This Row],[Product Cleaned]],Price!$A$2:$C$9,2,FALSE)</f>
        <v>54</v>
      </c>
      <c r="M310" s="19">
        <f>_xlfn.XLOOKUP(ShoeSales[[#This Row],[Product Cleaned]],Price!$A$2:$A$9,Price!$B$2:$B$9)</f>
        <v>54</v>
      </c>
      <c r="N310" s="19">
        <f>_xlfn.XLOOKUP(ShoeSales[[#This Row],[Product Cleaned]],Price!$A$2:$A$9,Price!$C$2:$C$9)</f>
        <v>28</v>
      </c>
      <c r="O310" s="22">
        <f>ShoeSales[[#This Row],[Sell Price]]*ShoeSales[[#This Row],[Quantity]]</f>
        <v>108</v>
      </c>
      <c r="P310" s="19">
        <f>ShoeSales[[#This Row],[Quantity]]*ShoeSales[[#This Row],[Cost Price]]</f>
        <v>56</v>
      </c>
      <c r="Q310" s="19">
        <f>ShoeSales[[#This Row],[Revenue]]-ShoeSales[[#This Row],[Cost]]</f>
        <v>52</v>
      </c>
      <c r="R310" s="24">
        <f>ShoeSales[[#This Row],[Profit]]/ShoeSales[[#This Row],[Revenue]]</f>
        <v>0.48148148148148145</v>
      </c>
      <c r="S310" s="19"/>
      <c r="T310" s="19" t="str">
        <f>UPPER(TEXT(ShoeSales[[#This Row],[Date]], "mmm"))</f>
        <v>MAY</v>
      </c>
    </row>
    <row r="311" spans="1:20" ht="14.25" customHeight="1" x14ac:dyDescent="0.25">
      <c r="A311" s="15">
        <v>46171</v>
      </c>
      <c r="B311" s="9" t="s">
        <v>85</v>
      </c>
      <c r="C311" s="9" t="str">
        <f>TRIM(PROPER(ShoeSales[[#This Row],[Product]]))</f>
        <v>Brogues</v>
      </c>
      <c r="D311" s="9" t="s">
        <v>89</v>
      </c>
      <c r="E311" s="45" t="str">
        <f>UPPER(ShoeSales[[#This Row],[Category]])</f>
        <v>OPEN</v>
      </c>
      <c r="F311" s="9" t="s">
        <v>29</v>
      </c>
      <c r="G311" s="9" t="s">
        <v>57</v>
      </c>
      <c r="H311" s="9" t="str">
        <f>PROPER(ShoeSales[[#This Row],[Brand]])</f>
        <v>Timberland</v>
      </c>
      <c r="I311" s="9" t="s">
        <v>61</v>
      </c>
      <c r="J311" s="10">
        <v>7</v>
      </c>
      <c r="K311" s="9" t="s">
        <v>36</v>
      </c>
      <c r="L311" s="22">
        <f>VLOOKUP(ShoeSales[[#This Row],[Product Cleaned]],Price!$A$2:$C$9,2,FALSE)</f>
        <v>112</v>
      </c>
      <c r="M311" s="19">
        <f>_xlfn.XLOOKUP(ShoeSales[[#This Row],[Product Cleaned]],Price!$A$2:$A$9,Price!$B$2:$B$9)</f>
        <v>112</v>
      </c>
      <c r="N311" s="19">
        <f>_xlfn.XLOOKUP(ShoeSales[[#This Row],[Product Cleaned]],Price!$A$2:$A$9,Price!$C$2:$C$9)</f>
        <v>64</v>
      </c>
      <c r="O311" s="22">
        <f>ShoeSales[[#This Row],[Sell Price]]*ShoeSales[[#This Row],[Quantity]]</f>
        <v>784</v>
      </c>
      <c r="P311" s="19">
        <f>ShoeSales[[#This Row],[Quantity]]*ShoeSales[[#This Row],[Cost Price]]</f>
        <v>448</v>
      </c>
      <c r="Q311" s="19">
        <f>ShoeSales[[#This Row],[Revenue]]-ShoeSales[[#This Row],[Cost]]</f>
        <v>336</v>
      </c>
      <c r="R311" s="24">
        <f>ShoeSales[[#This Row],[Profit]]/ShoeSales[[#This Row],[Revenue]]</f>
        <v>0.42857142857142855</v>
      </c>
      <c r="S311" s="19"/>
      <c r="T311" s="19" t="str">
        <f>UPPER(TEXT(ShoeSales[[#This Row],[Date]], "mmm"))</f>
        <v>MAY</v>
      </c>
    </row>
    <row r="312" spans="1:20" ht="14.25" customHeight="1" x14ac:dyDescent="0.25">
      <c r="A312" s="14">
        <v>46112</v>
      </c>
      <c r="B312" s="6" t="s">
        <v>5</v>
      </c>
      <c r="C312" s="16" t="str">
        <f>TRIM(PROPER(ShoeSales[[#This Row],[Product]]))</f>
        <v>Monk Straps</v>
      </c>
      <c r="D312" s="6" t="s">
        <v>77</v>
      </c>
      <c r="E312" s="44" t="str">
        <f>UPPER(ShoeSales[[#This Row],[Category]])</f>
        <v>CASUAL</v>
      </c>
      <c r="F312" s="6" t="s">
        <v>49</v>
      </c>
      <c r="G312" s="6" t="s">
        <v>50</v>
      </c>
      <c r="H312" s="16" t="str">
        <f>PROPER(ShoeSales[[#This Row],[Brand]])</f>
        <v>Nike</v>
      </c>
      <c r="I312" s="6" t="s">
        <v>64</v>
      </c>
      <c r="J312" s="7">
        <v>9</v>
      </c>
      <c r="K312" s="6" t="s">
        <v>54</v>
      </c>
      <c r="L312" s="22">
        <f>VLOOKUP(ShoeSales[[#This Row],[Product Cleaned]],Price!$A$2:$C$9,2,FALSE)</f>
        <v>89</v>
      </c>
      <c r="M312" s="19">
        <f>_xlfn.XLOOKUP(ShoeSales[[#This Row],[Product Cleaned]],Price!$A$2:$A$9,Price!$B$2:$B$9)</f>
        <v>89</v>
      </c>
      <c r="N312" s="19">
        <f>_xlfn.XLOOKUP(ShoeSales[[#This Row],[Product Cleaned]],Price!$A$2:$A$9,Price!$C$2:$C$9)</f>
        <v>47</v>
      </c>
      <c r="O312" s="22">
        <f>ShoeSales[[#This Row],[Sell Price]]*ShoeSales[[#This Row],[Quantity]]</f>
        <v>801</v>
      </c>
      <c r="P312" s="19">
        <f>ShoeSales[[#This Row],[Quantity]]*ShoeSales[[#This Row],[Cost Price]]</f>
        <v>423</v>
      </c>
      <c r="Q312" s="19">
        <f>ShoeSales[[#This Row],[Revenue]]-ShoeSales[[#This Row],[Cost]]</f>
        <v>378</v>
      </c>
      <c r="R312" s="24">
        <f>ShoeSales[[#This Row],[Profit]]/ShoeSales[[#This Row],[Revenue]]</f>
        <v>0.47191011235955055</v>
      </c>
      <c r="S312" s="19"/>
      <c r="T312" s="19" t="str">
        <f>UPPER(TEXT(ShoeSales[[#This Row],[Date]], "mmm"))</f>
        <v>MAR</v>
      </c>
    </row>
    <row r="313" spans="1:20" ht="14.25" customHeight="1" x14ac:dyDescent="0.25">
      <c r="A313" s="15">
        <v>46144</v>
      </c>
      <c r="B313" s="9" t="s">
        <v>83</v>
      </c>
      <c r="C313" s="9" t="str">
        <f>TRIM(PROPER(ShoeSales[[#This Row],[Product]]))</f>
        <v>Monk Straps</v>
      </c>
      <c r="D313" s="9" t="s">
        <v>28</v>
      </c>
      <c r="E313" s="45" t="str">
        <f>UPPER(ShoeSales[[#This Row],[Category]])</f>
        <v>FORMAL</v>
      </c>
      <c r="F313" s="9" t="s">
        <v>38</v>
      </c>
      <c r="G313" s="9" t="s">
        <v>72</v>
      </c>
      <c r="H313" s="9" t="str">
        <f>PROPER(ShoeSales[[#This Row],[Brand]])</f>
        <v>Zara</v>
      </c>
      <c r="I313" s="9" t="s">
        <v>31</v>
      </c>
      <c r="J313" s="10">
        <v>6</v>
      </c>
      <c r="K313" s="9" t="s">
        <v>32</v>
      </c>
      <c r="L313" s="22">
        <f>VLOOKUP(ShoeSales[[#This Row],[Product Cleaned]],Price!$A$2:$C$9,2,FALSE)</f>
        <v>89</v>
      </c>
      <c r="M313" s="19">
        <f>_xlfn.XLOOKUP(ShoeSales[[#This Row],[Product Cleaned]],Price!$A$2:$A$9,Price!$B$2:$B$9)</f>
        <v>89</v>
      </c>
      <c r="N313" s="19">
        <f>_xlfn.XLOOKUP(ShoeSales[[#This Row],[Product Cleaned]],Price!$A$2:$A$9,Price!$C$2:$C$9)</f>
        <v>47</v>
      </c>
      <c r="O313" s="22">
        <f>ShoeSales[[#This Row],[Sell Price]]*ShoeSales[[#This Row],[Quantity]]</f>
        <v>534</v>
      </c>
      <c r="P313" s="19">
        <f>ShoeSales[[#This Row],[Quantity]]*ShoeSales[[#This Row],[Cost Price]]</f>
        <v>282</v>
      </c>
      <c r="Q313" s="19">
        <f>ShoeSales[[#This Row],[Revenue]]-ShoeSales[[#This Row],[Cost]]</f>
        <v>252</v>
      </c>
      <c r="R313" s="24">
        <f>ShoeSales[[#This Row],[Profit]]/ShoeSales[[#This Row],[Revenue]]</f>
        <v>0.47191011235955055</v>
      </c>
      <c r="S313" s="19"/>
      <c r="T313" s="19" t="str">
        <f>UPPER(TEXT(ShoeSales[[#This Row],[Date]], "mmm"))</f>
        <v>MAY</v>
      </c>
    </row>
    <row r="314" spans="1:20" ht="14.25" customHeight="1" x14ac:dyDescent="0.25">
      <c r="A314" s="14">
        <v>46142</v>
      </c>
      <c r="B314" s="6" t="s">
        <v>12</v>
      </c>
      <c r="C314" s="16" t="str">
        <f>TRIM(PROPER(ShoeSales[[#This Row],[Product]]))</f>
        <v>Brogues</v>
      </c>
      <c r="D314" s="6" t="s">
        <v>89</v>
      </c>
      <c r="E314" s="44" t="str">
        <f>UPPER(ShoeSales[[#This Row],[Category]])</f>
        <v>OPEN</v>
      </c>
      <c r="F314" s="6" t="s">
        <v>34</v>
      </c>
      <c r="G314" s="6" t="s">
        <v>94</v>
      </c>
      <c r="H314" s="16" t="str">
        <f>PROPER(ShoeSales[[#This Row],[Brand]])</f>
        <v>Timberland</v>
      </c>
      <c r="I314" s="6" t="s">
        <v>91</v>
      </c>
      <c r="J314" s="7">
        <v>10</v>
      </c>
      <c r="K314" s="6" t="s">
        <v>62</v>
      </c>
      <c r="L314" s="22">
        <f>VLOOKUP(ShoeSales[[#This Row],[Product Cleaned]],Price!$A$2:$C$9,2,FALSE)</f>
        <v>112</v>
      </c>
      <c r="M314" s="19">
        <f>_xlfn.XLOOKUP(ShoeSales[[#This Row],[Product Cleaned]],Price!$A$2:$A$9,Price!$B$2:$B$9)</f>
        <v>112</v>
      </c>
      <c r="N314" s="19">
        <f>_xlfn.XLOOKUP(ShoeSales[[#This Row],[Product Cleaned]],Price!$A$2:$A$9,Price!$C$2:$C$9)</f>
        <v>64</v>
      </c>
      <c r="O314" s="22">
        <f>ShoeSales[[#This Row],[Sell Price]]*ShoeSales[[#This Row],[Quantity]]</f>
        <v>1120</v>
      </c>
      <c r="P314" s="19">
        <f>ShoeSales[[#This Row],[Quantity]]*ShoeSales[[#This Row],[Cost Price]]</f>
        <v>640</v>
      </c>
      <c r="Q314" s="19">
        <f>ShoeSales[[#This Row],[Revenue]]-ShoeSales[[#This Row],[Cost]]</f>
        <v>480</v>
      </c>
      <c r="R314" s="24">
        <f>ShoeSales[[#This Row],[Profit]]/ShoeSales[[#This Row],[Revenue]]</f>
        <v>0.42857142857142855</v>
      </c>
      <c r="S314" s="19"/>
      <c r="T314" s="19" t="str">
        <f>UPPER(TEXT(ShoeSales[[#This Row],[Date]], "mmm"))</f>
        <v>APR</v>
      </c>
    </row>
    <row r="315" spans="1:20" ht="14.25" customHeight="1" x14ac:dyDescent="0.25">
      <c r="A315" s="15">
        <v>46221</v>
      </c>
      <c r="B315" s="9" t="s">
        <v>76</v>
      </c>
      <c r="C315" s="9" t="str">
        <f>TRIM(PROPER(ShoeSales[[#This Row],[Product]]))</f>
        <v>Derby</v>
      </c>
      <c r="D315" s="9" t="s">
        <v>89</v>
      </c>
      <c r="E315" s="45" t="str">
        <f>UPPER(ShoeSales[[#This Row],[Category]])</f>
        <v>OPEN</v>
      </c>
      <c r="F315" s="9" t="s">
        <v>56</v>
      </c>
      <c r="G315" s="9" t="s">
        <v>94</v>
      </c>
      <c r="H315" s="9" t="str">
        <f>PROPER(ShoeSales[[#This Row],[Brand]])</f>
        <v>Timberland</v>
      </c>
      <c r="I315" s="9" t="s">
        <v>84</v>
      </c>
      <c r="J315" s="10">
        <v>1</v>
      </c>
      <c r="K315" s="9" t="s">
        <v>36</v>
      </c>
      <c r="L315" s="22">
        <f>VLOOKUP(ShoeSales[[#This Row],[Product Cleaned]],Price!$A$2:$C$9,2,FALSE)</f>
        <v>32</v>
      </c>
      <c r="M315" s="19">
        <f>_xlfn.XLOOKUP(ShoeSales[[#This Row],[Product Cleaned]],Price!$A$2:$A$9,Price!$B$2:$B$9)</f>
        <v>32</v>
      </c>
      <c r="N315" s="19">
        <f>_xlfn.XLOOKUP(ShoeSales[[#This Row],[Product Cleaned]],Price!$A$2:$A$9,Price!$C$2:$C$9)</f>
        <v>14</v>
      </c>
      <c r="O315" s="22">
        <f>ShoeSales[[#This Row],[Sell Price]]*ShoeSales[[#This Row],[Quantity]]</f>
        <v>32</v>
      </c>
      <c r="P315" s="19">
        <f>ShoeSales[[#This Row],[Quantity]]*ShoeSales[[#This Row],[Cost Price]]</f>
        <v>14</v>
      </c>
      <c r="Q315" s="19">
        <f>ShoeSales[[#This Row],[Revenue]]-ShoeSales[[#This Row],[Cost]]</f>
        <v>18</v>
      </c>
      <c r="R315" s="24">
        <f>ShoeSales[[#This Row],[Profit]]/ShoeSales[[#This Row],[Revenue]]</f>
        <v>0.5625</v>
      </c>
      <c r="S315" s="19"/>
      <c r="T315" s="19" t="str">
        <f>UPPER(TEXT(ShoeSales[[#This Row],[Date]], "mmm"))</f>
        <v>JUL</v>
      </c>
    </row>
    <row r="316" spans="1:20" ht="14.25" customHeight="1" x14ac:dyDescent="0.25">
      <c r="A316" s="14">
        <v>46152</v>
      </c>
      <c r="B316" s="6" t="s">
        <v>10</v>
      </c>
      <c r="C316" s="16" t="str">
        <f>TRIM(PROPER(ShoeSales[[#This Row],[Product]]))</f>
        <v>Oxford</v>
      </c>
      <c r="D316" s="6" t="s">
        <v>71</v>
      </c>
      <c r="E316" s="44" t="str">
        <f>UPPER(ShoeSales[[#This Row],[Category]])</f>
        <v>CASUAL</v>
      </c>
      <c r="F316" s="6" t="s">
        <v>56</v>
      </c>
      <c r="G316" s="6" t="s">
        <v>72</v>
      </c>
      <c r="H316" s="16" t="str">
        <f>PROPER(ShoeSales[[#This Row],[Brand]])</f>
        <v>Zara</v>
      </c>
      <c r="I316" s="6" t="s">
        <v>31</v>
      </c>
      <c r="J316" s="7">
        <v>13</v>
      </c>
      <c r="K316" s="6" t="s">
        <v>54</v>
      </c>
      <c r="L316" s="22">
        <f>VLOOKUP(ShoeSales[[#This Row],[Product Cleaned]],Price!$A$2:$C$9,2,FALSE)</f>
        <v>105</v>
      </c>
      <c r="M316" s="19">
        <f>_xlfn.XLOOKUP(ShoeSales[[#This Row],[Product Cleaned]],Price!$A$2:$A$9,Price!$B$2:$B$9)</f>
        <v>105</v>
      </c>
      <c r="N316" s="19">
        <f>_xlfn.XLOOKUP(ShoeSales[[#This Row],[Product Cleaned]],Price!$A$2:$A$9,Price!$C$2:$C$9)</f>
        <v>58</v>
      </c>
      <c r="O316" s="22">
        <f>ShoeSales[[#This Row],[Sell Price]]*ShoeSales[[#This Row],[Quantity]]</f>
        <v>1365</v>
      </c>
      <c r="P316" s="19">
        <f>ShoeSales[[#This Row],[Quantity]]*ShoeSales[[#This Row],[Cost Price]]</f>
        <v>754</v>
      </c>
      <c r="Q316" s="19">
        <f>ShoeSales[[#This Row],[Revenue]]-ShoeSales[[#This Row],[Cost]]</f>
        <v>611</v>
      </c>
      <c r="R316" s="24">
        <f>ShoeSales[[#This Row],[Profit]]/ShoeSales[[#This Row],[Revenue]]</f>
        <v>0.44761904761904764</v>
      </c>
      <c r="S316" s="19"/>
      <c r="T316" s="19" t="str">
        <f>UPPER(TEXT(ShoeSales[[#This Row],[Date]], "mmm"))</f>
        <v>MAY</v>
      </c>
    </row>
    <row r="317" spans="1:20" ht="14.25" customHeight="1" x14ac:dyDescent="0.25">
      <c r="A317" s="15">
        <v>46070</v>
      </c>
      <c r="B317" s="9" t="s">
        <v>33</v>
      </c>
      <c r="C317" s="9" t="str">
        <f>TRIM(PROPER(ShoeSales[[#This Row],[Product]]))</f>
        <v>Loafers</v>
      </c>
      <c r="D317" s="9" t="s">
        <v>28</v>
      </c>
      <c r="E317" s="45" t="str">
        <f>UPPER(ShoeSales[[#This Row],[Category]])</f>
        <v>FORMAL</v>
      </c>
      <c r="F317" s="9" t="s">
        <v>56</v>
      </c>
      <c r="G317" s="9" t="s">
        <v>63</v>
      </c>
      <c r="H317" s="9" t="str">
        <f>PROPER(ShoeSales[[#This Row],[Brand]])</f>
        <v>Clarks</v>
      </c>
      <c r="I317" s="9" t="s">
        <v>51</v>
      </c>
      <c r="J317" s="10">
        <v>9</v>
      </c>
      <c r="K317" s="9" t="s">
        <v>54</v>
      </c>
      <c r="L317" s="22">
        <f>VLOOKUP(ShoeSales[[#This Row],[Product Cleaned]],Price!$A$2:$C$9,2,FALSE)</f>
        <v>54</v>
      </c>
      <c r="M317" s="19">
        <f>_xlfn.XLOOKUP(ShoeSales[[#This Row],[Product Cleaned]],Price!$A$2:$A$9,Price!$B$2:$B$9)</f>
        <v>54</v>
      </c>
      <c r="N317" s="19">
        <f>_xlfn.XLOOKUP(ShoeSales[[#This Row],[Product Cleaned]],Price!$A$2:$A$9,Price!$C$2:$C$9)</f>
        <v>28</v>
      </c>
      <c r="O317" s="22">
        <f>ShoeSales[[#This Row],[Sell Price]]*ShoeSales[[#This Row],[Quantity]]</f>
        <v>486</v>
      </c>
      <c r="P317" s="19">
        <f>ShoeSales[[#This Row],[Quantity]]*ShoeSales[[#This Row],[Cost Price]]</f>
        <v>252</v>
      </c>
      <c r="Q317" s="19">
        <f>ShoeSales[[#This Row],[Revenue]]-ShoeSales[[#This Row],[Cost]]</f>
        <v>234</v>
      </c>
      <c r="R317" s="24">
        <f>ShoeSales[[#This Row],[Profit]]/ShoeSales[[#This Row],[Revenue]]</f>
        <v>0.48148148148148145</v>
      </c>
      <c r="S317" s="19"/>
      <c r="T317" s="19" t="str">
        <f>UPPER(TEXT(ShoeSales[[#This Row],[Date]], "mmm"))</f>
        <v>FEB</v>
      </c>
    </row>
    <row r="318" spans="1:20" ht="14.25" customHeight="1" x14ac:dyDescent="0.25">
      <c r="A318" s="14">
        <v>46178</v>
      </c>
      <c r="B318" s="6" t="s">
        <v>15</v>
      </c>
      <c r="C318" s="16" t="str">
        <f>TRIM(PROPER(ShoeSales[[#This Row],[Product]]))</f>
        <v>Slippers</v>
      </c>
      <c r="D318" s="6" t="s">
        <v>45</v>
      </c>
      <c r="E318" s="44" t="str">
        <f>UPPER(ShoeSales[[#This Row],[Category]])</f>
        <v>CASUAL</v>
      </c>
      <c r="F318" s="6" t="s">
        <v>38</v>
      </c>
      <c r="G318" s="6" t="s">
        <v>46</v>
      </c>
      <c r="H318" s="16" t="str">
        <f>PROPER(ShoeSales[[#This Row],[Brand]])</f>
        <v>Clarks</v>
      </c>
      <c r="I318" s="6" t="s">
        <v>43</v>
      </c>
      <c r="J318" s="7">
        <v>15</v>
      </c>
      <c r="K318" s="6" t="s">
        <v>54</v>
      </c>
      <c r="L318" s="22">
        <f>VLOOKUP(ShoeSales[[#This Row],[Product Cleaned]],Price!$A$2:$C$9,2,FALSE)</f>
        <v>119</v>
      </c>
      <c r="M318" s="19">
        <f>_xlfn.XLOOKUP(ShoeSales[[#This Row],[Product Cleaned]],Price!$A$2:$A$9,Price!$B$2:$B$9)</f>
        <v>119</v>
      </c>
      <c r="N318" s="19">
        <f>_xlfn.XLOOKUP(ShoeSales[[#This Row],[Product Cleaned]],Price!$A$2:$A$9,Price!$C$2:$C$9)</f>
        <v>67</v>
      </c>
      <c r="O318" s="22">
        <f>ShoeSales[[#This Row],[Sell Price]]*ShoeSales[[#This Row],[Quantity]]</f>
        <v>1785</v>
      </c>
      <c r="P318" s="19">
        <f>ShoeSales[[#This Row],[Quantity]]*ShoeSales[[#This Row],[Cost Price]]</f>
        <v>1005</v>
      </c>
      <c r="Q318" s="19">
        <f>ShoeSales[[#This Row],[Revenue]]-ShoeSales[[#This Row],[Cost]]</f>
        <v>780</v>
      </c>
      <c r="R318" s="24">
        <f>ShoeSales[[#This Row],[Profit]]/ShoeSales[[#This Row],[Revenue]]</f>
        <v>0.43697478991596639</v>
      </c>
      <c r="S318" s="19"/>
      <c r="T318" s="19" t="str">
        <f>UPPER(TEXT(ShoeSales[[#This Row],[Date]], "mmm"))</f>
        <v>JUN</v>
      </c>
    </row>
    <row r="319" spans="1:20" ht="14.25" customHeight="1" x14ac:dyDescent="0.25">
      <c r="A319" s="15">
        <v>46047</v>
      </c>
      <c r="B319" s="9" t="s">
        <v>52</v>
      </c>
      <c r="C319" s="9" t="str">
        <f>TRIM(PROPER(ShoeSales[[#This Row],[Product]]))</f>
        <v>Canvas</v>
      </c>
      <c r="D319" s="9" t="s">
        <v>74</v>
      </c>
      <c r="E319" s="45" t="str">
        <f>UPPER(ShoeSales[[#This Row],[Category]])</f>
        <v>OPEN</v>
      </c>
      <c r="F319" s="9" t="s">
        <v>29</v>
      </c>
      <c r="G319" s="9" t="s">
        <v>69</v>
      </c>
      <c r="H319" s="9" t="str">
        <f>PROPER(ShoeSales[[#This Row],[Brand]])</f>
        <v>Zara</v>
      </c>
      <c r="I319" s="9" t="s">
        <v>51</v>
      </c>
      <c r="J319" s="10">
        <v>14</v>
      </c>
      <c r="K319" s="9" t="s">
        <v>36</v>
      </c>
      <c r="L319" s="22">
        <f>VLOOKUP(ShoeSales[[#This Row],[Product Cleaned]],Price!$A$2:$C$9,2,FALSE)</f>
        <v>128</v>
      </c>
      <c r="M319" s="19">
        <f>_xlfn.XLOOKUP(ShoeSales[[#This Row],[Product Cleaned]],Price!$A$2:$A$9,Price!$B$2:$B$9)</f>
        <v>128</v>
      </c>
      <c r="N319" s="19">
        <f>_xlfn.XLOOKUP(ShoeSales[[#This Row],[Product Cleaned]],Price!$A$2:$A$9,Price!$C$2:$C$9)</f>
        <v>72</v>
      </c>
      <c r="O319" s="22">
        <f>ShoeSales[[#This Row],[Sell Price]]*ShoeSales[[#This Row],[Quantity]]</f>
        <v>1792</v>
      </c>
      <c r="P319" s="19">
        <f>ShoeSales[[#This Row],[Quantity]]*ShoeSales[[#This Row],[Cost Price]]</f>
        <v>1008</v>
      </c>
      <c r="Q319" s="19">
        <f>ShoeSales[[#This Row],[Revenue]]-ShoeSales[[#This Row],[Cost]]</f>
        <v>784</v>
      </c>
      <c r="R319" s="24">
        <f>ShoeSales[[#This Row],[Profit]]/ShoeSales[[#This Row],[Revenue]]</f>
        <v>0.4375</v>
      </c>
      <c r="S319" s="19"/>
      <c r="T319" s="19" t="str">
        <f>UPPER(TEXT(ShoeSales[[#This Row],[Date]], "mmm"))</f>
        <v>JAN</v>
      </c>
    </row>
    <row r="320" spans="1:20" ht="14.25" customHeight="1" x14ac:dyDescent="0.25">
      <c r="A320" s="14">
        <v>46151</v>
      </c>
      <c r="B320" s="6" t="s">
        <v>27</v>
      </c>
      <c r="C320" s="16" t="str">
        <f>TRIM(PROPER(ShoeSales[[#This Row],[Product]]))</f>
        <v>Monk Straps</v>
      </c>
      <c r="D320" s="6" t="s">
        <v>87</v>
      </c>
      <c r="E320" s="44" t="str">
        <f>UPPER(ShoeSales[[#This Row],[Category]])</f>
        <v>OPEN</v>
      </c>
      <c r="F320" s="6" t="s">
        <v>49</v>
      </c>
      <c r="G320" s="6" t="s">
        <v>39</v>
      </c>
      <c r="H320" s="16" t="str">
        <f>PROPER(ShoeSales[[#This Row],[Brand]])</f>
        <v>Clarks</v>
      </c>
      <c r="I320" s="6" t="s">
        <v>53</v>
      </c>
      <c r="J320" s="7">
        <v>15</v>
      </c>
      <c r="K320" s="6" t="s">
        <v>36</v>
      </c>
      <c r="L320" s="22">
        <f>VLOOKUP(ShoeSales[[#This Row],[Product Cleaned]],Price!$A$2:$C$9,2,FALSE)</f>
        <v>89</v>
      </c>
      <c r="M320" s="19">
        <f>_xlfn.XLOOKUP(ShoeSales[[#This Row],[Product Cleaned]],Price!$A$2:$A$9,Price!$B$2:$B$9)</f>
        <v>89</v>
      </c>
      <c r="N320" s="19">
        <f>_xlfn.XLOOKUP(ShoeSales[[#This Row],[Product Cleaned]],Price!$A$2:$A$9,Price!$C$2:$C$9)</f>
        <v>47</v>
      </c>
      <c r="O320" s="22">
        <f>ShoeSales[[#This Row],[Sell Price]]*ShoeSales[[#This Row],[Quantity]]</f>
        <v>1335</v>
      </c>
      <c r="P320" s="19">
        <f>ShoeSales[[#This Row],[Quantity]]*ShoeSales[[#This Row],[Cost Price]]</f>
        <v>705</v>
      </c>
      <c r="Q320" s="19">
        <f>ShoeSales[[#This Row],[Revenue]]-ShoeSales[[#This Row],[Cost]]</f>
        <v>630</v>
      </c>
      <c r="R320" s="24">
        <f>ShoeSales[[#This Row],[Profit]]/ShoeSales[[#This Row],[Revenue]]</f>
        <v>0.47191011235955055</v>
      </c>
      <c r="S320" s="19"/>
      <c r="T320" s="19" t="str">
        <f>UPPER(TEXT(ShoeSales[[#This Row],[Date]], "mmm"))</f>
        <v>MAY</v>
      </c>
    </row>
    <row r="321" spans="1:20" ht="14.25" customHeight="1" x14ac:dyDescent="0.25">
      <c r="A321" s="15">
        <v>46103</v>
      </c>
      <c r="B321" s="9" t="s">
        <v>60</v>
      </c>
      <c r="C321" s="9" t="str">
        <f>TRIM(PROPER(ShoeSales[[#This Row],[Product]]))</f>
        <v>Oxford</v>
      </c>
      <c r="D321" s="9" t="s">
        <v>37</v>
      </c>
      <c r="E321" s="45" t="str">
        <f>UPPER(ShoeSales[[#This Row],[Category]])</f>
        <v>FORMAL</v>
      </c>
      <c r="F321" s="9" t="s">
        <v>38</v>
      </c>
      <c r="G321" s="9" t="s">
        <v>46</v>
      </c>
      <c r="H321" s="9" t="str">
        <f>PROPER(ShoeSales[[#This Row],[Brand]])</f>
        <v>Clarks</v>
      </c>
      <c r="I321" s="9" t="s">
        <v>53</v>
      </c>
      <c r="J321" s="10">
        <v>14</v>
      </c>
      <c r="K321" s="9" t="s">
        <v>36</v>
      </c>
      <c r="L321" s="22">
        <f>VLOOKUP(ShoeSales[[#This Row],[Product Cleaned]],Price!$A$2:$C$9,2,FALSE)</f>
        <v>105</v>
      </c>
      <c r="M321" s="19">
        <f>_xlfn.XLOOKUP(ShoeSales[[#This Row],[Product Cleaned]],Price!$A$2:$A$9,Price!$B$2:$B$9)</f>
        <v>105</v>
      </c>
      <c r="N321" s="19">
        <f>_xlfn.XLOOKUP(ShoeSales[[#This Row],[Product Cleaned]],Price!$A$2:$A$9,Price!$C$2:$C$9)</f>
        <v>58</v>
      </c>
      <c r="O321" s="22">
        <f>ShoeSales[[#This Row],[Sell Price]]*ShoeSales[[#This Row],[Quantity]]</f>
        <v>1470</v>
      </c>
      <c r="P321" s="19">
        <f>ShoeSales[[#This Row],[Quantity]]*ShoeSales[[#This Row],[Cost Price]]</f>
        <v>812</v>
      </c>
      <c r="Q321" s="19">
        <f>ShoeSales[[#This Row],[Revenue]]-ShoeSales[[#This Row],[Cost]]</f>
        <v>658</v>
      </c>
      <c r="R321" s="24">
        <f>ShoeSales[[#This Row],[Profit]]/ShoeSales[[#This Row],[Revenue]]</f>
        <v>0.44761904761904764</v>
      </c>
      <c r="S321" s="19"/>
      <c r="T321" s="19" t="str">
        <f>UPPER(TEXT(ShoeSales[[#This Row],[Date]], "mmm"))</f>
        <v>MAR</v>
      </c>
    </row>
    <row r="322" spans="1:20" ht="14.25" customHeight="1" x14ac:dyDescent="0.25">
      <c r="A322" s="14">
        <v>46192</v>
      </c>
      <c r="B322" s="6" t="s">
        <v>88</v>
      </c>
      <c r="C322" s="16" t="str">
        <f>TRIM(PROPER(ShoeSales[[#This Row],[Product]]))</f>
        <v>Slippers</v>
      </c>
      <c r="D322" s="6" t="s">
        <v>71</v>
      </c>
      <c r="E322" s="44" t="str">
        <f>UPPER(ShoeSales[[#This Row],[Category]])</f>
        <v>CASUAL</v>
      </c>
      <c r="F322" s="6" t="s">
        <v>49</v>
      </c>
      <c r="G322" s="6" t="s">
        <v>39</v>
      </c>
      <c r="H322" s="16" t="str">
        <f>PROPER(ShoeSales[[#This Row],[Brand]])</f>
        <v>Clarks</v>
      </c>
      <c r="I322" s="6" t="s">
        <v>84</v>
      </c>
      <c r="J322" s="7">
        <v>6</v>
      </c>
      <c r="K322" s="6" t="s">
        <v>54</v>
      </c>
      <c r="L322" s="22">
        <f>VLOOKUP(ShoeSales[[#This Row],[Product Cleaned]],Price!$A$2:$C$9,2,FALSE)</f>
        <v>119</v>
      </c>
      <c r="M322" s="19">
        <f>_xlfn.XLOOKUP(ShoeSales[[#This Row],[Product Cleaned]],Price!$A$2:$A$9,Price!$B$2:$B$9)</f>
        <v>119</v>
      </c>
      <c r="N322" s="19">
        <f>_xlfn.XLOOKUP(ShoeSales[[#This Row],[Product Cleaned]],Price!$A$2:$A$9,Price!$C$2:$C$9)</f>
        <v>67</v>
      </c>
      <c r="O322" s="22">
        <f>ShoeSales[[#This Row],[Sell Price]]*ShoeSales[[#This Row],[Quantity]]</f>
        <v>714</v>
      </c>
      <c r="P322" s="19">
        <f>ShoeSales[[#This Row],[Quantity]]*ShoeSales[[#This Row],[Cost Price]]</f>
        <v>402</v>
      </c>
      <c r="Q322" s="19">
        <f>ShoeSales[[#This Row],[Revenue]]-ShoeSales[[#This Row],[Cost]]</f>
        <v>312</v>
      </c>
      <c r="R322" s="24">
        <f>ShoeSales[[#This Row],[Profit]]/ShoeSales[[#This Row],[Revenue]]</f>
        <v>0.43697478991596639</v>
      </c>
      <c r="S322" s="19"/>
      <c r="T322" s="19" t="str">
        <f>UPPER(TEXT(ShoeSales[[#This Row],[Date]], "mmm"))</f>
        <v>JUN</v>
      </c>
    </row>
    <row r="323" spans="1:20" ht="14.25" customHeight="1" x14ac:dyDescent="0.25">
      <c r="A323" s="15">
        <v>46037</v>
      </c>
      <c r="B323" s="9" t="s">
        <v>90</v>
      </c>
      <c r="C323" s="9" t="str">
        <f>TRIM(PROPER(ShoeSales[[#This Row],[Product]]))</f>
        <v>Loafers</v>
      </c>
      <c r="D323" s="9" t="s">
        <v>42</v>
      </c>
      <c r="E323" s="45" t="str">
        <f>UPPER(ShoeSales[[#This Row],[Category]])</f>
        <v>UTILITY</v>
      </c>
      <c r="F323" s="9" t="s">
        <v>29</v>
      </c>
      <c r="G323" s="9" t="s">
        <v>30</v>
      </c>
      <c r="H323" s="9" t="str">
        <f>PROPER(ShoeSales[[#This Row],[Brand]])</f>
        <v>Nike</v>
      </c>
      <c r="I323" s="9" t="s">
        <v>47</v>
      </c>
      <c r="J323" s="10">
        <v>15</v>
      </c>
      <c r="K323" s="9" t="s">
        <v>62</v>
      </c>
      <c r="L323" s="22">
        <f>VLOOKUP(ShoeSales[[#This Row],[Product Cleaned]],Price!$A$2:$C$9,2,FALSE)</f>
        <v>54</v>
      </c>
      <c r="M323" s="19">
        <f>_xlfn.XLOOKUP(ShoeSales[[#This Row],[Product Cleaned]],Price!$A$2:$A$9,Price!$B$2:$B$9)</f>
        <v>54</v>
      </c>
      <c r="N323" s="19">
        <f>_xlfn.XLOOKUP(ShoeSales[[#This Row],[Product Cleaned]],Price!$A$2:$A$9,Price!$C$2:$C$9)</f>
        <v>28</v>
      </c>
      <c r="O323" s="22">
        <f>ShoeSales[[#This Row],[Sell Price]]*ShoeSales[[#This Row],[Quantity]]</f>
        <v>810</v>
      </c>
      <c r="P323" s="19">
        <f>ShoeSales[[#This Row],[Quantity]]*ShoeSales[[#This Row],[Cost Price]]</f>
        <v>420</v>
      </c>
      <c r="Q323" s="19">
        <f>ShoeSales[[#This Row],[Revenue]]-ShoeSales[[#This Row],[Cost]]</f>
        <v>390</v>
      </c>
      <c r="R323" s="24">
        <f>ShoeSales[[#This Row],[Profit]]/ShoeSales[[#This Row],[Revenue]]</f>
        <v>0.48148148148148145</v>
      </c>
      <c r="S323" s="19"/>
      <c r="T323" s="19" t="str">
        <f>UPPER(TEXT(ShoeSales[[#This Row],[Date]], "mmm"))</f>
        <v>JAN</v>
      </c>
    </row>
    <row r="324" spans="1:20" ht="14.25" customHeight="1" x14ac:dyDescent="0.25">
      <c r="A324" s="14">
        <v>46089</v>
      </c>
      <c r="B324" s="6" t="s">
        <v>41</v>
      </c>
      <c r="C324" s="16" t="str">
        <f>TRIM(PROPER(ShoeSales[[#This Row],[Product]]))</f>
        <v>Boots</v>
      </c>
      <c r="D324" s="6" t="s">
        <v>87</v>
      </c>
      <c r="E324" s="44" t="str">
        <f>UPPER(ShoeSales[[#This Row],[Category]])</f>
        <v>OPEN</v>
      </c>
      <c r="F324" s="6" t="s">
        <v>34</v>
      </c>
      <c r="G324" s="6" t="s">
        <v>80</v>
      </c>
      <c r="H324" s="16" t="str">
        <f>PROPER(ShoeSales[[#This Row],[Brand]])</f>
        <v>Steve Madden</v>
      </c>
      <c r="I324" s="6" t="s">
        <v>84</v>
      </c>
      <c r="J324" s="7">
        <v>6</v>
      </c>
      <c r="K324" s="6" t="s">
        <v>32</v>
      </c>
      <c r="L324" s="22">
        <f>VLOOKUP(ShoeSales[[#This Row],[Product Cleaned]],Price!$A$2:$C$9,2,FALSE)</f>
        <v>76</v>
      </c>
      <c r="M324" s="19">
        <f>_xlfn.XLOOKUP(ShoeSales[[#This Row],[Product Cleaned]],Price!$A$2:$A$9,Price!$B$2:$B$9)</f>
        <v>76</v>
      </c>
      <c r="N324" s="19">
        <f>_xlfn.XLOOKUP(ShoeSales[[#This Row],[Product Cleaned]],Price!$A$2:$A$9,Price!$C$2:$C$9)</f>
        <v>39</v>
      </c>
      <c r="O324" s="22">
        <f>ShoeSales[[#This Row],[Sell Price]]*ShoeSales[[#This Row],[Quantity]]</f>
        <v>456</v>
      </c>
      <c r="P324" s="19">
        <f>ShoeSales[[#This Row],[Quantity]]*ShoeSales[[#This Row],[Cost Price]]</f>
        <v>234</v>
      </c>
      <c r="Q324" s="19">
        <f>ShoeSales[[#This Row],[Revenue]]-ShoeSales[[#This Row],[Cost]]</f>
        <v>222</v>
      </c>
      <c r="R324" s="24">
        <f>ShoeSales[[#This Row],[Profit]]/ShoeSales[[#This Row],[Revenue]]</f>
        <v>0.48684210526315791</v>
      </c>
      <c r="S324" s="19"/>
      <c r="T324" s="19" t="str">
        <f>UPPER(TEXT(ShoeSales[[#This Row],[Date]], "mmm"))</f>
        <v>MAR</v>
      </c>
    </row>
    <row r="325" spans="1:20" ht="14.25" customHeight="1" x14ac:dyDescent="0.25">
      <c r="A325" s="15">
        <v>46096</v>
      </c>
      <c r="B325" s="9" t="s">
        <v>52</v>
      </c>
      <c r="C325" s="9" t="str">
        <f>TRIM(PROPER(ShoeSales[[#This Row],[Product]]))</f>
        <v>Canvas</v>
      </c>
      <c r="D325" s="9" t="s">
        <v>45</v>
      </c>
      <c r="E325" s="45" t="str">
        <f>UPPER(ShoeSales[[#This Row],[Category]])</f>
        <v>CASUAL</v>
      </c>
      <c r="F325" s="9" t="s">
        <v>56</v>
      </c>
      <c r="G325" s="9" t="s">
        <v>72</v>
      </c>
      <c r="H325" s="9" t="str">
        <f>PROPER(ShoeSales[[#This Row],[Brand]])</f>
        <v>Zara</v>
      </c>
      <c r="I325" s="9" t="s">
        <v>53</v>
      </c>
      <c r="J325" s="10">
        <v>10</v>
      </c>
      <c r="K325" s="9" t="s">
        <v>32</v>
      </c>
      <c r="L325" s="22">
        <f>VLOOKUP(ShoeSales[[#This Row],[Product Cleaned]],Price!$A$2:$C$9,2,FALSE)</f>
        <v>128</v>
      </c>
      <c r="M325" s="19">
        <f>_xlfn.XLOOKUP(ShoeSales[[#This Row],[Product Cleaned]],Price!$A$2:$A$9,Price!$B$2:$B$9)</f>
        <v>128</v>
      </c>
      <c r="N325" s="19">
        <f>_xlfn.XLOOKUP(ShoeSales[[#This Row],[Product Cleaned]],Price!$A$2:$A$9,Price!$C$2:$C$9)</f>
        <v>72</v>
      </c>
      <c r="O325" s="22">
        <f>ShoeSales[[#This Row],[Sell Price]]*ShoeSales[[#This Row],[Quantity]]</f>
        <v>1280</v>
      </c>
      <c r="P325" s="19">
        <f>ShoeSales[[#This Row],[Quantity]]*ShoeSales[[#This Row],[Cost Price]]</f>
        <v>720</v>
      </c>
      <c r="Q325" s="19">
        <f>ShoeSales[[#This Row],[Revenue]]-ShoeSales[[#This Row],[Cost]]</f>
        <v>560</v>
      </c>
      <c r="R325" s="24">
        <f>ShoeSales[[#This Row],[Profit]]/ShoeSales[[#This Row],[Revenue]]</f>
        <v>0.4375</v>
      </c>
      <c r="S325" s="19"/>
      <c r="T325" s="19" t="str">
        <f>UPPER(TEXT(ShoeSales[[#This Row],[Date]], "mmm"))</f>
        <v>MAR</v>
      </c>
    </row>
    <row r="326" spans="1:20" ht="14.25" customHeight="1" x14ac:dyDescent="0.25">
      <c r="A326" s="14">
        <v>46124</v>
      </c>
      <c r="B326" s="6" t="s">
        <v>10</v>
      </c>
      <c r="C326" s="16" t="str">
        <f>TRIM(PROPER(ShoeSales[[#This Row],[Product]]))</f>
        <v>Oxford</v>
      </c>
      <c r="D326" s="6" t="s">
        <v>77</v>
      </c>
      <c r="E326" s="44" t="str">
        <f>UPPER(ShoeSales[[#This Row],[Category]])</f>
        <v>CASUAL</v>
      </c>
      <c r="F326" s="6" t="s">
        <v>49</v>
      </c>
      <c r="G326" s="6" t="s">
        <v>63</v>
      </c>
      <c r="H326" s="16" t="str">
        <f>PROPER(ShoeSales[[#This Row],[Brand]])</f>
        <v>Clarks</v>
      </c>
      <c r="I326" s="6" t="s">
        <v>66</v>
      </c>
      <c r="J326" s="7">
        <v>4</v>
      </c>
      <c r="K326" s="6" t="s">
        <v>36</v>
      </c>
      <c r="L326" s="22">
        <f>VLOOKUP(ShoeSales[[#This Row],[Product Cleaned]],Price!$A$2:$C$9,2,FALSE)</f>
        <v>105</v>
      </c>
      <c r="M326" s="19">
        <f>_xlfn.XLOOKUP(ShoeSales[[#This Row],[Product Cleaned]],Price!$A$2:$A$9,Price!$B$2:$B$9)</f>
        <v>105</v>
      </c>
      <c r="N326" s="19">
        <f>_xlfn.XLOOKUP(ShoeSales[[#This Row],[Product Cleaned]],Price!$A$2:$A$9,Price!$C$2:$C$9)</f>
        <v>58</v>
      </c>
      <c r="O326" s="22">
        <f>ShoeSales[[#This Row],[Sell Price]]*ShoeSales[[#This Row],[Quantity]]</f>
        <v>420</v>
      </c>
      <c r="P326" s="19">
        <f>ShoeSales[[#This Row],[Quantity]]*ShoeSales[[#This Row],[Cost Price]]</f>
        <v>232</v>
      </c>
      <c r="Q326" s="19">
        <f>ShoeSales[[#This Row],[Revenue]]-ShoeSales[[#This Row],[Cost]]</f>
        <v>188</v>
      </c>
      <c r="R326" s="24">
        <f>ShoeSales[[#This Row],[Profit]]/ShoeSales[[#This Row],[Revenue]]</f>
        <v>0.44761904761904764</v>
      </c>
      <c r="S326" s="19"/>
      <c r="T326" s="19" t="str">
        <f>UPPER(TEXT(ShoeSales[[#This Row],[Date]], "mmm"))</f>
        <v>APR</v>
      </c>
    </row>
    <row r="327" spans="1:20" ht="14.25" customHeight="1" x14ac:dyDescent="0.25">
      <c r="A327" s="15">
        <v>46188</v>
      </c>
      <c r="B327" s="9" t="s">
        <v>90</v>
      </c>
      <c r="C327" s="9" t="str">
        <f>TRIM(PROPER(ShoeSales[[#This Row],[Product]]))</f>
        <v>Loafers</v>
      </c>
      <c r="D327" s="9" t="s">
        <v>28</v>
      </c>
      <c r="E327" s="45" t="str">
        <f>UPPER(ShoeSales[[#This Row],[Category]])</f>
        <v>FORMAL</v>
      </c>
      <c r="F327" s="9" t="s">
        <v>49</v>
      </c>
      <c r="G327" s="9" t="s">
        <v>82</v>
      </c>
      <c r="H327" s="9" t="str">
        <f>PROPER(ShoeSales[[#This Row],[Brand]])</f>
        <v>Zara</v>
      </c>
      <c r="I327" s="9" t="s">
        <v>66</v>
      </c>
      <c r="J327" s="10">
        <v>11</v>
      </c>
      <c r="K327" s="9" t="s">
        <v>62</v>
      </c>
      <c r="L327" s="22">
        <f>VLOOKUP(ShoeSales[[#This Row],[Product Cleaned]],Price!$A$2:$C$9,2,FALSE)</f>
        <v>54</v>
      </c>
      <c r="M327" s="19">
        <f>_xlfn.XLOOKUP(ShoeSales[[#This Row],[Product Cleaned]],Price!$A$2:$A$9,Price!$B$2:$B$9)</f>
        <v>54</v>
      </c>
      <c r="N327" s="19">
        <f>_xlfn.XLOOKUP(ShoeSales[[#This Row],[Product Cleaned]],Price!$A$2:$A$9,Price!$C$2:$C$9)</f>
        <v>28</v>
      </c>
      <c r="O327" s="22">
        <f>ShoeSales[[#This Row],[Sell Price]]*ShoeSales[[#This Row],[Quantity]]</f>
        <v>594</v>
      </c>
      <c r="P327" s="19">
        <f>ShoeSales[[#This Row],[Quantity]]*ShoeSales[[#This Row],[Cost Price]]</f>
        <v>308</v>
      </c>
      <c r="Q327" s="19">
        <f>ShoeSales[[#This Row],[Revenue]]-ShoeSales[[#This Row],[Cost]]</f>
        <v>286</v>
      </c>
      <c r="R327" s="24">
        <f>ShoeSales[[#This Row],[Profit]]/ShoeSales[[#This Row],[Revenue]]</f>
        <v>0.48148148148148145</v>
      </c>
      <c r="S327" s="19"/>
      <c r="T327" s="19" t="str">
        <f>UPPER(TEXT(ShoeSales[[#This Row],[Date]], "mmm"))</f>
        <v>JUN</v>
      </c>
    </row>
    <row r="328" spans="1:20" ht="14.25" customHeight="1" x14ac:dyDescent="0.25">
      <c r="A328" s="14">
        <v>46214</v>
      </c>
      <c r="B328" s="6" t="s">
        <v>83</v>
      </c>
      <c r="C328" s="16" t="str">
        <f>TRIM(PROPER(ShoeSales[[#This Row],[Product]]))</f>
        <v>Monk Straps</v>
      </c>
      <c r="D328" s="6" t="s">
        <v>45</v>
      </c>
      <c r="E328" s="44" t="str">
        <f>UPPER(ShoeSales[[#This Row],[Category]])</f>
        <v>CASUAL</v>
      </c>
      <c r="F328" s="6" t="s">
        <v>56</v>
      </c>
      <c r="G328" s="6" t="s">
        <v>69</v>
      </c>
      <c r="H328" s="16" t="str">
        <f>PROPER(ShoeSales[[#This Row],[Brand]])</f>
        <v>Zara</v>
      </c>
      <c r="I328" s="6" t="s">
        <v>78</v>
      </c>
      <c r="J328" s="7">
        <v>4</v>
      </c>
      <c r="K328" s="6" t="s">
        <v>32</v>
      </c>
      <c r="L328" s="22">
        <f>VLOOKUP(ShoeSales[[#This Row],[Product Cleaned]],Price!$A$2:$C$9,2,FALSE)</f>
        <v>89</v>
      </c>
      <c r="M328" s="19">
        <f>_xlfn.XLOOKUP(ShoeSales[[#This Row],[Product Cleaned]],Price!$A$2:$A$9,Price!$B$2:$B$9)</f>
        <v>89</v>
      </c>
      <c r="N328" s="19">
        <f>_xlfn.XLOOKUP(ShoeSales[[#This Row],[Product Cleaned]],Price!$A$2:$A$9,Price!$C$2:$C$9)</f>
        <v>47</v>
      </c>
      <c r="O328" s="22">
        <f>ShoeSales[[#This Row],[Sell Price]]*ShoeSales[[#This Row],[Quantity]]</f>
        <v>356</v>
      </c>
      <c r="P328" s="19">
        <f>ShoeSales[[#This Row],[Quantity]]*ShoeSales[[#This Row],[Cost Price]]</f>
        <v>188</v>
      </c>
      <c r="Q328" s="19">
        <f>ShoeSales[[#This Row],[Revenue]]-ShoeSales[[#This Row],[Cost]]</f>
        <v>168</v>
      </c>
      <c r="R328" s="24">
        <f>ShoeSales[[#This Row],[Profit]]/ShoeSales[[#This Row],[Revenue]]</f>
        <v>0.47191011235955055</v>
      </c>
      <c r="S328" s="19"/>
      <c r="T328" s="19" t="str">
        <f>UPPER(TEXT(ShoeSales[[#This Row],[Date]], "mmm"))</f>
        <v>JUL</v>
      </c>
    </row>
    <row r="329" spans="1:20" ht="14.25" customHeight="1" x14ac:dyDescent="0.25">
      <c r="A329" s="15">
        <v>46216</v>
      </c>
      <c r="B329" s="9" t="s">
        <v>79</v>
      </c>
      <c r="C329" s="9" t="str">
        <f>TRIM(PROPER(ShoeSales[[#This Row],[Product]]))</f>
        <v>Brogues</v>
      </c>
      <c r="D329" s="9" t="s">
        <v>77</v>
      </c>
      <c r="E329" s="45" t="str">
        <f>UPPER(ShoeSales[[#This Row],[Category]])</f>
        <v>CASUAL</v>
      </c>
      <c r="F329" s="9" t="s">
        <v>49</v>
      </c>
      <c r="G329" s="9" t="s">
        <v>30</v>
      </c>
      <c r="H329" s="9" t="str">
        <f>PROPER(ShoeSales[[#This Row],[Brand]])</f>
        <v>Nike</v>
      </c>
      <c r="I329" s="9" t="s">
        <v>66</v>
      </c>
      <c r="J329" s="10">
        <v>10</v>
      </c>
      <c r="K329" s="9" t="s">
        <v>54</v>
      </c>
      <c r="L329" s="22">
        <f>VLOOKUP(ShoeSales[[#This Row],[Product Cleaned]],Price!$A$2:$C$9,2,FALSE)</f>
        <v>112</v>
      </c>
      <c r="M329" s="19">
        <f>_xlfn.XLOOKUP(ShoeSales[[#This Row],[Product Cleaned]],Price!$A$2:$A$9,Price!$B$2:$B$9)</f>
        <v>112</v>
      </c>
      <c r="N329" s="19">
        <f>_xlfn.XLOOKUP(ShoeSales[[#This Row],[Product Cleaned]],Price!$A$2:$A$9,Price!$C$2:$C$9)</f>
        <v>64</v>
      </c>
      <c r="O329" s="22">
        <f>ShoeSales[[#This Row],[Sell Price]]*ShoeSales[[#This Row],[Quantity]]</f>
        <v>1120</v>
      </c>
      <c r="P329" s="19">
        <f>ShoeSales[[#This Row],[Quantity]]*ShoeSales[[#This Row],[Cost Price]]</f>
        <v>640</v>
      </c>
      <c r="Q329" s="19">
        <f>ShoeSales[[#This Row],[Revenue]]-ShoeSales[[#This Row],[Cost]]</f>
        <v>480</v>
      </c>
      <c r="R329" s="24">
        <f>ShoeSales[[#This Row],[Profit]]/ShoeSales[[#This Row],[Revenue]]</f>
        <v>0.42857142857142855</v>
      </c>
      <c r="S329" s="19"/>
      <c r="T329" s="19" t="str">
        <f>UPPER(TEXT(ShoeSales[[#This Row],[Date]], "mmm"))</f>
        <v>JUL</v>
      </c>
    </row>
    <row r="330" spans="1:20" ht="14.25" customHeight="1" x14ac:dyDescent="0.25">
      <c r="A330" s="14">
        <v>46109</v>
      </c>
      <c r="B330" s="6" t="s">
        <v>76</v>
      </c>
      <c r="C330" s="16" t="str">
        <f>TRIM(PROPER(ShoeSales[[#This Row],[Product]]))</f>
        <v>Derby</v>
      </c>
      <c r="D330" s="6" t="s">
        <v>28</v>
      </c>
      <c r="E330" s="44" t="str">
        <f>UPPER(ShoeSales[[#This Row],[Category]])</f>
        <v>FORMAL</v>
      </c>
      <c r="F330" s="6" t="s">
        <v>34</v>
      </c>
      <c r="G330" s="6" t="s">
        <v>80</v>
      </c>
      <c r="H330" s="16" t="str">
        <f>PROPER(ShoeSales[[#This Row],[Brand]])</f>
        <v>Steve Madden</v>
      </c>
      <c r="I330" s="6" t="s">
        <v>66</v>
      </c>
      <c r="J330" s="7">
        <v>3</v>
      </c>
      <c r="K330" s="6" t="s">
        <v>54</v>
      </c>
      <c r="L330" s="22">
        <f>VLOOKUP(ShoeSales[[#This Row],[Product Cleaned]],Price!$A$2:$C$9,2,FALSE)</f>
        <v>32</v>
      </c>
      <c r="M330" s="19">
        <f>_xlfn.XLOOKUP(ShoeSales[[#This Row],[Product Cleaned]],Price!$A$2:$A$9,Price!$B$2:$B$9)</f>
        <v>32</v>
      </c>
      <c r="N330" s="19">
        <f>_xlfn.XLOOKUP(ShoeSales[[#This Row],[Product Cleaned]],Price!$A$2:$A$9,Price!$C$2:$C$9)</f>
        <v>14</v>
      </c>
      <c r="O330" s="22">
        <f>ShoeSales[[#This Row],[Sell Price]]*ShoeSales[[#This Row],[Quantity]]</f>
        <v>96</v>
      </c>
      <c r="P330" s="19">
        <f>ShoeSales[[#This Row],[Quantity]]*ShoeSales[[#This Row],[Cost Price]]</f>
        <v>42</v>
      </c>
      <c r="Q330" s="19">
        <f>ShoeSales[[#This Row],[Revenue]]-ShoeSales[[#This Row],[Cost]]</f>
        <v>54</v>
      </c>
      <c r="R330" s="24">
        <f>ShoeSales[[#This Row],[Profit]]/ShoeSales[[#This Row],[Revenue]]</f>
        <v>0.5625</v>
      </c>
      <c r="S330" s="19"/>
      <c r="T330" s="19" t="str">
        <f>UPPER(TEXT(ShoeSales[[#This Row],[Date]], "mmm"))</f>
        <v>MAR</v>
      </c>
    </row>
    <row r="331" spans="1:20" ht="14.25" customHeight="1" x14ac:dyDescent="0.25">
      <c r="A331" s="15">
        <v>46047</v>
      </c>
      <c r="B331" s="9" t="s">
        <v>7</v>
      </c>
      <c r="C331" s="9" t="str">
        <f>TRIM(PROPER(ShoeSales[[#This Row],[Product]]))</f>
        <v>Derby</v>
      </c>
      <c r="D331" s="9" t="s">
        <v>37</v>
      </c>
      <c r="E331" s="45" t="str">
        <f>UPPER(ShoeSales[[#This Row],[Category]])</f>
        <v>FORMAL</v>
      </c>
      <c r="F331" s="9" t="s">
        <v>34</v>
      </c>
      <c r="G331" s="9" t="s">
        <v>63</v>
      </c>
      <c r="H331" s="9" t="str">
        <f>PROPER(ShoeSales[[#This Row],[Brand]])</f>
        <v>Clarks</v>
      </c>
      <c r="I331" s="9" t="s">
        <v>51</v>
      </c>
      <c r="J331" s="10">
        <v>5</v>
      </c>
      <c r="K331" s="9" t="s">
        <v>54</v>
      </c>
      <c r="L331" s="22">
        <f>VLOOKUP(ShoeSales[[#This Row],[Product Cleaned]],Price!$A$2:$C$9,2,FALSE)</f>
        <v>32</v>
      </c>
      <c r="M331" s="19">
        <f>_xlfn.XLOOKUP(ShoeSales[[#This Row],[Product Cleaned]],Price!$A$2:$A$9,Price!$B$2:$B$9)</f>
        <v>32</v>
      </c>
      <c r="N331" s="19">
        <f>_xlfn.XLOOKUP(ShoeSales[[#This Row],[Product Cleaned]],Price!$A$2:$A$9,Price!$C$2:$C$9)</f>
        <v>14</v>
      </c>
      <c r="O331" s="22">
        <f>ShoeSales[[#This Row],[Sell Price]]*ShoeSales[[#This Row],[Quantity]]</f>
        <v>160</v>
      </c>
      <c r="P331" s="19">
        <f>ShoeSales[[#This Row],[Quantity]]*ShoeSales[[#This Row],[Cost Price]]</f>
        <v>70</v>
      </c>
      <c r="Q331" s="19">
        <f>ShoeSales[[#This Row],[Revenue]]-ShoeSales[[#This Row],[Cost]]</f>
        <v>90</v>
      </c>
      <c r="R331" s="24">
        <f>ShoeSales[[#This Row],[Profit]]/ShoeSales[[#This Row],[Revenue]]</f>
        <v>0.5625</v>
      </c>
      <c r="S331" s="19"/>
      <c r="T331" s="19" t="str">
        <f>UPPER(TEXT(ShoeSales[[#This Row],[Date]], "mmm"))</f>
        <v>JAN</v>
      </c>
    </row>
    <row r="332" spans="1:20" ht="14.25" customHeight="1" x14ac:dyDescent="0.25">
      <c r="A332" s="14">
        <v>46128</v>
      </c>
      <c r="B332" s="6" t="s">
        <v>27</v>
      </c>
      <c r="C332" s="16" t="str">
        <f>TRIM(PROPER(ShoeSales[[#This Row],[Product]]))</f>
        <v>Monk Straps</v>
      </c>
      <c r="D332" s="6" t="s">
        <v>28</v>
      </c>
      <c r="E332" s="44" t="str">
        <f>UPPER(ShoeSales[[#This Row],[Category]])</f>
        <v>FORMAL</v>
      </c>
      <c r="F332" s="6" t="s">
        <v>34</v>
      </c>
      <c r="G332" s="6" t="s">
        <v>35</v>
      </c>
      <c r="H332" s="16" t="str">
        <f>PROPER(ShoeSales[[#This Row],[Brand]])</f>
        <v>Nike</v>
      </c>
      <c r="I332" s="6" t="s">
        <v>78</v>
      </c>
      <c r="J332" s="7">
        <v>10</v>
      </c>
      <c r="K332" s="6" t="s">
        <v>62</v>
      </c>
      <c r="L332" s="22">
        <f>VLOOKUP(ShoeSales[[#This Row],[Product Cleaned]],Price!$A$2:$C$9,2,FALSE)</f>
        <v>89</v>
      </c>
      <c r="M332" s="19">
        <f>_xlfn.XLOOKUP(ShoeSales[[#This Row],[Product Cleaned]],Price!$A$2:$A$9,Price!$B$2:$B$9)</f>
        <v>89</v>
      </c>
      <c r="N332" s="19">
        <f>_xlfn.XLOOKUP(ShoeSales[[#This Row],[Product Cleaned]],Price!$A$2:$A$9,Price!$C$2:$C$9)</f>
        <v>47</v>
      </c>
      <c r="O332" s="22">
        <f>ShoeSales[[#This Row],[Sell Price]]*ShoeSales[[#This Row],[Quantity]]</f>
        <v>890</v>
      </c>
      <c r="P332" s="19">
        <f>ShoeSales[[#This Row],[Quantity]]*ShoeSales[[#This Row],[Cost Price]]</f>
        <v>470</v>
      </c>
      <c r="Q332" s="19">
        <f>ShoeSales[[#This Row],[Revenue]]-ShoeSales[[#This Row],[Cost]]</f>
        <v>420</v>
      </c>
      <c r="R332" s="24">
        <f>ShoeSales[[#This Row],[Profit]]/ShoeSales[[#This Row],[Revenue]]</f>
        <v>0.47191011235955055</v>
      </c>
      <c r="S332" s="19"/>
      <c r="T332" s="19" t="str">
        <f>UPPER(TEXT(ShoeSales[[#This Row],[Date]], "mmm"))</f>
        <v>APR</v>
      </c>
    </row>
    <row r="333" spans="1:20" ht="14.25" customHeight="1" x14ac:dyDescent="0.25">
      <c r="A333" s="15">
        <v>46041</v>
      </c>
      <c r="B333" s="9" t="s">
        <v>5</v>
      </c>
      <c r="C333" s="9" t="str">
        <f>TRIM(PROPER(ShoeSales[[#This Row],[Product]]))</f>
        <v>Monk Straps</v>
      </c>
      <c r="D333" s="9" t="s">
        <v>37</v>
      </c>
      <c r="E333" s="45" t="str">
        <f>UPPER(ShoeSales[[#This Row],[Category]])</f>
        <v>FORMAL</v>
      </c>
      <c r="F333" s="9" t="s">
        <v>38</v>
      </c>
      <c r="G333" s="9" t="s">
        <v>63</v>
      </c>
      <c r="H333" s="9" t="str">
        <f>PROPER(ShoeSales[[#This Row],[Brand]])</f>
        <v>Clarks</v>
      </c>
      <c r="I333" s="9" t="s">
        <v>84</v>
      </c>
      <c r="J333" s="10">
        <v>5</v>
      </c>
      <c r="K333" s="9" t="s">
        <v>62</v>
      </c>
      <c r="L333" s="22">
        <f>VLOOKUP(ShoeSales[[#This Row],[Product Cleaned]],Price!$A$2:$C$9,2,FALSE)</f>
        <v>89</v>
      </c>
      <c r="M333" s="19">
        <f>_xlfn.XLOOKUP(ShoeSales[[#This Row],[Product Cleaned]],Price!$A$2:$A$9,Price!$B$2:$B$9)</f>
        <v>89</v>
      </c>
      <c r="N333" s="19">
        <f>_xlfn.XLOOKUP(ShoeSales[[#This Row],[Product Cleaned]],Price!$A$2:$A$9,Price!$C$2:$C$9)</f>
        <v>47</v>
      </c>
      <c r="O333" s="22">
        <f>ShoeSales[[#This Row],[Sell Price]]*ShoeSales[[#This Row],[Quantity]]</f>
        <v>445</v>
      </c>
      <c r="P333" s="19">
        <f>ShoeSales[[#This Row],[Quantity]]*ShoeSales[[#This Row],[Cost Price]]</f>
        <v>235</v>
      </c>
      <c r="Q333" s="19">
        <f>ShoeSales[[#This Row],[Revenue]]-ShoeSales[[#This Row],[Cost]]</f>
        <v>210</v>
      </c>
      <c r="R333" s="24">
        <f>ShoeSales[[#This Row],[Profit]]/ShoeSales[[#This Row],[Revenue]]</f>
        <v>0.47191011235955055</v>
      </c>
      <c r="S333" s="19"/>
      <c r="T333" s="19" t="str">
        <f>UPPER(TEXT(ShoeSales[[#This Row],[Date]], "mmm"))</f>
        <v>JAN</v>
      </c>
    </row>
    <row r="334" spans="1:20" ht="14.25" customHeight="1" x14ac:dyDescent="0.25">
      <c r="A334" s="14">
        <v>46142</v>
      </c>
      <c r="B334" s="6" t="s">
        <v>9</v>
      </c>
      <c r="C334" s="16" t="str">
        <f>TRIM(PROPER(ShoeSales[[#This Row],[Product]]))</f>
        <v>Canvas</v>
      </c>
      <c r="D334" s="6" t="s">
        <v>71</v>
      </c>
      <c r="E334" s="44" t="str">
        <f>UPPER(ShoeSales[[#This Row],[Category]])</f>
        <v>CASUAL</v>
      </c>
      <c r="F334" s="6" t="s">
        <v>38</v>
      </c>
      <c r="G334" s="6" t="s">
        <v>39</v>
      </c>
      <c r="H334" s="16" t="str">
        <f>PROPER(ShoeSales[[#This Row],[Brand]])</f>
        <v>Clarks</v>
      </c>
      <c r="I334" s="6" t="s">
        <v>64</v>
      </c>
      <c r="J334" s="7">
        <v>7</v>
      </c>
      <c r="K334" s="6" t="s">
        <v>32</v>
      </c>
      <c r="L334" s="22">
        <f>VLOOKUP(ShoeSales[[#This Row],[Product Cleaned]],Price!$A$2:$C$9,2,FALSE)</f>
        <v>128</v>
      </c>
      <c r="M334" s="19">
        <f>_xlfn.XLOOKUP(ShoeSales[[#This Row],[Product Cleaned]],Price!$A$2:$A$9,Price!$B$2:$B$9)</f>
        <v>128</v>
      </c>
      <c r="N334" s="19">
        <f>_xlfn.XLOOKUP(ShoeSales[[#This Row],[Product Cleaned]],Price!$A$2:$A$9,Price!$C$2:$C$9)</f>
        <v>72</v>
      </c>
      <c r="O334" s="22">
        <f>ShoeSales[[#This Row],[Sell Price]]*ShoeSales[[#This Row],[Quantity]]</f>
        <v>896</v>
      </c>
      <c r="P334" s="19">
        <f>ShoeSales[[#This Row],[Quantity]]*ShoeSales[[#This Row],[Cost Price]]</f>
        <v>504</v>
      </c>
      <c r="Q334" s="19">
        <f>ShoeSales[[#This Row],[Revenue]]-ShoeSales[[#This Row],[Cost]]</f>
        <v>392</v>
      </c>
      <c r="R334" s="24">
        <f>ShoeSales[[#This Row],[Profit]]/ShoeSales[[#This Row],[Revenue]]</f>
        <v>0.4375</v>
      </c>
      <c r="S334" s="19"/>
      <c r="T334" s="19" t="str">
        <f>UPPER(TEXT(ShoeSales[[#This Row],[Date]], "mmm"))</f>
        <v>APR</v>
      </c>
    </row>
    <row r="335" spans="1:20" ht="14.25" customHeight="1" x14ac:dyDescent="0.25">
      <c r="A335" s="15">
        <v>46167</v>
      </c>
      <c r="B335" s="9" t="s">
        <v>5</v>
      </c>
      <c r="C335" s="9" t="str">
        <f>TRIM(PROPER(ShoeSales[[#This Row],[Product]]))</f>
        <v>Monk Straps</v>
      </c>
      <c r="D335" s="9" t="s">
        <v>58</v>
      </c>
      <c r="E335" s="45" t="str">
        <f>UPPER(ShoeSales[[#This Row],[Category]])</f>
        <v>FORMAL</v>
      </c>
      <c r="F335" s="9" t="s">
        <v>34</v>
      </c>
      <c r="G335" s="9" t="s">
        <v>30</v>
      </c>
      <c r="H335" s="9" t="str">
        <f>PROPER(ShoeSales[[#This Row],[Brand]])</f>
        <v>Nike</v>
      </c>
      <c r="I335" s="9" t="s">
        <v>53</v>
      </c>
      <c r="J335" s="10">
        <v>5</v>
      </c>
      <c r="K335" s="9" t="s">
        <v>54</v>
      </c>
      <c r="L335" s="22">
        <f>VLOOKUP(ShoeSales[[#This Row],[Product Cleaned]],Price!$A$2:$C$9,2,FALSE)</f>
        <v>89</v>
      </c>
      <c r="M335" s="19">
        <f>_xlfn.XLOOKUP(ShoeSales[[#This Row],[Product Cleaned]],Price!$A$2:$A$9,Price!$B$2:$B$9)</f>
        <v>89</v>
      </c>
      <c r="N335" s="19">
        <f>_xlfn.XLOOKUP(ShoeSales[[#This Row],[Product Cleaned]],Price!$A$2:$A$9,Price!$C$2:$C$9)</f>
        <v>47</v>
      </c>
      <c r="O335" s="22">
        <f>ShoeSales[[#This Row],[Sell Price]]*ShoeSales[[#This Row],[Quantity]]</f>
        <v>445</v>
      </c>
      <c r="P335" s="19">
        <f>ShoeSales[[#This Row],[Quantity]]*ShoeSales[[#This Row],[Cost Price]]</f>
        <v>235</v>
      </c>
      <c r="Q335" s="19">
        <f>ShoeSales[[#This Row],[Revenue]]-ShoeSales[[#This Row],[Cost]]</f>
        <v>210</v>
      </c>
      <c r="R335" s="24">
        <f>ShoeSales[[#This Row],[Profit]]/ShoeSales[[#This Row],[Revenue]]</f>
        <v>0.47191011235955055</v>
      </c>
      <c r="S335" s="19"/>
      <c r="T335" s="19" t="str">
        <f>UPPER(TEXT(ShoeSales[[#This Row],[Date]], "mmm"))</f>
        <v>MAY</v>
      </c>
    </row>
    <row r="336" spans="1:20" ht="14.25" customHeight="1" x14ac:dyDescent="0.25">
      <c r="A336" s="14">
        <v>46042</v>
      </c>
      <c r="B336" s="6" t="s">
        <v>7</v>
      </c>
      <c r="C336" s="16" t="str">
        <f>TRIM(PROPER(ShoeSales[[#This Row],[Product]]))</f>
        <v>Derby</v>
      </c>
      <c r="D336" s="6" t="s">
        <v>77</v>
      </c>
      <c r="E336" s="44" t="str">
        <f>UPPER(ShoeSales[[#This Row],[Category]])</f>
        <v>CASUAL</v>
      </c>
      <c r="F336" s="6" t="s">
        <v>38</v>
      </c>
      <c r="G336" s="6" t="s">
        <v>63</v>
      </c>
      <c r="H336" s="16" t="str">
        <f>PROPER(ShoeSales[[#This Row],[Brand]])</f>
        <v>Clarks</v>
      </c>
      <c r="I336" s="6" t="s">
        <v>91</v>
      </c>
      <c r="J336" s="7">
        <v>4</v>
      </c>
      <c r="K336" s="6" t="s">
        <v>54</v>
      </c>
      <c r="L336" s="22">
        <f>VLOOKUP(ShoeSales[[#This Row],[Product Cleaned]],Price!$A$2:$C$9,2,FALSE)</f>
        <v>32</v>
      </c>
      <c r="M336" s="19">
        <f>_xlfn.XLOOKUP(ShoeSales[[#This Row],[Product Cleaned]],Price!$A$2:$A$9,Price!$B$2:$B$9)</f>
        <v>32</v>
      </c>
      <c r="N336" s="19">
        <f>_xlfn.XLOOKUP(ShoeSales[[#This Row],[Product Cleaned]],Price!$A$2:$A$9,Price!$C$2:$C$9)</f>
        <v>14</v>
      </c>
      <c r="O336" s="22">
        <f>ShoeSales[[#This Row],[Sell Price]]*ShoeSales[[#This Row],[Quantity]]</f>
        <v>128</v>
      </c>
      <c r="P336" s="19">
        <f>ShoeSales[[#This Row],[Quantity]]*ShoeSales[[#This Row],[Cost Price]]</f>
        <v>56</v>
      </c>
      <c r="Q336" s="19">
        <f>ShoeSales[[#This Row],[Revenue]]-ShoeSales[[#This Row],[Cost]]</f>
        <v>72</v>
      </c>
      <c r="R336" s="24">
        <f>ShoeSales[[#This Row],[Profit]]/ShoeSales[[#This Row],[Revenue]]</f>
        <v>0.5625</v>
      </c>
      <c r="S336" s="19"/>
      <c r="T336" s="19" t="str">
        <f>UPPER(TEXT(ShoeSales[[#This Row],[Date]], "mmm"))</f>
        <v>JAN</v>
      </c>
    </row>
    <row r="337" spans="1:20" ht="14.25" customHeight="1" x14ac:dyDescent="0.25">
      <c r="A337" s="15">
        <v>46173</v>
      </c>
      <c r="B337" s="9" t="s">
        <v>33</v>
      </c>
      <c r="C337" s="9" t="str">
        <f>TRIM(PROPER(ShoeSales[[#This Row],[Product]]))</f>
        <v>Loafers</v>
      </c>
      <c r="D337" s="9" t="s">
        <v>28</v>
      </c>
      <c r="E337" s="45" t="str">
        <f>UPPER(ShoeSales[[#This Row],[Category]])</f>
        <v>FORMAL</v>
      </c>
      <c r="F337" s="9" t="s">
        <v>29</v>
      </c>
      <c r="G337" s="9" t="s">
        <v>46</v>
      </c>
      <c r="H337" s="9" t="str">
        <f>PROPER(ShoeSales[[#This Row],[Brand]])</f>
        <v>Clarks</v>
      </c>
      <c r="I337" s="9" t="s">
        <v>73</v>
      </c>
      <c r="J337" s="10">
        <v>10</v>
      </c>
      <c r="K337" s="9" t="s">
        <v>32</v>
      </c>
      <c r="L337" s="22">
        <f>VLOOKUP(ShoeSales[[#This Row],[Product Cleaned]],Price!$A$2:$C$9,2,FALSE)</f>
        <v>54</v>
      </c>
      <c r="M337" s="19">
        <f>_xlfn.XLOOKUP(ShoeSales[[#This Row],[Product Cleaned]],Price!$A$2:$A$9,Price!$B$2:$B$9)</f>
        <v>54</v>
      </c>
      <c r="N337" s="19">
        <f>_xlfn.XLOOKUP(ShoeSales[[#This Row],[Product Cleaned]],Price!$A$2:$A$9,Price!$C$2:$C$9)</f>
        <v>28</v>
      </c>
      <c r="O337" s="22">
        <f>ShoeSales[[#This Row],[Sell Price]]*ShoeSales[[#This Row],[Quantity]]</f>
        <v>540</v>
      </c>
      <c r="P337" s="19">
        <f>ShoeSales[[#This Row],[Quantity]]*ShoeSales[[#This Row],[Cost Price]]</f>
        <v>280</v>
      </c>
      <c r="Q337" s="19">
        <f>ShoeSales[[#This Row],[Revenue]]-ShoeSales[[#This Row],[Cost]]</f>
        <v>260</v>
      </c>
      <c r="R337" s="24">
        <f>ShoeSales[[#This Row],[Profit]]/ShoeSales[[#This Row],[Revenue]]</f>
        <v>0.48148148148148145</v>
      </c>
      <c r="S337" s="19"/>
      <c r="T337" s="19" t="str">
        <f>UPPER(TEXT(ShoeSales[[#This Row],[Date]], "mmm"))</f>
        <v>MAY</v>
      </c>
    </row>
    <row r="338" spans="1:20" ht="14.25" customHeight="1" x14ac:dyDescent="0.25">
      <c r="A338" s="14">
        <v>46030</v>
      </c>
      <c r="B338" s="6" t="s">
        <v>76</v>
      </c>
      <c r="C338" s="16" t="str">
        <f>TRIM(PROPER(ShoeSales[[#This Row],[Product]]))</f>
        <v>Derby</v>
      </c>
      <c r="D338" s="6" t="s">
        <v>45</v>
      </c>
      <c r="E338" s="44" t="str">
        <f>UPPER(ShoeSales[[#This Row],[Category]])</f>
        <v>CASUAL</v>
      </c>
      <c r="F338" s="6" t="s">
        <v>38</v>
      </c>
      <c r="G338" s="6" t="s">
        <v>46</v>
      </c>
      <c r="H338" s="16" t="str">
        <f>PROPER(ShoeSales[[#This Row],[Brand]])</f>
        <v>Clarks</v>
      </c>
      <c r="I338" s="6" t="s">
        <v>78</v>
      </c>
      <c r="J338" s="7">
        <v>12</v>
      </c>
      <c r="K338" s="6" t="s">
        <v>36</v>
      </c>
      <c r="L338" s="22">
        <f>VLOOKUP(ShoeSales[[#This Row],[Product Cleaned]],Price!$A$2:$C$9,2,FALSE)</f>
        <v>32</v>
      </c>
      <c r="M338" s="19">
        <f>_xlfn.XLOOKUP(ShoeSales[[#This Row],[Product Cleaned]],Price!$A$2:$A$9,Price!$B$2:$B$9)</f>
        <v>32</v>
      </c>
      <c r="N338" s="19">
        <f>_xlfn.XLOOKUP(ShoeSales[[#This Row],[Product Cleaned]],Price!$A$2:$A$9,Price!$C$2:$C$9)</f>
        <v>14</v>
      </c>
      <c r="O338" s="22">
        <f>ShoeSales[[#This Row],[Sell Price]]*ShoeSales[[#This Row],[Quantity]]</f>
        <v>384</v>
      </c>
      <c r="P338" s="19">
        <f>ShoeSales[[#This Row],[Quantity]]*ShoeSales[[#This Row],[Cost Price]]</f>
        <v>168</v>
      </c>
      <c r="Q338" s="19">
        <f>ShoeSales[[#This Row],[Revenue]]-ShoeSales[[#This Row],[Cost]]</f>
        <v>216</v>
      </c>
      <c r="R338" s="24">
        <f>ShoeSales[[#This Row],[Profit]]/ShoeSales[[#This Row],[Revenue]]</f>
        <v>0.5625</v>
      </c>
      <c r="S338" s="19"/>
      <c r="T338" s="19" t="str">
        <f>UPPER(TEXT(ShoeSales[[#This Row],[Date]], "mmm"))</f>
        <v>JAN</v>
      </c>
    </row>
    <row r="339" spans="1:20" ht="14.25" customHeight="1" x14ac:dyDescent="0.25">
      <c r="A339" s="15">
        <v>46157</v>
      </c>
      <c r="B339" s="9" t="s">
        <v>52</v>
      </c>
      <c r="C339" s="9" t="str">
        <f>TRIM(PROPER(ShoeSales[[#This Row],[Product]]))</f>
        <v>Canvas</v>
      </c>
      <c r="D339" s="9" t="s">
        <v>28</v>
      </c>
      <c r="E339" s="45" t="str">
        <f>UPPER(ShoeSales[[#This Row],[Category]])</f>
        <v>FORMAL</v>
      </c>
      <c r="F339" s="9" t="s">
        <v>29</v>
      </c>
      <c r="G339" s="9" t="s">
        <v>39</v>
      </c>
      <c r="H339" s="9" t="str">
        <f>PROPER(ShoeSales[[#This Row],[Brand]])</f>
        <v>Clarks</v>
      </c>
      <c r="I339" s="9" t="s">
        <v>53</v>
      </c>
      <c r="J339" s="10">
        <v>8</v>
      </c>
      <c r="K339" s="9" t="s">
        <v>32</v>
      </c>
      <c r="L339" s="22">
        <f>VLOOKUP(ShoeSales[[#This Row],[Product Cleaned]],Price!$A$2:$C$9,2,FALSE)</f>
        <v>128</v>
      </c>
      <c r="M339" s="19">
        <f>_xlfn.XLOOKUP(ShoeSales[[#This Row],[Product Cleaned]],Price!$A$2:$A$9,Price!$B$2:$B$9)</f>
        <v>128</v>
      </c>
      <c r="N339" s="19">
        <f>_xlfn.XLOOKUP(ShoeSales[[#This Row],[Product Cleaned]],Price!$A$2:$A$9,Price!$C$2:$C$9)</f>
        <v>72</v>
      </c>
      <c r="O339" s="22">
        <f>ShoeSales[[#This Row],[Sell Price]]*ShoeSales[[#This Row],[Quantity]]</f>
        <v>1024</v>
      </c>
      <c r="P339" s="19">
        <f>ShoeSales[[#This Row],[Quantity]]*ShoeSales[[#This Row],[Cost Price]]</f>
        <v>576</v>
      </c>
      <c r="Q339" s="19">
        <f>ShoeSales[[#This Row],[Revenue]]-ShoeSales[[#This Row],[Cost]]</f>
        <v>448</v>
      </c>
      <c r="R339" s="24">
        <f>ShoeSales[[#This Row],[Profit]]/ShoeSales[[#This Row],[Revenue]]</f>
        <v>0.4375</v>
      </c>
      <c r="S339" s="19"/>
      <c r="T339" s="19" t="str">
        <f>UPPER(TEXT(ShoeSales[[#This Row],[Date]], "mmm"))</f>
        <v>MAY</v>
      </c>
    </row>
    <row r="340" spans="1:20" ht="14.25" customHeight="1" x14ac:dyDescent="0.25">
      <c r="A340" s="14">
        <v>46035</v>
      </c>
      <c r="B340" s="6" t="s">
        <v>10</v>
      </c>
      <c r="C340" s="16" t="str">
        <f>TRIM(PROPER(ShoeSales[[#This Row],[Product]]))</f>
        <v>Oxford</v>
      </c>
      <c r="D340" s="6" t="s">
        <v>58</v>
      </c>
      <c r="E340" s="44" t="str">
        <f>UPPER(ShoeSales[[#This Row],[Category]])</f>
        <v>FORMAL</v>
      </c>
      <c r="F340" s="6" t="s">
        <v>56</v>
      </c>
      <c r="G340" s="6" t="s">
        <v>57</v>
      </c>
      <c r="H340" s="16" t="str">
        <f>PROPER(ShoeSales[[#This Row],[Brand]])</f>
        <v>Timberland</v>
      </c>
      <c r="I340" s="6" t="s">
        <v>31</v>
      </c>
      <c r="J340" s="7">
        <v>4</v>
      </c>
      <c r="K340" s="6" t="s">
        <v>62</v>
      </c>
      <c r="L340" s="22">
        <f>VLOOKUP(ShoeSales[[#This Row],[Product Cleaned]],Price!$A$2:$C$9,2,FALSE)</f>
        <v>105</v>
      </c>
      <c r="M340" s="19">
        <f>_xlfn.XLOOKUP(ShoeSales[[#This Row],[Product Cleaned]],Price!$A$2:$A$9,Price!$B$2:$B$9)</f>
        <v>105</v>
      </c>
      <c r="N340" s="19">
        <f>_xlfn.XLOOKUP(ShoeSales[[#This Row],[Product Cleaned]],Price!$A$2:$A$9,Price!$C$2:$C$9)</f>
        <v>58</v>
      </c>
      <c r="O340" s="22">
        <f>ShoeSales[[#This Row],[Sell Price]]*ShoeSales[[#This Row],[Quantity]]</f>
        <v>420</v>
      </c>
      <c r="P340" s="19">
        <f>ShoeSales[[#This Row],[Quantity]]*ShoeSales[[#This Row],[Cost Price]]</f>
        <v>232</v>
      </c>
      <c r="Q340" s="19">
        <f>ShoeSales[[#This Row],[Revenue]]-ShoeSales[[#This Row],[Cost]]</f>
        <v>188</v>
      </c>
      <c r="R340" s="24">
        <f>ShoeSales[[#This Row],[Profit]]/ShoeSales[[#This Row],[Revenue]]</f>
        <v>0.44761904761904764</v>
      </c>
      <c r="S340" s="19"/>
      <c r="T340" s="19" t="str">
        <f>UPPER(TEXT(ShoeSales[[#This Row],[Date]], "mmm"))</f>
        <v>JAN</v>
      </c>
    </row>
    <row r="341" spans="1:20" ht="14.25" customHeight="1" x14ac:dyDescent="0.25">
      <c r="A341" s="15">
        <v>46109</v>
      </c>
      <c r="B341" s="9" t="s">
        <v>52</v>
      </c>
      <c r="C341" s="9" t="str">
        <f>TRIM(PROPER(ShoeSales[[#This Row],[Product]]))</f>
        <v>Canvas</v>
      </c>
      <c r="D341" s="9" t="s">
        <v>87</v>
      </c>
      <c r="E341" s="45" t="str">
        <f>UPPER(ShoeSales[[#This Row],[Category]])</f>
        <v>OPEN</v>
      </c>
      <c r="F341" s="9" t="s">
        <v>38</v>
      </c>
      <c r="G341" s="9" t="s">
        <v>46</v>
      </c>
      <c r="H341" s="9" t="str">
        <f>PROPER(ShoeSales[[#This Row],[Brand]])</f>
        <v>Clarks</v>
      </c>
      <c r="I341" s="9" t="s">
        <v>73</v>
      </c>
      <c r="J341" s="10">
        <v>13</v>
      </c>
      <c r="K341" s="9" t="s">
        <v>32</v>
      </c>
      <c r="L341" s="22">
        <f>VLOOKUP(ShoeSales[[#This Row],[Product Cleaned]],Price!$A$2:$C$9,2,FALSE)</f>
        <v>128</v>
      </c>
      <c r="M341" s="19">
        <f>_xlfn.XLOOKUP(ShoeSales[[#This Row],[Product Cleaned]],Price!$A$2:$A$9,Price!$B$2:$B$9)</f>
        <v>128</v>
      </c>
      <c r="N341" s="19">
        <f>_xlfn.XLOOKUP(ShoeSales[[#This Row],[Product Cleaned]],Price!$A$2:$A$9,Price!$C$2:$C$9)</f>
        <v>72</v>
      </c>
      <c r="O341" s="22">
        <f>ShoeSales[[#This Row],[Sell Price]]*ShoeSales[[#This Row],[Quantity]]</f>
        <v>1664</v>
      </c>
      <c r="P341" s="19">
        <f>ShoeSales[[#This Row],[Quantity]]*ShoeSales[[#This Row],[Cost Price]]</f>
        <v>936</v>
      </c>
      <c r="Q341" s="19">
        <f>ShoeSales[[#This Row],[Revenue]]-ShoeSales[[#This Row],[Cost]]</f>
        <v>728</v>
      </c>
      <c r="R341" s="24">
        <f>ShoeSales[[#This Row],[Profit]]/ShoeSales[[#This Row],[Revenue]]</f>
        <v>0.4375</v>
      </c>
      <c r="S341" s="19"/>
      <c r="T341" s="19" t="str">
        <f>UPPER(TEXT(ShoeSales[[#This Row],[Date]], "mmm"))</f>
        <v>MAR</v>
      </c>
    </row>
    <row r="342" spans="1:20" ht="14.25" customHeight="1" x14ac:dyDescent="0.25">
      <c r="A342" s="14">
        <v>46219</v>
      </c>
      <c r="B342" s="6" t="s">
        <v>41</v>
      </c>
      <c r="C342" s="16" t="str">
        <f>TRIM(PROPER(ShoeSales[[#This Row],[Product]]))</f>
        <v>Boots</v>
      </c>
      <c r="D342" s="6" t="s">
        <v>28</v>
      </c>
      <c r="E342" s="44" t="str">
        <f>UPPER(ShoeSales[[#This Row],[Category]])</f>
        <v>FORMAL</v>
      </c>
      <c r="F342" s="6" t="s">
        <v>56</v>
      </c>
      <c r="G342" s="6" t="s">
        <v>80</v>
      </c>
      <c r="H342" s="16" t="str">
        <f>PROPER(ShoeSales[[#This Row],[Brand]])</f>
        <v>Steve Madden</v>
      </c>
      <c r="I342" s="6" t="s">
        <v>73</v>
      </c>
      <c r="J342" s="7">
        <v>14</v>
      </c>
      <c r="K342" s="6" t="s">
        <v>36</v>
      </c>
      <c r="L342" s="22">
        <f>VLOOKUP(ShoeSales[[#This Row],[Product Cleaned]],Price!$A$2:$C$9,2,FALSE)</f>
        <v>76</v>
      </c>
      <c r="M342" s="19">
        <f>_xlfn.XLOOKUP(ShoeSales[[#This Row],[Product Cleaned]],Price!$A$2:$A$9,Price!$B$2:$B$9)</f>
        <v>76</v>
      </c>
      <c r="N342" s="19">
        <f>_xlfn.XLOOKUP(ShoeSales[[#This Row],[Product Cleaned]],Price!$A$2:$A$9,Price!$C$2:$C$9)</f>
        <v>39</v>
      </c>
      <c r="O342" s="22">
        <f>ShoeSales[[#This Row],[Sell Price]]*ShoeSales[[#This Row],[Quantity]]</f>
        <v>1064</v>
      </c>
      <c r="P342" s="19">
        <f>ShoeSales[[#This Row],[Quantity]]*ShoeSales[[#This Row],[Cost Price]]</f>
        <v>546</v>
      </c>
      <c r="Q342" s="19">
        <f>ShoeSales[[#This Row],[Revenue]]-ShoeSales[[#This Row],[Cost]]</f>
        <v>518</v>
      </c>
      <c r="R342" s="24">
        <f>ShoeSales[[#This Row],[Profit]]/ShoeSales[[#This Row],[Revenue]]</f>
        <v>0.48684210526315791</v>
      </c>
      <c r="S342" s="19"/>
      <c r="T342" s="19" t="str">
        <f>UPPER(TEXT(ShoeSales[[#This Row],[Date]], "mmm"))</f>
        <v>JUL</v>
      </c>
    </row>
    <row r="343" spans="1:20" ht="14.25" customHeight="1" x14ac:dyDescent="0.25">
      <c r="A343" s="15">
        <v>46042</v>
      </c>
      <c r="B343" s="9" t="s">
        <v>41</v>
      </c>
      <c r="C343" s="9" t="str">
        <f>TRIM(PROPER(ShoeSales[[#This Row],[Product]]))</f>
        <v>Boots</v>
      </c>
      <c r="D343" s="9" t="s">
        <v>42</v>
      </c>
      <c r="E343" s="45" t="str">
        <f>UPPER(ShoeSales[[#This Row],[Category]])</f>
        <v>UTILITY</v>
      </c>
      <c r="F343" s="9" t="s">
        <v>38</v>
      </c>
      <c r="G343" s="9" t="s">
        <v>94</v>
      </c>
      <c r="H343" s="9" t="str">
        <f>PROPER(ShoeSales[[#This Row],[Brand]])</f>
        <v>Timberland</v>
      </c>
      <c r="I343" s="9" t="s">
        <v>43</v>
      </c>
      <c r="J343" s="10">
        <v>1</v>
      </c>
      <c r="K343" s="9" t="s">
        <v>54</v>
      </c>
      <c r="L343" s="22">
        <f>VLOOKUP(ShoeSales[[#This Row],[Product Cleaned]],Price!$A$2:$C$9,2,FALSE)</f>
        <v>76</v>
      </c>
      <c r="M343" s="19">
        <f>_xlfn.XLOOKUP(ShoeSales[[#This Row],[Product Cleaned]],Price!$A$2:$A$9,Price!$B$2:$B$9)</f>
        <v>76</v>
      </c>
      <c r="N343" s="19">
        <f>_xlfn.XLOOKUP(ShoeSales[[#This Row],[Product Cleaned]],Price!$A$2:$A$9,Price!$C$2:$C$9)</f>
        <v>39</v>
      </c>
      <c r="O343" s="22">
        <f>ShoeSales[[#This Row],[Sell Price]]*ShoeSales[[#This Row],[Quantity]]</f>
        <v>76</v>
      </c>
      <c r="P343" s="19">
        <f>ShoeSales[[#This Row],[Quantity]]*ShoeSales[[#This Row],[Cost Price]]</f>
        <v>39</v>
      </c>
      <c r="Q343" s="19">
        <f>ShoeSales[[#This Row],[Revenue]]-ShoeSales[[#This Row],[Cost]]</f>
        <v>37</v>
      </c>
      <c r="R343" s="24">
        <f>ShoeSales[[#This Row],[Profit]]/ShoeSales[[#This Row],[Revenue]]</f>
        <v>0.48684210526315791</v>
      </c>
      <c r="S343" s="19"/>
      <c r="T343" s="19" t="str">
        <f>UPPER(TEXT(ShoeSales[[#This Row],[Date]], "mmm"))</f>
        <v>JAN</v>
      </c>
    </row>
    <row r="344" spans="1:20" ht="14.25" customHeight="1" x14ac:dyDescent="0.25">
      <c r="A344" s="14">
        <v>46227</v>
      </c>
      <c r="B344" s="6" t="s">
        <v>85</v>
      </c>
      <c r="C344" s="16" t="str">
        <f>TRIM(PROPER(ShoeSales[[#This Row],[Product]]))</f>
        <v>Brogues</v>
      </c>
      <c r="D344" s="6" t="s">
        <v>58</v>
      </c>
      <c r="E344" s="44" t="str">
        <f>UPPER(ShoeSales[[#This Row],[Category]])</f>
        <v>FORMAL</v>
      </c>
      <c r="F344" s="6" t="s">
        <v>29</v>
      </c>
      <c r="G344" s="6" t="s">
        <v>80</v>
      </c>
      <c r="H344" s="16" t="str">
        <f>PROPER(ShoeSales[[#This Row],[Brand]])</f>
        <v>Steve Madden</v>
      </c>
      <c r="I344" s="6" t="s">
        <v>64</v>
      </c>
      <c r="J344" s="7">
        <v>15</v>
      </c>
      <c r="K344" s="6" t="s">
        <v>54</v>
      </c>
      <c r="L344" s="22">
        <f>VLOOKUP(ShoeSales[[#This Row],[Product Cleaned]],Price!$A$2:$C$9,2,FALSE)</f>
        <v>112</v>
      </c>
      <c r="M344" s="19">
        <f>_xlfn.XLOOKUP(ShoeSales[[#This Row],[Product Cleaned]],Price!$A$2:$A$9,Price!$B$2:$B$9)</f>
        <v>112</v>
      </c>
      <c r="N344" s="19">
        <f>_xlfn.XLOOKUP(ShoeSales[[#This Row],[Product Cleaned]],Price!$A$2:$A$9,Price!$C$2:$C$9)</f>
        <v>64</v>
      </c>
      <c r="O344" s="22">
        <f>ShoeSales[[#This Row],[Sell Price]]*ShoeSales[[#This Row],[Quantity]]</f>
        <v>1680</v>
      </c>
      <c r="P344" s="19">
        <f>ShoeSales[[#This Row],[Quantity]]*ShoeSales[[#This Row],[Cost Price]]</f>
        <v>960</v>
      </c>
      <c r="Q344" s="19">
        <f>ShoeSales[[#This Row],[Revenue]]-ShoeSales[[#This Row],[Cost]]</f>
        <v>720</v>
      </c>
      <c r="R344" s="24">
        <f>ShoeSales[[#This Row],[Profit]]/ShoeSales[[#This Row],[Revenue]]</f>
        <v>0.42857142857142855</v>
      </c>
      <c r="S344" s="19"/>
      <c r="T344" s="19" t="str">
        <f>UPPER(TEXT(ShoeSales[[#This Row],[Date]], "mmm"))</f>
        <v>JUL</v>
      </c>
    </row>
    <row r="345" spans="1:20" ht="14.25" customHeight="1" x14ac:dyDescent="0.25">
      <c r="A345" s="15">
        <v>46180</v>
      </c>
      <c r="B345" s="9" t="s">
        <v>15</v>
      </c>
      <c r="C345" s="9" t="str">
        <f>TRIM(PROPER(ShoeSales[[#This Row],[Product]]))</f>
        <v>Slippers</v>
      </c>
      <c r="D345" s="9" t="s">
        <v>71</v>
      </c>
      <c r="E345" s="45" t="str">
        <f>UPPER(ShoeSales[[#This Row],[Category]])</f>
        <v>CASUAL</v>
      </c>
      <c r="F345" s="9" t="s">
        <v>38</v>
      </c>
      <c r="G345" s="9" t="s">
        <v>39</v>
      </c>
      <c r="H345" s="9" t="str">
        <f>PROPER(ShoeSales[[#This Row],[Brand]])</f>
        <v>Clarks</v>
      </c>
      <c r="I345" s="9" t="s">
        <v>84</v>
      </c>
      <c r="J345" s="10">
        <v>13</v>
      </c>
      <c r="K345" s="9" t="s">
        <v>32</v>
      </c>
      <c r="L345" s="22">
        <f>VLOOKUP(ShoeSales[[#This Row],[Product Cleaned]],Price!$A$2:$C$9,2,FALSE)</f>
        <v>119</v>
      </c>
      <c r="M345" s="19">
        <f>_xlfn.XLOOKUP(ShoeSales[[#This Row],[Product Cleaned]],Price!$A$2:$A$9,Price!$B$2:$B$9)</f>
        <v>119</v>
      </c>
      <c r="N345" s="19">
        <f>_xlfn.XLOOKUP(ShoeSales[[#This Row],[Product Cleaned]],Price!$A$2:$A$9,Price!$C$2:$C$9)</f>
        <v>67</v>
      </c>
      <c r="O345" s="22">
        <f>ShoeSales[[#This Row],[Sell Price]]*ShoeSales[[#This Row],[Quantity]]</f>
        <v>1547</v>
      </c>
      <c r="P345" s="19">
        <f>ShoeSales[[#This Row],[Quantity]]*ShoeSales[[#This Row],[Cost Price]]</f>
        <v>871</v>
      </c>
      <c r="Q345" s="19">
        <f>ShoeSales[[#This Row],[Revenue]]-ShoeSales[[#This Row],[Cost]]</f>
        <v>676</v>
      </c>
      <c r="R345" s="24">
        <f>ShoeSales[[#This Row],[Profit]]/ShoeSales[[#This Row],[Revenue]]</f>
        <v>0.43697478991596639</v>
      </c>
      <c r="S345" s="19"/>
      <c r="T345" s="19" t="str">
        <f>UPPER(TEXT(ShoeSales[[#This Row],[Date]], "mmm"))</f>
        <v>JUN</v>
      </c>
    </row>
    <row r="346" spans="1:20" ht="14.25" customHeight="1" x14ac:dyDescent="0.25">
      <c r="A346" s="14">
        <v>46046</v>
      </c>
      <c r="B346" s="6" t="s">
        <v>52</v>
      </c>
      <c r="C346" s="16" t="str">
        <f>TRIM(PROPER(ShoeSales[[#This Row],[Product]]))</f>
        <v>Canvas</v>
      </c>
      <c r="D346" s="6" t="s">
        <v>58</v>
      </c>
      <c r="E346" s="44" t="str">
        <f>UPPER(ShoeSales[[#This Row],[Category]])</f>
        <v>FORMAL</v>
      </c>
      <c r="F346" s="6" t="s">
        <v>49</v>
      </c>
      <c r="G346" s="6" t="s">
        <v>46</v>
      </c>
      <c r="H346" s="16" t="str">
        <f>PROPER(ShoeSales[[#This Row],[Brand]])</f>
        <v>Clarks</v>
      </c>
      <c r="I346" s="6" t="s">
        <v>61</v>
      </c>
      <c r="J346" s="7">
        <v>8</v>
      </c>
      <c r="K346" s="6" t="s">
        <v>32</v>
      </c>
      <c r="L346" s="22">
        <f>VLOOKUP(ShoeSales[[#This Row],[Product Cleaned]],Price!$A$2:$C$9,2,FALSE)</f>
        <v>128</v>
      </c>
      <c r="M346" s="19">
        <f>_xlfn.XLOOKUP(ShoeSales[[#This Row],[Product Cleaned]],Price!$A$2:$A$9,Price!$B$2:$B$9)</f>
        <v>128</v>
      </c>
      <c r="N346" s="19">
        <f>_xlfn.XLOOKUP(ShoeSales[[#This Row],[Product Cleaned]],Price!$A$2:$A$9,Price!$C$2:$C$9)</f>
        <v>72</v>
      </c>
      <c r="O346" s="22">
        <f>ShoeSales[[#This Row],[Sell Price]]*ShoeSales[[#This Row],[Quantity]]</f>
        <v>1024</v>
      </c>
      <c r="P346" s="19">
        <f>ShoeSales[[#This Row],[Quantity]]*ShoeSales[[#This Row],[Cost Price]]</f>
        <v>576</v>
      </c>
      <c r="Q346" s="19">
        <f>ShoeSales[[#This Row],[Revenue]]-ShoeSales[[#This Row],[Cost]]</f>
        <v>448</v>
      </c>
      <c r="R346" s="24">
        <f>ShoeSales[[#This Row],[Profit]]/ShoeSales[[#This Row],[Revenue]]</f>
        <v>0.4375</v>
      </c>
      <c r="S346" s="19"/>
      <c r="T346" s="19" t="str">
        <f>UPPER(TEXT(ShoeSales[[#This Row],[Date]], "mmm"))</f>
        <v>JAN</v>
      </c>
    </row>
    <row r="347" spans="1:20" ht="14.25" customHeight="1" x14ac:dyDescent="0.25">
      <c r="A347" s="15">
        <v>46078</v>
      </c>
      <c r="B347" s="9" t="s">
        <v>41</v>
      </c>
      <c r="C347" s="9" t="str">
        <f>TRIM(PROPER(ShoeSales[[#This Row],[Product]]))</f>
        <v>Boots</v>
      </c>
      <c r="D347" s="9" t="s">
        <v>42</v>
      </c>
      <c r="E347" s="45" t="str">
        <f>UPPER(ShoeSales[[#This Row],[Category]])</f>
        <v>UTILITY</v>
      </c>
      <c r="F347" s="9" t="s">
        <v>38</v>
      </c>
      <c r="G347" s="9" t="s">
        <v>72</v>
      </c>
      <c r="H347" s="9" t="str">
        <f>PROPER(ShoeSales[[#This Row],[Brand]])</f>
        <v>Zara</v>
      </c>
      <c r="I347" s="9" t="s">
        <v>47</v>
      </c>
      <c r="J347" s="10">
        <v>8</v>
      </c>
      <c r="K347" s="9" t="s">
        <v>54</v>
      </c>
      <c r="L347" s="22">
        <f>VLOOKUP(ShoeSales[[#This Row],[Product Cleaned]],Price!$A$2:$C$9,2,FALSE)</f>
        <v>76</v>
      </c>
      <c r="M347" s="19">
        <f>_xlfn.XLOOKUP(ShoeSales[[#This Row],[Product Cleaned]],Price!$A$2:$A$9,Price!$B$2:$B$9)</f>
        <v>76</v>
      </c>
      <c r="N347" s="19">
        <f>_xlfn.XLOOKUP(ShoeSales[[#This Row],[Product Cleaned]],Price!$A$2:$A$9,Price!$C$2:$C$9)</f>
        <v>39</v>
      </c>
      <c r="O347" s="22">
        <f>ShoeSales[[#This Row],[Sell Price]]*ShoeSales[[#This Row],[Quantity]]</f>
        <v>608</v>
      </c>
      <c r="P347" s="19">
        <f>ShoeSales[[#This Row],[Quantity]]*ShoeSales[[#This Row],[Cost Price]]</f>
        <v>312</v>
      </c>
      <c r="Q347" s="19">
        <f>ShoeSales[[#This Row],[Revenue]]-ShoeSales[[#This Row],[Cost]]</f>
        <v>296</v>
      </c>
      <c r="R347" s="24">
        <f>ShoeSales[[#This Row],[Profit]]/ShoeSales[[#This Row],[Revenue]]</f>
        <v>0.48684210526315791</v>
      </c>
      <c r="S347" s="19"/>
      <c r="T347" s="19" t="str">
        <f>UPPER(TEXT(ShoeSales[[#This Row],[Date]], "mmm"))</f>
        <v>FEB</v>
      </c>
    </row>
    <row r="348" spans="1:20" ht="14.25" customHeight="1" x14ac:dyDescent="0.25">
      <c r="A348" s="14">
        <v>46142</v>
      </c>
      <c r="B348" s="6" t="s">
        <v>85</v>
      </c>
      <c r="C348" s="16" t="str">
        <f>TRIM(PROPER(ShoeSales[[#This Row],[Product]]))</f>
        <v>Brogues</v>
      </c>
      <c r="D348" s="6" t="s">
        <v>93</v>
      </c>
      <c r="E348" s="44" t="str">
        <f>UPPER(ShoeSales[[#This Row],[Category]])</f>
        <v>UTILITY</v>
      </c>
      <c r="F348" s="6" t="s">
        <v>34</v>
      </c>
      <c r="G348" s="6" t="s">
        <v>35</v>
      </c>
      <c r="H348" s="16" t="str">
        <f>PROPER(ShoeSales[[#This Row],[Brand]])</f>
        <v>Nike</v>
      </c>
      <c r="I348" s="6" t="s">
        <v>61</v>
      </c>
      <c r="J348" s="7">
        <v>10</v>
      </c>
      <c r="K348" s="6" t="s">
        <v>62</v>
      </c>
      <c r="L348" s="22">
        <f>VLOOKUP(ShoeSales[[#This Row],[Product Cleaned]],Price!$A$2:$C$9,2,FALSE)</f>
        <v>112</v>
      </c>
      <c r="M348" s="19">
        <f>_xlfn.XLOOKUP(ShoeSales[[#This Row],[Product Cleaned]],Price!$A$2:$A$9,Price!$B$2:$B$9)</f>
        <v>112</v>
      </c>
      <c r="N348" s="19">
        <f>_xlfn.XLOOKUP(ShoeSales[[#This Row],[Product Cleaned]],Price!$A$2:$A$9,Price!$C$2:$C$9)</f>
        <v>64</v>
      </c>
      <c r="O348" s="22">
        <f>ShoeSales[[#This Row],[Sell Price]]*ShoeSales[[#This Row],[Quantity]]</f>
        <v>1120</v>
      </c>
      <c r="P348" s="19">
        <f>ShoeSales[[#This Row],[Quantity]]*ShoeSales[[#This Row],[Cost Price]]</f>
        <v>640</v>
      </c>
      <c r="Q348" s="19">
        <f>ShoeSales[[#This Row],[Revenue]]-ShoeSales[[#This Row],[Cost]]</f>
        <v>480</v>
      </c>
      <c r="R348" s="24">
        <f>ShoeSales[[#This Row],[Profit]]/ShoeSales[[#This Row],[Revenue]]</f>
        <v>0.42857142857142855</v>
      </c>
      <c r="S348" s="19"/>
      <c r="T348" s="19" t="str">
        <f>UPPER(TEXT(ShoeSales[[#This Row],[Date]], "mmm"))</f>
        <v>APR</v>
      </c>
    </row>
    <row r="349" spans="1:20" ht="14.25" customHeight="1" x14ac:dyDescent="0.25">
      <c r="A349" s="15">
        <v>46025</v>
      </c>
      <c r="B349" s="9" t="s">
        <v>33</v>
      </c>
      <c r="C349" s="9" t="str">
        <f>TRIM(PROPER(ShoeSales[[#This Row],[Product]]))</f>
        <v>Loafers</v>
      </c>
      <c r="D349" s="9" t="s">
        <v>45</v>
      </c>
      <c r="E349" s="45" t="str">
        <f>UPPER(ShoeSales[[#This Row],[Category]])</f>
        <v>CASUAL</v>
      </c>
      <c r="F349" s="9" t="s">
        <v>49</v>
      </c>
      <c r="G349" s="9" t="s">
        <v>63</v>
      </c>
      <c r="H349" s="9" t="str">
        <f>PROPER(ShoeSales[[#This Row],[Brand]])</f>
        <v>Clarks</v>
      </c>
      <c r="I349" s="9" t="s">
        <v>31</v>
      </c>
      <c r="J349" s="10">
        <v>14</v>
      </c>
      <c r="K349" s="9" t="s">
        <v>54</v>
      </c>
      <c r="L349" s="22">
        <f>VLOOKUP(ShoeSales[[#This Row],[Product Cleaned]],Price!$A$2:$C$9,2,FALSE)</f>
        <v>54</v>
      </c>
      <c r="M349" s="19">
        <f>_xlfn.XLOOKUP(ShoeSales[[#This Row],[Product Cleaned]],Price!$A$2:$A$9,Price!$B$2:$B$9)</f>
        <v>54</v>
      </c>
      <c r="N349" s="19">
        <f>_xlfn.XLOOKUP(ShoeSales[[#This Row],[Product Cleaned]],Price!$A$2:$A$9,Price!$C$2:$C$9)</f>
        <v>28</v>
      </c>
      <c r="O349" s="22">
        <f>ShoeSales[[#This Row],[Sell Price]]*ShoeSales[[#This Row],[Quantity]]</f>
        <v>756</v>
      </c>
      <c r="P349" s="19">
        <f>ShoeSales[[#This Row],[Quantity]]*ShoeSales[[#This Row],[Cost Price]]</f>
        <v>392</v>
      </c>
      <c r="Q349" s="19">
        <f>ShoeSales[[#This Row],[Revenue]]-ShoeSales[[#This Row],[Cost]]</f>
        <v>364</v>
      </c>
      <c r="R349" s="24">
        <f>ShoeSales[[#This Row],[Profit]]/ShoeSales[[#This Row],[Revenue]]</f>
        <v>0.48148148148148145</v>
      </c>
      <c r="S349" s="19"/>
      <c r="T349" s="19" t="str">
        <f>UPPER(TEXT(ShoeSales[[#This Row],[Date]], "mmm"))</f>
        <v>JAN</v>
      </c>
    </row>
    <row r="350" spans="1:20" ht="14.25" customHeight="1" x14ac:dyDescent="0.25">
      <c r="A350" s="14">
        <v>46183</v>
      </c>
      <c r="B350" s="6" t="s">
        <v>6</v>
      </c>
      <c r="C350" s="16" t="str">
        <f>TRIM(PROPER(ShoeSales[[#This Row],[Product]]))</f>
        <v>Loafers</v>
      </c>
      <c r="D350" s="6" t="s">
        <v>89</v>
      </c>
      <c r="E350" s="44" t="str">
        <f>UPPER(ShoeSales[[#This Row],[Category]])</f>
        <v>OPEN</v>
      </c>
      <c r="F350" s="6" t="s">
        <v>56</v>
      </c>
      <c r="G350" s="6" t="s">
        <v>69</v>
      </c>
      <c r="H350" s="16" t="str">
        <f>PROPER(ShoeSales[[#This Row],[Brand]])</f>
        <v>Zara</v>
      </c>
      <c r="I350" s="6" t="s">
        <v>91</v>
      </c>
      <c r="J350" s="7">
        <v>1</v>
      </c>
      <c r="K350" s="6" t="s">
        <v>54</v>
      </c>
      <c r="L350" s="22">
        <f>VLOOKUP(ShoeSales[[#This Row],[Product Cleaned]],Price!$A$2:$C$9,2,FALSE)</f>
        <v>54</v>
      </c>
      <c r="M350" s="19">
        <f>_xlfn.XLOOKUP(ShoeSales[[#This Row],[Product Cleaned]],Price!$A$2:$A$9,Price!$B$2:$B$9)</f>
        <v>54</v>
      </c>
      <c r="N350" s="19">
        <f>_xlfn.XLOOKUP(ShoeSales[[#This Row],[Product Cleaned]],Price!$A$2:$A$9,Price!$C$2:$C$9)</f>
        <v>28</v>
      </c>
      <c r="O350" s="22">
        <f>ShoeSales[[#This Row],[Sell Price]]*ShoeSales[[#This Row],[Quantity]]</f>
        <v>54</v>
      </c>
      <c r="P350" s="19">
        <f>ShoeSales[[#This Row],[Quantity]]*ShoeSales[[#This Row],[Cost Price]]</f>
        <v>28</v>
      </c>
      <c r="Q350" s="19">
        <f>ShoeSales[[#This Row],[Revenue]]-ShoeSales[[#This Row],[Cost]]</f>
        <v>26</v>
      </c>
      <c r="R350" s="24">
        <f>ShoeSales[[#This Row],[Profit]]/ShoeSales[[#This Row],[Revenue]]</f>
        <v>0.48148148148148145</v>
      </c>
      <c r="S350" s="19"/>
      <c r="T350" s="19" t="str">
        <f>UPPER(TEXT(ShoeSales[[#This Row],[Date]], "mmm"))</f>
        <v>JUN</v>
      </c>
    </row>
    <row r="351" spans="1:20" ht="14.25" customHeight="1" x14ac:dyDescent="0.25">
      <c r="A351" s="15">
        <v>46080</v>
      </c>
      <c r="B351" s="9" t="s">
        <v>5</v>
      </c>
      <c r="C351" s="9" t="str">
        <f>TRIM(PROPER(ShoeSales[[#This Row],[Product]]))</f>
        <v>Monk Straps</v>
      </c>
      <c r="D351" s="9" t="s">
        <v>71</v>
      </c>
      <c r="E351" s="45" t="str">
        <f>UPPER(ShoeSales[[#This Row],[Category]])</f>
        <v>CASUAL</v>
      </c>
      <c r="F351" s="9" t="s">
        <v>29</v>
      </c>
      <c r="G351" s="9" t="s">
        <v>94</v>
      </c>
      <c r="H351" s="9" t="str">
        <f>PROPER(ShoeSales[[#This Row],[Brand]])</f>
        <v>Timberland</v>
      </c>
      <c r="I351" s="9" t="s">
        <v>47</v>
      </c>
      <c r="J351" s="10">
        <v>11</v>
      </c>
      <c r="K351" s="9" t="s">
        <v>36</v>
      </c>
      <c r="L351" s="22">
        <f>VLOOKUP(ShoeSales[[#This Row],[Product Cleaned]],Price!$A$2:$C$9,2,FALSE)</f>
        <v>89</v>
      </c>
      <c r="M351" s="19">
        <f>_xlfn.XLOOKUP(ShoeSales[[#This Row],[Product Cleaned]],Price!$A$2:$A$9,Price!$B$2:$B$9)</f>
        <v>89</v>
      </c>
      <c r="N351" s="19">
        <f>_xlfn.XLOOKUP(ShoeSales[[#This Row],[Product Cleaned]],Price!$A$2:$A$9,Price!$C$2:$C$9)</f>
        <v>47</v>
      </c>
      <c r="O351" s="22">
        <f>ShoeSales[[#This Row],[Sell Price]]*ShoeSales[[#This Row],[Quantity]]</f>
        <v>979</v>
      </c>
      <c r="P351" s="19">
        <f>ShoeSales[[#This Row],[Quantity]]*ShoeSales[[#This Row],[Cost Price]]</f>
        <v>517</v>
      </c>
      <c r="Q351" s="19">
        <f>ShoeSales[[#This Row],[Revenue]]-ShoeSales[[#This Row],[Cost]]</f>
        <v>462</v>
      </c>
      <c r="R351" s="24">
        <f>ShoeSales[[#This Row],[Profit]]/ShoeSales[[#This Row],[Revenue]]</f>
        <v>0.47191011235955055</v>
      </c>
      <c r="S351" s="19"/>
      <c r="T351" s="19" t="str">
        <f>UPPER(TEXT(ShoeSales[[#This Row],[Date]], "mmm"))</f>
        <v>FEB</v>
      </c>
    </row>
    <row r="352" spans="1:20" ht="14.25" customHeight="1" x14ac:dyDescent="0.25">
      <c r="A352" s="14">
        <v>46201</v>
      </c>
      <c r="B352" s="6" t="s">
        <v>44</v>
      </c>
      <c r="C352" s="16" t="str">
        <f>TRIM(PROPER(ShoeSales[[#This Row],[Product]]))</f>
        <v>Boots</v>
      </c>
      <c r="D352" s="6" t="s">
        <v>42</v>
      </c>
      <c r="E352" s="44" t="str">
        <f>UPPER(ShoeSales[[#This Row],[Category]])</f>
        <v>UTILITY</v>
      </c>
      <c r="F352" s="6" t="s">
        <v>49</v>
      </c>
      <c r="G352" s="6" t="s">
        <v>57</v>
      </c>
      <c r="H352" s="16" t="str">
        <f>PROPER(ShoeSales[[#This Row],[Brand]])</f>
        <v>Timberland</v>
      </c>
      <c r="I352" s="6" t="s">
        <v>31</v>
      </c>
      <c r="J352" s="7">
        <v>8</v>
      </c>
      <c r="K352" s="6" t="s">
        <v>36</v>
      </c>
      <c r="L352" s="22">
        <f>VLOOKUP(ShoeSales[[#This Row],[Product Cleaned]],Price!$A$2:$C$9,2,FALSE)</f>
        <v>76</v>
      </c>
      <c r="M352" s="19">
        <f>_xlfn.XLOOKUP(ShoeSales[[#This Row],[Product Cleaned]],Price!$A$2:$A$9,Price!$B$2:$B$9)</f>
        <v>76</v>
      </c>
      <c r="N352" s="19">
        <f>_xlfn.XLOOKUP(ShoeSales[[#This Row],[Product Cleaned]],Price!$A$2:$A$9,Price!$C$2:$C$9)</f>
        <v>39</v>
      </c>
      <c r="O352" s="22">
        <f>ShoeSales[[#This Row],[Sell Price]]*ShoeSales[[#This Row],[Quantity]]</f>
        <v>608</v>
      </c>
      <c r="P352" s="19">
        <f>ShoeSales[[#This Row],[Quantity]]*ShoeSales[[#This Row],[Cost Price]]</f>
        <v>312</v>
      </c>
      <c r="Q352" s="19">
        <f>ShoeSales[[#This Row],[Revenue]]-ShoeSales[[#This Row],[Cost]]</f>
        <v>296</v>
      </c>
      <c r="R352" s="24">
        <f>ShoeSales[[#This Row],[Profit]]/ShoeSales[[#This Row],[Revenue]]</f>
        <v>0.48684210526315791</v>
      </c>
      <c r="S352" s="19"/>
      <c r="T352" s="19" t="str">
        <f>UPPER(TEXT(ShoeSales[[#This Row],[Date]], "mmm"))</f>
        <v>JUN</v>
      </c>
    </row>
    <row r="353" spans="1:20" ht="14.25" customHeight="1" x14ac:dyDescent="0.25">
      <c r="A353" s="15">
        <v>46058</v>
      </c>
      <c r="B353" s="9" t="s">
        <v>5</v>
      </c>
      <c r="C353" s="9" t="str">
        <f>TRIM(PROPER(ShoeSales[[#This Row],[Product]]))</f>
        <v>Monk Straps</v>
      </c>
      <c r="D353" s="9" t="s">
        <v>42</v>
      </c>
      <c r="E353" s="45" t="str">
        <f>UPPER(ShoeSales[[#This Row],[Category]])</f>
        <v>UTILITY</v>
      </c>
      <c r="F353" s="9" t="s">
        <v>56</v>
      </c>
      <c r="G353" s="9" t="s">
        <v>39</v>
      </c>
      <c r="H353" s="9" t="str">
        <f>PROPER(ShoeSales[[#This Row],[Brand]])</f>
        <v>Clarks</v>
      </c>
      <c r="I353" s="9" t="s">
        <v>64</v>
      </c>
      <c r="J353" s="10">
        <v>13</v>
      </c>
      <c r="K353" s="9" t="s">
        <v>54</v>
      </c>
      <c r="L353" s="22">
        <f>VLOOKUP(ShoeSales[[#This Row],[Product Cleaned]],Price!$A$2:$C$9,2,FALSE)</f>
        <v>89</v>
      </c>
      <c r="M353" s="19">
        <f>_xlfn.XLOOKUP(ShoeSales[[#This Row],[Product Cleaned]],Price!$A$2:$A$9,Price!$B$2:$B$9)</f>
        <v>89</v>
      </c>
      <c r="N353" s="19">
        <f>_xlfn.XLOOKUP(ShoeSales[[#This Row],[Product Cleaned]],Price!$A$2:$A$9,Price!$C$2:$C$9)</f>
        <v>47</v>
      </c>
      <c r="O353" s="22">
        <f>ShoeSales[[#This Row],[Sell Price]]*ShoeSales[[#This Row],[Quantity]]</f>
        <v>1157</v>
      </c>
      <c r="P353" s="19">
        <f>ShoeSales[[#This Row],[Quantity]]*ShoeSales[[#This Row],[Cost Price]]</f>
        <v>611</v>
      </c>
      <c r="Q353" s="19">
        <f>ShoeSales[[#This Row],[Revenue]]-ShoeSales[[#This Row],[Cost]]</f>
        <v>546</v>
      </c>
      <c r="R353" s="24">
        <f>ShoeSales[[#This Row],[Profit]]/ShoeSales[[#This Row],[Revenue]]</f>
        <v>0.47191011235955055</v>
      </c>
      <c r="S353" s="19"/>
      <c r="T353" s="19" t="str">
        <f>UPPER(TEXT(ShoeSales[[#This Row],[Date]], "mmm"))</f>
        <v>FEB</v>
      </c>
    </row>
    <row r="354" spans="1:20" ht="14.25" customHeight="1" x14ac:dyDescent="0.25">
      <c r="A354" s="14">
        <v>46129</v>
      </c>
      <c r="B354" s="6" t="s">
        <v>88</v>
      </c>
      <c r="C354" s="16" t="str">
        <f>TRIM(PROPER(ShoeSales[[#This Row],[Product]]))</f>
        <v>Slippers</v>
      </c>
      <c r="D354" s="6" t="s">
        <v>42</v>
      </c>
      <c r="E354" s="44" t="str">
        <f>UPPER(ShoeSales[[#This Row],[Category]])</f>
        <v>UTILITY</v>
      </c>
      <c r="F354" s="6" t="s">
        <v>29</v>
      </c>
      <c r="G354" s="6" t="s">
        <v>95</v>
      </c>
      <c r="H354" s="16" t="str">
        <f>PROPER(ShoeSales[[#This Row],[Brand]])</f>
        <v>Timberland</v>
      </c>
      <c r="I354" s="6" t="s">
        <v>47</v>
      </c>
      <c r="J354" s="7">
        <v>6</v>
      </c>
      <c r="K354" s="6" t="s">
        <v>32</v>
      </c>
      <c r="L354" s="22">
        <f>VLOOKUP(ShoeSales[[#This Row],[Product Cleaned]],Price!$A$2:$C$9,2,FALSE)</f>
        <v>119</v>
      </c>
      <c r="M354" s="19">
        <f>_xlfn.XLOOKUP(ShoeSales[[#This Row],[Product Cleaned]],Price!$A$2:$A$9,Price!$B$2:$B$9)</f>
        <v>119</v>
      </c>
      <c r="N354" s="19">
        <f>_xlfn.XLOOKUP(ShoeSales[[#This Row],[Product Cleaned]],Price!$A$2:$A$9,Price!$C$2:$C$9)</f>
        <v>67</v>
      </c>
      <c r="O354" s="22">
        <f>ShoeSales[[#This Row],[Sell Price]]*ShoeSales[[#This Row],[Quantity]]</f>
        <v>714</v>
      </c>
      <c r="P354" s="19">
        <f>ShoeSales[[#This Row],[Quantity]]*ShoeSales[[#This Row],[Cost Price]]</f>
        <v>402</v>
      </c>
      <c r="Q354" s="19">
        <f>ShoeSales[[#This Row],[Revenue]]-ShoeSales[[#This Row],[Cost]]</f>
        <v>312</v>
      </c>
      <c r="R354" s="24">
        <f>ShoeSales[[#This Row],[Profit]]/ShoeSales[[#This Row],[Revenue]]</f>
        <v>0.43697478991596639</v>
      </c>
      <c r="S354" s="19"/>
      <c r="T354" s="19" t="str">
        <f>UPPER(TEXT(ShoeSales[[#This Row],[Date]], "mmm"))</f>
        <v>APR</v>
      </c>
    </row>
    <row r="355" spans="1:20" ht="14.25" customHeight="1" x14ac:dyDescent="0.25">
      <c r="A355" s="15">
        <v>46242</v>
      </c>
      <c r="B355" s="9" t="s">
        <v>79</v>
      </c>
      <c r="C355" s="9" t="str">
        <f>TRIM(PROPER(ShoeSales[[#This Row],[Product]]))</f>
        <v>Brogues</v>
      </c>
      <c r="D355" s="9" t="s">
        <v>89</v>
      </c>
      <c r="E355" s="45" t="str">
        <f>UPPER(ShoeSales[[#This Row],[Category]])</f>
        <v>OPEN</v>
      </c>
      <c r="F355" s="9" t="s">
        <v>29</v>
      </c>
      <c r="G355" s="9" t="s">
        <v>72</v>
      </c>
      <c r="H355" s="9" t="str">
        <f>PROPER(ShoeSales[[#This Row],[Brand]])</f>
        <v>Zara</v>
      </c>
      <c r="I355" s="9" t="s">
        <v>31</v>
      </c>
      <c r="J355" s="10">
        <v>8</v>
      </c>
      <c r="K355" s="9" t="s">
        <v>32</v>
      </c>
      <c r="L355" s="22">
        <f>VLOOKUP(ShoeSales[[#This Row],[Product Cleaned]],Price!$A$2:$C$9,2,FALSE)</f>
        <v>112</v>
      </c>
      <c r="M355" s="19">
        <f>_xlfn.XLOOKUP(ShoeSales[[#This Row],[Product Cleaned]],Price!$A$2:$A$9,Price!$B$2:$B$9)</f>
        <v>112</v>
      </c>
      <c r="N355" s="19">
        <f>_xlfn.XLOOKUP(ShoeSales[[#This Row],[Product Cleaned]],Price!$A$2:$A$9,Price!$C$2:$C$9)</f>
        <v>64</v>
      </c>
      <c r="O355" s="22">
        <f>ShoeSales[[#This Row],[Sell Price]]*ShoeSales[[#This Row],[Quantity]]</f>
        <v>896</v>
      </c>
      <c r="P355" s="19">
        <f>ShoeSales[[#This Row],[Quantity]]*ShoeSales[[#This Row],[Cost Price]]</f>
        <v>512</v>
      </c>
      <c r="Q355" s="19">
        <f>ShoeSales[[#This Row],[Revenue]]-ShoeSales[[#This Row],[Cost]]</f>
        <v>384</v>
      </c>
      <c r="R355" s="24">
        <f>ShoeSales[[#This Row],[Profit]]/ShoeSales[[#This Row],[Revenue]]</f>
        <v>0.42857142857142855</v>
      </c>
      <c r="S355" s="19"/>
      <c r="T355" s="19" t="str">
        <f>UPPER(TEXT(ShoeSales[[#This Row],[Date]], "mmm"))</f>
        <v>AUG</v>
      </c>
    </row>
    <row r="356" spans="1:20" ht="14.25" customHeight="1" x14ac:dyDescent="0.25">
      <c r="A356" s="14">
        <v>46034</v>
      </c>
      <c r="B356" s="6" t="s">
        <v>90</v>
      </c>
      <c r="C356" s="16" t="str">
        <f>TRIM(PROPER(ShoeSales[[#This Row],[Product]]))</f>
        <v>Loafers</v>
      </c>
      <c r="D356" s="6" t="s">
        <v>28</v>
      </c>
      <c r="E356" s="44" t="str">
        <f>UPPER(ShoeSales[[#This Row],[Category]])</f>
        <v>FORMAL</v>
      </c>
      <c r="F356" s="6" t="s">
        <v>49</v>
      </c>
      <c r="G356" s="6" t="s">
        <v>30</v>
      </c>
      <c r="H356" s="16" t="str">
        <f>PROPER(ShoeSales[[#This Row],[Brand]])</f>
        <v>Nike</v>
      </c>
      <c r="I356" s="6" t="s">
        <v>53</v>
      </c>
      <c r="J356" s="7">
        <v>13</v>
      </c>
      <c r="K356" s="6" t="s">
        <v>62</v>
      </c>
      <c r="L356" s="22">
        <f>VLOOKUP(ShoeSales[[#This Row],[Product Cleaned]],Price!$A$2:$C$9,2,FALSE)</f>
        <v>54</v>
      </c>
      <c r="M356" s="19">
        <f>_xlfn.XLOOKUP(ShoeSales[[#This Row],[Product Cleaned]],Price!$A$2:$A$9,Price!$B$2:$B$9)</f>
        <v>54</v>
      </c>
      <c r="N356" s="19">
        <f>_xlfn.XLOOKUP(ShoeSales[[#This Row],[Product Cleaned]],Price!$A$2:$A$9,Price!$C$2:$C$9)</f>
        <v>28</v>
      </c>
      <c r="O356" s="22">
        <f>ShoeSales[[#This Row],[Sell Price]]*ShoeSales[[#This Row],[Quantity]]</f>
        <v>702</v>
      </c>
      <c r="P356" s="19">
        <f>ShoeSales[[#This Row],[Quantity]]*ShoeSales[[#This Row],[Cost Price]]</f>
        <v>364</v>
      </c>
      <c r="Q356" s="19">
        <f>ShoeSales[[#This Row],[Revenue]]-ShoeSales[[#This Row],[Cost]]</f>
        <v>338</v>
      </c>
      <c r="R356" s="24">
        <f>ShoeSales[[#This Row],[Profit]]/ShoeSales[[#This Row],[Revenue]]</f>
        <v>0.48148148148148145</v>
      </c>
      <c r="S356" s="19"/>
      <c r="T356" s="19" t="str">
        <f>UPPER(TEXT(ShoeSales[[#This Row],[Date]], "mmm"))</f>
        <v>JAN</v>
      </c>
    </row>
    <row r="357" spans="1:20" ht="14.25" customHeight="1" x14ac:dyDescent="0.25">
      <c r="A357" s="15">
        <v>46218</v>
      </c>
      <c r="B357" s="9" t="s">
        <v>27</v>
      </c>
      <c r="C357" s="9" t="str">
        <f>TRIM(PROPER(ShoeSales[[#This Row],[Product]]))</f>
        <v>Monk Straps</v>
      </c>
      <c r="D357" s="9" t="s">
        <v>58</v>
      </c>
      <c r="E357" s="45" t="str">
        <f>UPPER(ShoeSales[[#This Row],[Category]])</f>
        <v>FORMAL</v>
      </c>
      <c r="F357" s="9" t="s">
        <v>56</v>
      </c>
      <c r="G357" s="9" t="s">
        <v>69</v>
      </c>
      <c r="H357" s="9" t="str">
        <f>PROPER(ShoeSales[[#This Row],[Brand]])</f>
        <v>Zara</v>
      </c>
      <c r="I357" s="9" t="s">
        <v>59</v>
      </c>
      <c r="J357" s="10">
        <v>6</v>
      </c>
      <c r="K357" s="9" t="s">
        <v>32</v>
      </c>
      <c r="L357" s="22">
        <f>VLOOKUP(ShoeSales[[#This Row],[Product Cleaned]],Price!$A$2:$C$9,2,FALSE)</f>
        <v>89</v>
      </c>
      <c r="M357" s="19">
        <f>_xlfn.XLOOKUP(ShoeSales[[#This Row],[Product Cleaned]],Price!$A$2:$A$9,Price!$B$2:$B$9)</f>
        <v>89</v>
      </c>
      <c r="N357" s="19">
        <f>_xlfn.XLOOKUP(ShoeSales[[#This Row],[Product Cleaned]],Price!$A$2:$A$9,Price!$C$2:$C$9)</f>
        <v>47</v>
      </c>
      <c r="O357" s="22">
        <f>ShoeSales[[#This Row],[Sell Price]]*ShoeSales[[#This Row],[Quantity]]</f>
        <v>534</v>
      </c>
      <c r="P357" s="19">
        <f>ShoeSales[[#This Row],[Quantity]]*ShoeSales[[#This Row],[Cost Price]]</f>
        <v>282</v>
      </c>
      <c r="Q357" s="19">
        <f>ShoeSales[[#This Row],[Revenue]]-ShoeSales[[#This Row],[Cost]]</f>
        <v>252</v>
      </c>
      <c r="R357" s="24">
        <f>ShoeSales[[#This Row],[Profit]]/ShoeSales[[#This Row],[Revenue]]</f>
        <v>0.47191011235955055</v>
      </c>
      <c r="S357" s="19"/>
      <c r="T357" s="19" t="str">
        <f>UPPER(TEXT(ShoeSales[[#This Row],[Date]], "mmm"))</f>
        <v>JUL</v>
      </c>
    </row>
    <row r="358" spans="1:20" ht="14.25" customHeight="1" x14ac:dyDescent="0.25">
      <c r="A358" s="14">
        <v>46126</v>
      </c>
      <c r="B358" s="6" t="s">
        <v>67</v>
      </c>
      <c r="C358" s="16" t="str">
        <f>TRIM(PROPER(ShoeSales[[#This Row],[Product]]))</f>
        <v>Oxford</v>
      </c>
      <c r="D358" s="6" t="s">
        <v>58</v>
      </c>
      <c r="E358" s="44" t="str">
        <f>UPPER(ShoeSales[[#This Row],[Category]])</f>
        <v>FORMAL</v>
      </c>
      <c r="F358" s="6" t="s">
        <v>56</v>
      </c>
      <c r="G358" s="6" t="s">
        <v>35</v>
      </c>
      <c r="H358" s="16" t="str">
        <f>PROPER(ShoeSales[[#This Row],[Brand]])</f>
        <v>Nike</v>
      </c>
      <c r="I358" s="6" t="s">
        <v>73</v>
      </c>
      <c r="J358" s="7">
        <v>5</v>
      </c>
      <c r="K358" s="6" t="s">
        <v>62</v>
      </c>
      <c r="L358" s="22">
        <f>VLOOKUP(ShoeSales[[#This Row],[Product Cleaned]],Price!$A$2:$C$9,2,FALSE)</f>
        <v>105</v>
      </c>
      <c r="M358" s="19">
        <f>_xlfn.XLOOKUP(ShoeSales[[#This Row],[Product Cleaned]],Price!$A$2:$A$9,Price!$B$2:$B$9)</f>
        <v>105</v>
      </c>
      <c r="N358" s="19">
        <f>_xlfn.XLOOKUP(ShoeSales[[#This Row],[Product Cleaned]],Price!$A$2:$A$9,Price!$C$2:$C$9)</f>
        <v>58</v>
      </c>
      <c r="O358" s="22">
        <f>ShoeSales[[#This Row],[Sell Price]]*ShoeSales[[#This Row],[Quantity]]</f>
        <v>525</v>
      </c>
      <c r="P358" s="19">
        <f>ShoeSales[[#This Row],[Quantity]]*ShoeSales[[#This Row],[Cost Price]]</f>
        <v>290</v>
      </c>
      <c r="Q358" s="19">
        <f>ShoeSales[[#This Row],[Revenue]]-ShoeSales[[#This Row],[Cost]]</f>
        <v>235</v>
      </c>
      <c r="R358" s="24">
        <f>ShoeSales[[#This Row],[Profit]]/ShoeSales[[#This Row],[Revenue]]</f>
        <v>0.44761904761904764</v>
      </c>
      <c r="S358" s="19"/>
      <c r="T358" s="19" t="str">
        <f>UPPER(TEXT(ShoeSales[[#This Row],[Date]], "mmm"))</f>
        <v>APR</v>
      </c>
    </row>
    <row r="359" spans="1:20" ht="14.25" customHeight="1" x14ac:dyDescent="0.25">
      <c r="A359" s="15">
        <v>46204</v>
      </c>
      <c r="B359" s="9" t="s">
        <v>7</v>
      </c>
      <c r="C359" s="9" t="str">
        <f>TRIM(PROPER(ShoeSales[[#This Row],[Product]]))</f>
        <v>Derby</v>
      </c>
      <c r="D359" s="9" t="s">
        <v>87</v>
      </c>
      <c r="E359" s="45" t="str">
        <f>UPPER(ShoeSales[[#This Row],[Category]])</f>
        <v>OPEN</v>
      </c>
      <c r="F359" s="9" t="s">
        <v>34</v>
      </c>
      <c r="G359" s="9" t="s">
        <v>50</v>
      </c>
      <c r="H359" s="9" t="str">
        <f>PROPER(ShoeSales[[#This Row],[Brand]])</f>
        <v>Nike</v>
      </c>
      <c r="I359" s="9" t="s">
        <v>78</v>
      </c>
      <c r="J359" s="10">
        <v>4</v>
      </c>
      <c r="K359" s="9" t="s">
        <v>62</v>
      </c>
      <c r="L359" s="22">
        <f>VLOOKUP(ShoeSales[[#This Row],[Product Cleaned]],Price!$A$2:$C$9,2,FALSE)</f>
        <v>32</v>
      </c>
      <c r="M359" s="19">
        <f>_xlfn.XLOOKUP(ShoeSales[[#This Row],[Product Cleaned]],Price!$A$2:$A$9,Price!$B$2:$B$9)</f>
        <v>32</v>
      </c>
      <c r="N359" s="19">
        <f>_xlfn.XLOOKUP(ShoeSales[[#This Row],[Product Cleaned]],Price!$A$2:$A$9,Price!$C$2:$C$9)</f>
        <v>14</v>
      </c>
      <c r="O359" s="22">
        <f>ShoeSales[[#This Row],[Sell Price]]*ShoeSales[[#This Row],[Quantity]]</f>
        <v>128</v>
      </c>
      <c r="P359" s="19">
        <f>ShoeSales[[#This Row],[Quantity]]*ShoeSales[[#This Row],[Cost Price]]</f>
        <v>56</v>
      </c>
      <c r="Q359" s="19">
        <f>ShoeSales[[#This Row],[Revenue]]-ShoeSales[[#This Row],[Cost]]</f>
        <v>72</v>
      </c>
      <c r="R359" s="24">
        <f>ShoeSales[[#This Row],[Profit]]/ShoeSales[[#This Row],[Revenue]]</f>
        <v>0.5625</v>
      </c>
      <c r="S359" s="19"/>
      <c r="T359" s="19" t="str">
        <f>UPPER(TEXT(ShoeSales[[#This Row],[Date]], "mmm"))</f>
        <v>JUL</v>
      </c>
    </row>
    <row r="360" spans="1:20" ht="14.25" customHeight="1" x14ac:dyDescent="0.25">
      <c r="A360" s="14">
        <v>46159</v>
      </c>
      <c r="B360" s="6" t="s">
        <v>27</v>
      </c>
      <c r="C360" s="16" t="str">
        <f>TRIM(PROPER(ShoeSales[[#This Row],[Product]]))</f>
        <v>Monk Straps</v>
      </c>
      <c r="D360" s="6" t="s">
        <v>42</v>
      </c>
      <c r="E360" s="44" t="str">
        <f>UPPER(ShoeSales[[#This Row],[Category]])</f>
        <v>UTILITY</v>
      </c>
      <c r="F360" s="6" t="s">
        <v>38</v>
      </c>
      <c r="G360" s="6" t="s">
        <v>46</v>
      </c>
      <c r="H360" s="16" t="str">
        <f>PROPER(ShoeSales[[#This Row],[Brand]])</f>
        <v>Clarks</v>
      </c>
      <c r="I360" s="6" t="s">
        <v>59</v>
      </c>
      <c r="J360" s="7">
        <v>3</v>
      </c>
      <c r="K360" s="6" t="s">
        <v>32</v>
      </c>
      <c r="L360" s="22">
        <f>VLOOKUP(ShoeSales[[#This Row],[Product Cleaned]],Price!$A$2:$C$9,2,FALSE)</f>
        <v>89</v>
      </c>
      <c r="M360" s="19">
        <f>_xlfn.XLOOKUP(ShoeSales[[#This Row],[Product Cleaned]],Price!$A$2:$A$9,Price!$B$2:$B$9)</f>
        <v>89</v>
      </c>
      <c r="N360" s="19">
        <f>_xlfn.XLOOKUP(ShoeSales[[#This Row],[Product Cleaned]],Price!$A$2:$A$9,Price!$C$2:$C$9)</f>
        <v>47</v>
      </c>
      <c r="O360" s="22">
        <f>ShoeSales[[#This Row],[Sell Price]]*ShoeSales[[#This Row],[Quantity]]</f>
        <v>267</v>
      </c>
      <c r="P360" s="19">
        <f>ShoeSales[[#This Row],[Quantity]]*ShoeSales[[#This Row],[Cost Price]]</f>
        <v>141</v>
      </c>
      <c r="Q360" s="19">
        <f>ShoeSales[[#This Row],[Revenue]]-ShoeSales[[#This Row],[Cost]]</f>
        <v>126</v>
      </c>
      <c r="R360" s="24">
        <f>ShoeSales[[#This Row],[Profit]]/ShoeSales[[#This Row],[Revenue]]</f>
        <v>0.47191011235955055</v>
      </c>
      <c r="S360" s="19"/>
      <c r="T360" s="19" t="str">
        <f>UPPER(TEXT(ShoeSales[[#This Row],[Date]], "mmm"))</f>
        <v>MAY</v>
      </c>
    </row>
    <row r="361" spans="1:20" ht="14.25" customHeight="1" x14ac:dyDescent="0.25">
      <c r="A361" s="15">
        <v>46130</v>
      </c>
      <c r="B361" s="9" t="s">
        <v>88</v>
      </c>
      <c r="C361" s="9" t="str">
        <f>TRIM(PROPER(ShoeSales[[#This Row],[Product]]))</f>
        <v>Slippers</v>
      </c>
      <c r="D361" s="9" t="s">
        <v>28</v>
      </c>
      <c r="E361" s="45" t="str">
        <f>UPPER(ShoeSales[[#This Row],[Category]])</f>
        <v>FORMAL</v>
      </c>
      <c r="F361" s="9" t="s">
        <v>49</v>
      </c>
      <c r="G361" s="9" t="s">
        <v>46</v>
      </c>
      <c r="H361" s="9" t="str">
        <f>PROPER(ShoeSales[[#This Row],[Brand]])</f>
        <v>Clarks</v>
      </c>
      <c r="I361" s="9" t="s">
        <v>53</v>
      </c>
      <c r="J361" s="10">
        <v>5</v>
      </c>
      <c r="K361" s="9" t="s">
        <v>36</v>
      </c>
      <c r="L361" s="22">
        <f>VLOOKUP(ShoeSales[[#This Row],[Product Cleaned]],Price!$A$2:$C$9,2,FALSE)</f>
        <v>119</v>
      </c>
      <c r="M361" s="19">
        <f>_xlfn.XLOOKUP(ShoeSales[[#This Row],[Product Cleaned]],Price!$A$2:$A$9,Price!$B$2:$B$9)</f>
        <v>119</v>
      </c>
      <c r="N361" s="19">
        <f>_xlfn.XLOOKUP(ShoeSales[[#This Row],[Product Cleaned]],Price!$A$2:$A$9,Price!$C$2:$C$9)</f>
        <v>67</v>
      </c>
      <c r="O361" s="22">
        <f>ShoeSales[[#This Row],[Sell Price]]*ShoeSales[[#This Row],[Quantity]]</f>
        <v>595</v>
      </c>
      <c r="P361" s="19">
        <f>ShoeSales[[#This Row],[Quantity]]*ShoeSales[[#This Row],[Cost Price]]</f>
        <v>335</v>
      </c>
      <c r="Q361" s="19">
        <f>ShoeSales[[#This Row],[Revenue]]-ShoeSales[[#This Row],[Cost]]</f>
        <v>260</v>
      </c>
      <c r="R361" s="24">
        <f>ShoeSales[[#This Row],[Profit]]/ShoeSales[[#This Row],[Revenue]]</f>
        <v>0.43697478991596639</v>
      </c>
      <c r="S361" s="19"/>
      <c r="T361" s="19" t="str">
        <f>UPPER(TEXT(ShoeSales[[#This Row],[Date]], "mmm"))</f>
        <v>APR</v>
      </c>
    </row>
    <row r="362" spans="1:20" ht="14.25" customHeight="1" x14ac:dyDescent="0.25">
      <c r="A362" s="14">
        <v>46224</v>
      </c>
      <c r="B362" s="6" t="s">
        <v>76</v>
      </c>
      <c r="C362" s="16" t="str">
        <f>TRIM(PROPER(ShoeSales[[#This Row],[Product]]))</f>
        <v>Derby</v>
      </c>
      <c r="D362" s="6" t="s">
        <v>58</v>
      </c>
      <c r="E362" s="44" t="str">
        <f>UPPER(ShoeSales[[#This Row],[Category]])</f>
        <v>FORMAL</v>
      </c>
      <c r="F362" s="6" t="s">
        <v>38</v>
      </c>
      <c r="G362" s="6" t="s">
        <v>82</v>
      </c>
      <c r="H362" s="16" t="str">
        <f>PROPER(ShoeSales[[#This Row],[Brand]])</f>
        <v>Zara</v>
      </c>
      <c r="I362" s="6" t="s">
        <v>51</v>
      </c>
      <c r="J362" s="7">
        <v>4</v>
      </c>
      <c r="K362" s="6" t="s">
        <v>36</v>
      </c>
      <c r="L362" s="22">
        <f>VLOOKUP(ShoeSales[[#This Row],[Product Cleaned]],Price!$A$2:$C$9,2,FALSE)</f>
        <v>32</v>
      </c>
      <c r="M362" s="19">
        <f>_xlfn.XLOOKUP(ShoeSales[[#This Row],[Product Cleaned]],Price!$A$2:$A$9,Price!$B$2:$B$9)</f>
        <v>32</v>
      </c>
      <c r="N362" s="19">
        <f>_xlfn.XLOOKUP(ShoeSales[[#This Row],[Product Cleaned]],Price!$A$2:$A$9,Price!$C$2:$C$9)</f>
        <v>14</v>
      </c>
      <c r="O362" s="22">
        <f>ShoeSales[[#This Row],[Sell Price]]*ShoeSales[[#This Row],[Quantity]]</f>
        <v>128</v>
      </c>
      <c r="P362" s="19">
        <f>ShoeSales[[#This Row],[Quantity]]*ShoeSales[[#This Row],[Cost Price]]</f>
        <v>56</v>
      </c>
      <c r="Q362" s="19">
        <f>ShoeSales[[#This Row],[Revenue]]-ShoeSales[[#This Row],[Cost]]</f>
        <v>72</v>
      </c>
      <c r="R362" s="24">
        <f>ShoeSales[[#This Row],[Profit]]/ShoeSales[[#This Row],[Revenue]]</f>
        <v>0.5625</v>
      </c>
      <c r="S362" s="19"/>
      <c r="T362" s="19" t="str">
        <f>UPPER(TEXT(ShoeSales[[#This Row],[Date]], "mmm"))</f>
        <v>JUL</v>
      </c>
    </row>
    <row r="363" spans="1:20" ht="14.25" customHeight="1" x14ac:dyDescent="0.25">
      <c r="A363" s="15">
        <v>46242</v>
      </c>
      <c r="B363" s="9" t="s">
        <v>76</v>
      </c>
      <c r="C363" s="9" t="str">
        <f>TRIM(PROPER(ShoeSales[[#This Row],[Product]]))</f>
        <v>Derby</v>
      </c>
      <c r="D363" s="9" t="s">
        <v>77</v>
      </c>
      <c r="E363" s="45" t="str">
        <f>UPPER(ShoeSales[[#This Row],[Category]])</f>
        <v>CASUAL</v>
      </c>
      <c r="F363" s="9" t="s">
        <v>56</v>
      </c>
      <c r="G363" s="9" t="s">
        <v>46</v>
      </c>
      <c r="H363" s="9" t="str">
        <f>PROPER(ShoeSales[[#This Row],[Brand]])</f>
        <v>Clarks</v>
      </c>
      <c r="I363" s="9" t="s">
        <v>53</v>
      </c>
      <c r="J363" s="10">
        <v>7</v>
      </c>
      <c r="K363" s="9" t="s">
        <v>36</v>
      </c>
      <c r="L363" s="22">
        <f>VLOOKUP(ShoeSales[[#This Row],[Product Cleaned]],Price!$A$2:$C$9,2,FALSE)</f>
        <v>32</v>
      </c>
      <c r="M363" s="19">
        <f>_xlfn.XLOOKUP(ShoeSales[[#This Row],[Product Cleaned]],Price!$A$2:$A$9,Price!$B$2:$B$9)</f>
        <v>32</v>
      </c>
      <c r="N363" s="19">
        <f>_xlfn.XLOOKUP(ShoeSales[[#This Row],[Product Cleaned]],Price!$A$2:$A$9,Price!$C$2:$C$9)</f>
        <v>14</v>
      </c>
      <c r="O363" s="22">
        <f>ShoeSales[[#This Row],[Sell Price]]*ShoeSales[[#This Row],[Quantity]]</f>
        <v>224</v>
      </c>
      <c r="P363" s="19">
        <f>ShoeSales[[#This Row],[Quantity]]*ShoeSales[[#This Row],[Cost Price]]</f>
        <v>98</v>
      </c>
      <c r="Q363" s="19">
        <f>ShoeSales[[#This Row],[Revenue]]-ShoeSales[[#This Row],[Cost]]</f>
        <v>126</v>
      </c>
      <c r="R363" s="24">
        <f>ShoeSales[[#This Row],[Profit]]/ShoeSales[[#This Row],[Revenue]]</f>
        <v>0.5625</v>
      </c>
      <c r="S363" s="19"/>
      <c r="T363" s="19" t="str">
        <f>UPPER(TEXT(ShoeSales[[#This Row],[Date]], "mmm"))</f>
        <v>AUG</v>
      </c>
    </row>
    <row r="364" spans="1:20" ht="14.25" customHeight="1" x14ac:dyDescent="0.25">
      <c r="A364" s="14">
        <v>46114</v>
      </c>
      <c r="B364" s="6" t="s">
        <v>90</v>
      </c>
      <c r="C364" s="16" t="str">
        <f>TRIM(PROPER(ShoeSales[[#This Row],[Product]]))</f>
        <v>Loafers</v>
      </c>
      <c r="D364" s="6" t="s">
        <v>42</v>
      </c>
      <c r="E364" s="44" t="str">
        <f>UPPER(ShoeSales[[#This Row],[Category]])</f>
        <v>UTILITY</v>
      </c>
      <c r="F364" s="6" t="s">
        <v>38</v>
      </c>
      <c r="G364" s="6" t="s">
        <v>46</v>
      </c>
      <c r="H364" s="16" t="str">
        <f>PROPER(ShoeSales[[#This Row],[Brand]])</f>
        <v>Clarks</v>
      </c>
      <c r="I364" s="6" t="s">
        <v>53</v>
      </c>
      <c r="J364" s="7">
        <v>6</v>
      </c>
      <c r="K364" s="6" t="s">
        <v>36</v>
      </c>
      <c r="L364" s="22">
        <f>VLOOKUP(ShoeSales[[#This Row],[Product Cleaned]],Price!$A$2:$C$9,2,FALSE)</f>
        <v>54</v>
      </c>
      <c r="M364" s="19">
        <f>_xlfn.XLOOKUP(ShoeSales[[#This Row],[Product Cleaned]],Price!$A$2:$A$9,Price!$B$2:$B$9)</f>
        <v>54</v>
      </c>
      <c r="N364" s="19">
        <f>_xlfn.XLOOKUP(ShoeSales[[#This Row],[Product Cleaned]],Price!$A$2:$A$9,Price!$C$2:$C$9)</f>
        <v>28</v>
      </c>
      <c r="O364" s="22">
        <f>ShoeSales[[#This Row],[Sell Price]]*ShoeSales[[#This Row],[Quantity]]</f>
        <v>324</v>
      </c>
      <c r="P364" s="19">
        <f>ShoeSales[[#This Row],[Quantity]]*ShoeSales[[#This Row],[Cost Price]]</f>
        <v>168</v>
      </c>
      <c r="Q364" s="19">
        <f>ShoeSales[[#This Row],[Revenue]]-ShoeSales[[#This Row],[Cost]]</f>
        <v>156</v>
      </c>
      <c r="R364" s="24">
        <f>ShoeSales[[#This Row],[Profit]]/ShoeSales[[#This Row],[Revenue]]</f>
        <v>0.48148148148148145</v>
      </c>
      <c r="S364" s="19"/>
      <c r="T364" s="19" t="str">
        <f>UPPER(TEXT(ShoeSales[[#This Row],[Date]], "mmm"))</f>
        <v>APR</v>
      </c>
    </row>
    <row r="365" spans="1:20" ht="14.25" customHeight="1" x14ac:dyDescent="0.25">
      <c r="A365" s="15">
        <v>46231</v>
      </c>
      <c r="B365" s="9" t="s">
        <v>7</v>
      </c>
      <c r="C365" s="9" t="str">
        <f>TRIM(PROPER(ShoeSales[[#This Row],[Product]]))</f>
        <v>Derby</v>
      </c>
      <c r="D365" s="9" t="s">
        <v>37</v>
      </c>
      <c r="E365" s="45" t="str">
        <f>UPPER(ShoeSales[[#This Row],[Category]])</f>
        <v>FORMAL</v>
      </c>
      <c r="F365" s="9" t="s">
        <v>56</v>
      </c>
      <c r="G365" s="9" t="s">
        <v>82</v>
      </c>
      <c r="H365" s="9" t="str">
        <f>PROPER(ShoeSales[[#This Row],[Brand]])</f>
        <v>Zara</v>
      </c>
      <c r="I365" s="9" t="s">
        <v>61</v>
      </c>
      <c r="J365" s="10">
        <v>7</v>
      </c>
      <c r="K365" s="9" t="s">
        <v>54</v>
      </c>
      <c r="L365" s="22">
        <f>VLOOKUP(ShoeSales[[#This Row],[Product Cleaned]],Price!$A$2:$C$9,2,FALSE)</f>
        <v>32</v>
      </c>
      <c r="M365" s="19">
        <f>_xlfn.XLOOKUP(ShoeSales[[#This Row],[Product Cleaned]],Price!$A$2:$A$9,Price!$B$2:$B$9)</f>
        <v>32</v>
      </c>
      <c r="N365" s="19">
        <f>_xlfn.XLOOKUP(ShoeSales[[#This Row],[Product Cleaned]],Price!$A$2:$A$9,Price!$C$2:$C$9)</f>
        <v>14</v>
      </c>
      <c r="O365" s="22">
        <f>ShoeSales[[#This Row],[Sell Price]]*ShoeSales[[#This Row],[Quantity]]</f>
        <v>224</v>
      </c>
      <c r="P365" s="19">
        <f>ShoeSales[[#This Row],[Quantity]]*ShoeSales[[#This Row],[Cost Price]]</f>
        <v>98</v>
      </c>
      <c r="Q365" s="19">
        <f>ShoeSales[[#This Row],[Revenue]]-ShoeSales[[#This Row],[Cost]]</f>
        <v>126</v>
      </c>
      <c r="R365" s="24">
        <f>ShoeSales[[#This Row],[Profit]]/ShoeSales[[#This Row],[Revenue]]</f>
        <v>0.5625</v>
      </c>
      <c r="S365" s="19"/>
      <c r="T365" s="19" t="str">
        <f>UPPER(TEXT(ShoeSales[[#This Row],[Date]], "mmm"))</f>
        <v>JUL</v>
      </c>
    </row>
    <row r="366" spans="1:20" ht="14.25" customHeight="1" x14ac:dyDescent="0.25">
      <c r="A366" s="14">
        <v>46087</v>
      </c>
      <c r="B366" s="6" t="s">
        <v>6</v>
      </c>
      <c r="C366" s="16" t="str">
        <f>TRIM(PROPER(ShoeSales[[#This Row],[Product]]))</f>
        <v>Loafers</v>
      </c>
      <c r="D366" s="6" t="s">
        <v>28</v>
      </c>
      <c r="E366" s="44" t="str">
        <f>UPPER(ShoeSales[[#This Row],[Category]])</f>
        <v>FORMAL</v>
      </c>
      <c r="F366" s="6" t="s">
        <v>49</v>
      </c>
      <c r="G366" s="6" t="s">
        <v>75</v>
      </c>
      <c r="H366" s="16" t="str">
        <f>PROPER(ShoeSales[[#This Row],[Brand]])</f>
        <v>Steve Madden</v>
      </c>
      <c r="I366" s="6" t="s">
        <v>64</v>
      </c>
      <c r="J366" s="7">
        <v>12</v>
      </c>
      <c r="K366" s="6" t="s">
        <v>32</v>
      </c>
      <c r="L366" s="22">
        <f>VLOOKUP(ShoeSales[[#This Row],[Product Cleaned]],Price!$A$2:$C$9,2,FALSE)</f>
        <v>54</v>
      </c>
      <c r="M366" s="19">
        <f>_xlfn.XLOOKUP(ShoeSales[[#This Row],[Product Cleaned]],Price!$A$2:$A$9,Price!$B$2:$B$9)</f>
        <v>54</v>
      </c>
      <c r="N366" s="19">
        <f>_xlfn.XLOOKUP(ShoeSales[[#This Row],[Product Cleaned]],Price!$A$2:$A$9,Price!$C$2:$C$9)</f>
        <v>28</v>
      </c>
      <c r="O366" s="22">
        <f>ShoeSales[[#This Row],[Sell Price]]*ShoeSales[[#This Row],[Quantity]]</f>
        <v>648</v>
      </c>
      <c r="P366" s="19">
        <f>ShoeSales[[#This Row],[Quantity]]*ShoeSales[[#This Row],[Cost Price]]</f>
        <v>336</v>
      </c>
      <c r="Q366" s="19">
        <f>ShoeSales[[#This Row],[Revenue]]-ShoeSales[[#This Row],[Cost]]</f>
        <v>312</v>
      </c>
      <c r="R366" s="24">
        <f>ShoeSales[[#This Row],[Profit]]/ShoeSales[[#This Row],[Revenue]]</f>
        <v>0.48148148148148145</v>
      </c>
      <c r="S366" s="19"/>
      <c r="T366" s="19" t="str">
        <f>UPPER(TEXT(ShoeSales[[#This Row],[Date]], "mmm"))</f>
        <v>MAR</v>
      </c>
    </row>
    <row r="367" spans="1:20" ht="14.25" customHeight="1" x14ac:dyDescent="0.25">
      <c r="A367" s="15">
        <v>46228</v>
      </c>
      <c r="B367" s="9" t="s">
        <v>68</v>
      </c>
      <c r="C367" s="9" t="str">
        <f>TRIM(PROPER(ShoeSales[[#This Row],[Product]]))</f>
        <v>Slippers</v>
      </c>
      <c r="D367" s="9" t="s">
        <v>71</v>
      </c>
      <c r="E367" s="45" t="str">
        <f>UPPER(ShoeSales[[#This Row],[Category]])</f>
        <v>CASUAL</v>
      </c>
      <c r="F367" s="9" t="s">
        <v>38</v>
      </c>
      <c r="G367" s="9" t="s">
        <v>72</v>
      </c>
      <c r="H367" s="9" t="str">
        <f>PROPER(ShoeSales[[#This Row],[Brand]])</f>
        <v>Zara</v>
      </c>
      <c r="I367" s="9" t="s">
        <v>64</v>
      </c>
      <c r="J367" s="10">
        <v>10</v>
      </c>
      <c r="K367" s="9" t="s">
        <v>62</v>
      </c>
      <c r="L367" s="22">
        <f>VLOOKUP(ShoeSales[[#This Row],[Product Cleaned]],Price!$A$2:$C$9,2,FALSE)</f>
        <v>119</v>
      </c>
      <c r="M367" s="19">
        <f>_xlfn.XLOOKUP(ShoeSales[[#This Row],[Product Cleaned]],Price!$A$2:$A$9,Price!$B$2:$B$9)</f>
        <v>119</v>
      </c>
      <c r="N367" s="19">
        <f>_xlfn.XLOOKUP(ShoeSales[[#This Row],[Product Cleaned]],Price!$A$2:$A$9,Price!$C$2:$C$9)</f>
        <v>67</v>
      </c>
      <c r="O367" s="22">
        <f>ShoeSales[[#This Row],[Sell Price]]*ShoeSales[[#This Row],[Quantity]]</f>
        <v>1190</v>
      </c>
      <c r="P367" s="19">
        <f>ShoeSales[[#This Row],[Quantity]]*ShoeSales[[#This Row],[Cost Price]]</f>
        <v>670</v>
      </c>
      <c r="Q367" s="19">
        <f>ShoeSales[[#This Row],[Revenue]]-ShoeSales[[#This Row],[Cost]]</f>
        <v>520</v>
      </c>
      <c r="R367" s="24">
        <f>ShoeSales[[#This Row],[Profit]]/ShoeSales[[#This Row],[Revenue]]</f>
        <v>0.43697478991596639</v>
      </c>
      <c r="S367" s="19"/>
      <c r="T367" s="19" t="str">
        <f>UPPER(TEXT(ShoeSales[[#This Row],[Date]], "mmm"))</f>
        <v>JUL</v>
      </c>
    </row>
    <row r="368" spans="1:20" ht="14.25" customHeight="1" x14ac:dyDescent="0.25">
      <c r="A368" s="14">
        <v>46223</v>
      </c>
      <c r="B368" s="6" t="s">
        <v>6</v>
      </c>
      <c r="C368" s="16" t="str">
        <f>TRIM(PROPER(ShoeSales[[#This Row],[Product]]))</f>
        <v>Loafers</v>
      </c>
      <c r="D368" s="6" t="s">
        <v>58</v>
      </c>
      <c r="E368" s="44" t="str">
        <f>UPPER(ShoeSales[[#This Row],[Category]])</f>
        <v>FORMAL</v>
      </c>
      <c r="F368" s="6" t="s">
        <v>56</v>
      </c>
      <c r="G368" s="6" t="s">
        <v>63</v>
      </c>
      <c r="H368" s="16" t="str">
        <f>PROPER(ShoeSales[[#This Row],[Brand]])</f>
        <v>Clarks</v>
      </c>
      <c r="I368" s="6" t="s">
        <v>47</v>
      </c>
      <c r="J368" s="7">
        <v>6</v>
      </c>
      <c r="K368" s="6" t="s">
        <v>36</v>
      </c>
      <c r="L368" s="22">
        <f>VLOOKUP(ShoeSales[[#This Row],[Product Cleaned]],Price!$A$2:$C$9,2,FALSE)</f>
        <v>54</v>
      </c>
      <c r="M368" s="19">
        <f>_xlfn.XLOOKUP(ShoeSales[[#This Row],[Product Cleaned]],Price!$A$2:$A$9,Price!$B$2:$B$9)</f>
        <v>54</v>
      </c>
      <c r="N368" s="19">
        <f>_xlfn.XLOOKUP(ShoeSales[[#This Row],[Product Cleaned]],Price!$A$2:$A$9,Price!$C$2:$C$9)</f>
        <v>28</v>
      </c>
      <c r="O368" s="22">
        <f>ShoeSales[[#This Row],[Sell Price]]*ShoeSales[[#This Row],[Quantity]]</f>
        <v>324</v>
      </c>
      <c r="P368" s="19">
        <f>ShoeSales[[#This Row],[Quantity]]*ShoeSales[[#This Row],[Cost Price]]</f>
        <v>168</v>
      </c>
      <c r="Q368" s="19">
        <f>ShoeSales[[#This Row],[Revenue]]-ShoeSales[[#This Row],[Cost]]</f>
        <v>156</v>
      </c>
      <c r="R368" s="24">
        <f>ShoeSales[[#This Row],[Profit]]/ShoeSales[[#This Row],[Revenue]]</f>
        <v>0.48148148148148145</v>
      </c>
      <c r="S368" s="19"/>
      <c r="T368" s="19" t="str">
        <f>UPPER(TEXT(ShoeSales[[#This Row],[Date]], "mmm"))</f>
        <v>JUL</v>
      </c>
    </row>
    <row r="369" spans="1:20" ht="14.25" customHeight="1" x14ac:dyDescent="0.25">
      <c r="A369" s="15">
        <v>46106</v>
      </c>
      <c r="B369" s="9" t="s">
        <v>70</v>
      </c>
      <c r="C369" s="9" t="str">
        <f>TRIM(PROPER(ShoeSales[[#This Row],[Product]]))</f>
        <v>Derby</v>
      </c>
      <c r="D369" s="9" t="s">
        <v>58</v>
      </c>
      <c r="E369" s="45" t="str">
        <f>UPPER(ShoeSales[[#This Row],[Category]])</f>
        <v>FORMAL</v>
      </c>
      <c r="F369" s="9" t="s">
        <v>49</v>
      </c>
      <c r="G369" s="9" t="s">
        <v>57</v>
      </c>
      <c r="H369" s="9" t="str">
        <f>PROPER(ShoeSales[[#This Row],[Brand]])</f>
        <v>Timberland</v>
      </c>
      <c r="I369" s="9" t="s">
        <v>47</v>
      </c>
      <c r="J369" s="10">
        <v>15</v>
      </c>
      <c r="K369" s="9" t="s">
        <v>54</v>
      </c>
      <c r="L369" s="22">
        <f>VLOOKUP(ShoeSales[[#This Row],[Product Cleaned]],Price!$A$2:$C$9,2,FALSE)</f>
        <v>32</v>
      </c>
      <c r="M369" s="19">
        <f>_xlfn.XLOOKUP(ShoeSales[[#This Row],[Product Cleaned]],Price!$A$2:$A$9,Price!$B$2:$B$9)</f>
        <v>32</v>
      </c>
      <c r="N369" s="19">
        <f>_xlfn.XLOOKUP(ShoeSales[[#This Row],[Product Cleaned]],Price!$A$2:$A$9,Price!$C$2:$C$9)</f>
        <v>14</v>
      </c>
      <c r="O369" s="22">
        <f>ShoeSales[[#This Row],[Sell Price]]*ShoeSales[[#This Row],[Quantity]]</f>
        <v>480</v>
      </c>
      <c r="P369" s="19">
        <f>ShoeSales[[#This Row],[Quantity]]*ShoeSales[[#This Row],[Cost Price]]</f>
        <v>210</v>
      </c>
      <c r="Q369" s="19">
        <f>ShoeSales[[#This Row],[Revenue]]-ShoeSales[[#This Row],[Cost]]</f>
        <v>270</v>
      </c>
      <c r="R369" s="24">
        <f>ShoeSales[[#This Row],[Profit]]/ShoeSales[[#This Row],[Revenue]]</f>
        <v>0.5625</v>
      </c>
      <c r="S369" s="19"/>
      <c r="T369" s="19" t="str">
        <f>UPPER(TEXT(ShoeSales[[#This Row],[Date]], "mmm"))</f>
        <v>MAR</v>
      </c>
    </row>
    <row r="370" spans="1:20" ht="14.25" customHeight="1" x14ac:dyDescent="0.25">
      <c r="A370" s="14">
        <v>46050</v>
      </c>
      <c r="B370" s="6" t="s">
        <v>92</v>
      </c>
      <c r="C370" s="16" t="str">
        <f>TRIM(PROPER(ShoeSales[[#This Row],[Product]]))</f>
        <v>Canvas</v>
      </c>
      <c r="D370" s="6" t="s">
        <v>28</v>
      </c>
      <c r="E370" s="44" t="str">
        <f>UPPER(ShoeSales[[#This Row],[Category]])</f>
        <v>FORMAL</v>
      </c>
      <c r="F370" s="6" t="s">
        <v>29</v>
      </c>
      <c r="G370" s="6" t="s">
        <v>75</v>
      </c>
      <c r="H370" s="16" t="str">
        <f>PROPER(ShoeSales[[#This Row],[Brand]])</f>
        <v>Steve Madden</v>
      </c>
      <c r="I370" s="6" t="s">
        <v>78</v>
      </c>
      <c r="J370" s="7">
        <v>3</v>
      </c>
      <c r="K370" s="6" t="s">
        <v>62</v>
      </c>
      <c r="L370" s="22">
        <f>VLOOKUP(ShoeSales[[#This Row],[Product Cleaned]],Price!$A$2:$C$9,2,FALSE)</f>
        <v>128</v>
      </c>
      <c r="M370" s="19">
        <f>_xlfn.XLOOKUP(ShoeSales[[#This Row],[Product Cleaned]],Price!$A$2:$A$9,Price!$B$2:$B$9)</f>
        <v>128</v>
      </c>
      <c r="N370" s="19">
        <f>_xlfn.XLOOKUP(ShoeSales[[#This Row],[Product Cleaned]],Price!$A$2:$A$9,Price!$C$2:$C$9)</f>
        <v>72</v>
      </c>
      <c r="O370" s="22">
        <f>ShoeSales[[#This Row],[Sell Price]]*ShoeSales[[#This Row],[Quantity]]</f>
        <v>384</v>
      </c>
      <c r="P370" s="19">
        <f>ShoeSales[[#This Row],[Quantity]]*ShoeSales[[#This Row],[Cost Price]]</f>
        <v>216</v>
      </c>
      <c r="Q370" s="19">
        <f>ShoeSales[[#This Row],[Revenue]]-ShoeSales[[#This Row],[Cost]]</f>
        <v>168</v>
      </c>
      <c r="R370" s="24">
        <f>ShoeSales[[#This Row],[Profit]]/ShoeSales[[#This Row],[Revenue]]</f>
        <v>0.4375</v>
      </c>
      <c r="S370" s="19"/>
      <c r="T370" s="19" t="str">
        <f>UPPER(TEXT(ShoeSales[[#This Row],[Date]], "mmm"))</f>
        <v>JAN</v>
      </c>
    </row>
    <row r="371" spans="1:20" ht="14.25" customHeight="1" x14ac:dyDescent="0.25">
      <c r="A371" s="15">
        <v>46117</v>
      </c>
      <c r="B371" s="9" t="s">
        <v>88</v>
      </c>
      <c r="C371" s="9" t="str">
        <f>TRIM(PROPER(ShoeSales[[#This Row],[Product]]))</f>
        <v>Slippers</v>
      </c>
      <c r="D371" s="9" t="s">
        <v>71</v>
      </c>
      <c r="E371" s="45" t="str">
        <f>UPPER(ShoeSales[[#This Row],[Category]])</f>
        <v>CASUAL</v>
      </c>
      <c r="F371" s="9" t="s">
        <v>34</v>
      </c>
      <c r="G371" s="9" t="s">
        <v>95</v>
      </c>
      <c r="H371" s="9" t="str">
        <f>PROPER(ShoeSales[[#This Row],[Brand]])</f>
        <v>Timberland</v>
      </c>
      <c r="I371" s="9" t="s">
        <v>43</v>
      </c>
      <c r="J371" s="10">
        <v>1</v>
      </c>
      <c r="K371" s="9" t="s">
        <v>36</v>
      </c>
      <c r="L371" s="22">
        <f>VLOOKUP(ShoeSales[[#This Row],[Product Cleaned]],Price!$A$2:$C$9,2,FALSE)</f>
        <v>119</v>
      </c>
      <c r="M371" s="19">
        <f>_xlfn.XLOOKUP(ShoeSales[[#This Row],[Product Cleaned]],Price!$A$2:$A$9,Price!$B$2:$B$9)</f>
        <v>119</v>
      </c>
      <c r="N371" s="19">
        <f>_xlfn.XLOOKUP(ShoeSales[[#This Row],[Product Cleaned]],Price!$A$2:$A$9,Price!$C$2:$C$9)</f>
        <v>67</v>
      </c>
      <c r="O371" s="22">
        <f>ShoeSales[[#This Row],[Sell Price]]*ShoeSales[[#This Row],[Quantity]]</f>
        <v>119</v>
      </c>
      <c r="P371" s="19">
        <f>ShoeSales[[#This Row],[Quantity]]*ShoeSales[[#This Row],[Cost Price]]</f>
        <v>67</v>
      </c>
      <c r="Q371" s="19">
        <f>ShoeSales[[#This Row],[Revenue]]-ShoeSales[[#This Row],[Cost]]</f>
        <v>52</v>
      </c>
      <c r="R371" s="24">
        <f>ShoeSales[[#This Row],[Profit]]/ShoeSales[[#This Row],[Revenue]]</f>
        <v>0.43697478991596639</v>
      </c>
      <c r="S371" s="19"/>
      <c r="T371" s="19" t="str">
        <f>UPPER(TEXT(ShoeSales[[#This Row],[Date]], "mmm"))</f>
        <v>APR</v>
      </c>
    </row>
    <row r="372" spans="1:20" ht="14.25" customHeight="1" x14ac:dyDescent="0.25">
      <c r="A372" s="14">
        <v>46246</v>
      </c>
      <c r="B372" s="6" t="s">
        <v>9</v>
      </c>
      <c r="C372" s="16" t="str">
        <f>TRIM(PROPER(ShoeSales[[#This Row],[Product]]))</f>
        <v>Canvas</v>
      </c>
      <c r="D372" s="6" t="s">
        <v>37</v>
      </c>
      <c r="E372" s="44" t="str">
        <f>UPPER(ShoeSales[[#This Row],[Category]])</f>
        <v>FORMAL</v>
      </c>
      <c r="F372" s="6" t="s">
        <v>34</v>
      </c>
      <c r="G372" s="6" t="s">
        <v>46</v>
      </c>
      <c r="H372" s="16" t="str">
        <f>PROPER(ShoeSales[[#This Row],[Brand]])</f>
        <v>Clarks</v>
      </c>
      <c r="I372" s="6" t="s">
        <v>64</v>
      </c>
      <c r="J372" s="7">
        <v>9</v>
      </c>
      <c r="K372" s="6" t="s">
        <v>32</v>
      </c>
      <c r="L372" s="22">
        <f>VLOOKUP(ShoeSales[[#This Row],[Product Cleaned]],Price!$A$2:$C$9,2,FALSE)</f>
        <v>128</v>
      </c>
      <c r="M372" s="19">
        <f>_xlfn.XLOOKUP(ShoeSales[[#This Row],[Product Cleaned]],Price!$A$2:$A$9,Price!$B$2:$B$9)</f>
        <v>128</v>
      </c>
      <c r="N372" s="19">
        <f>_xlfn.XLOOKUP(ShoeSales[[#This Row],[Product Cleaned]],Price!$A$2:$A$9,Price!$C$2:$C$9)</f>
        <v>72</v>
      </c>
      <c r="O372" s="22">
        <f>ShoeSales[[#This Row],[Sell Price]]*ShoeSales[[#This Row],[Quantity]]</f>
        <v>1152</v>
      </c>
      <c r="P372" s="19">
        <f>ShoeSales[[#This Row],[Quantity]]*ShoeSales[[#This Row],[Cost Price]]</f>
        <v>648</v>
      </c>
      <c r="Q372" s="19">
        <f>ShoeSales[[#This Row],[Revenue]]-ShoeSales[[#This Row],[Cost]]</f>
        <v>504</v>
      </c>
      <c r="R372" s="24">
        <f>ShoeSales[[#This Row],[Profit]]/ShoeSales[[#This Row],[Revenue]]</f>
        <v>0.4375</v>
      </c>
      <c r="S372" s="19"/>
      <c r="T372" s="19" t="str">
        <f>UPPER(TEXT(ShoeSales[[#This Row],[Date]], "mmm"))</f>
        <v>AUG</v>
      </c>
    </row>
    <row r="373" spans="1:20" ht="14.25" customHeight="1" x14ac:dyDescent="0.25">
      <c r="A373" s="15">
        <v>46199</v>
      </c>
      <c r="B373" s="9" t="s">
        <v>10</v>
      </c>
      <c r="C373" s="9" t="str">
        <f>TRIM(PROPER(ShoeSales[[#This Row],[Product]]))</f>
        <v>Oxford</v>
      </c>
      <c r="D373" s="9" t="s">
        <v>28</v>
      </c>
      <c r="E373" s="45" t="str">
        <f>UPPER(ShoeSales[[#This Row],[Category]])</f>
        <v>FORMAL</v>
      </c>
      <c r="F373" s="9" t="s">
        <v>29</v>
      </c>
      <c r="G373" s="9" t="s">
        <v>69</v>
      </c>
      <c r="H373" s="9" t="str">
        <f>PROPER(ShoeSales[[#This Row],[Brand]])</f>
        <v>Zara</v>
      </c>
      <c r="I373" s="9" t="s">
        <v>73</v>
      </c>
      <c r="J373" s="10">
        <v>7</v>
      </c>
      <c r="K373" s="9" t="s">
        <v>36</v>
      </c>
      <c r="L373" s="22">
        <f>VLOOKUP(ShoeSales[[#This Row],[Product Cleaned]],Price!$A$2:$C$9,2,FALSE)</f>
        <v>105</v>
      </c>
      <c r="M373" s="19">
        <f>_xlfn.XLOOKUP(ShoeSales[[#This Row],[Product Cleaned]],Price!$A$2:$A$9,Price!$B$2:$B$9)</f>
        <v>105</v>
      </c>
      <c r="N373" s="19">
        <f>_xlfn.XLOOKUP(ShoeSales[[#This Row],[Product Cleaned]],Price!$A$2:$A$9,Price!$C$2:$C$9)</f>
        <v>58</v>
      </c>
      <c r="O373" s="22">
        <f>ShoeSales[[#This Row],[Sell Price]]*ShoeSales[[#This Row],[Quantity]]</f>
        <v>735</v>
      </c>
      <c r="P373" s="19">
        <f>ShoeSales[[#This Row],[Quantity]]*ShoeSales[[#This Row],[Cost Price]]</f>
        <v>406</v>
      </c>
      <c r="Q373" s="19">
        <f>ShoeSales[[#This Row],[Revenue]]-ShoeSales[[#This Row],[Cost]]</f>
        <v>329</v>
      </c>
      <c r="R373" s="24">
        <f>ShoeSales[[#This Row],[Profit]]/ShoeSales[[#This Row],[Revenue]]</f>
        <v>0.44761904761904764</v>
      </c>
      <c r="S373" s="19"/>
      <c r="T373" s="19" t="str">
        <f>UPPER(TEXT(ShoeSales[[#This Row],[Date]], "mmm"))</f>
        <v>JUN</v>
      </c>
    </row>
    <row r="374" spans="1:20" ht="14.25" customHeight="1" x14ac:dyDescent="0.25">
      <c r="A374" s="14">
        <v>46170</v>
      </c>
      <c r="B374" s="6" t="s">
        <v>27</v>
      </c>
      <c r="C374" s="16" t="str">
        <f>TRIM(PROPER(ShoeSales[[#This Row],[Product]]))</f>
        <v>Monk Straps</v>
      </c>
      <c r="D374" s="6" t="s">
        <v>28</v>
      </c>
      <c r="E374" s="44" t="str">
        <f>UPPER(ShoeSales[[#This Row],[Category]])</f>
        <v>FORMAL</v>
      </c>
      <c r="F374" s="6" t="s">
        <v>56</v>
      </c>
      <c r="G374" s="6" t="s">
        <v>39</v>
      </c>
      <c r="H374" s="16" t="str">
        <f>PROPER(ShoeSales[[#This Row],[Brand]])</f>
        <v>Clarks</v>
      </c>
      <c r="I374" s="6" t="s">
        <v>66</v>
      </c>
      <c r="J374" s="7">
        <v>4</v>
      </c>
      <c r="K374" s="6" t="s">
        <v>54</v>
      </c>
      <c r="L374" s="22">
        <f>VLOOKUP(ShoeSales[[#This Row],[Product Cleaned]],Price!$A$2:$C$9,2,FALSE)</f>
        <v>89</v>
      </c>
      <c r="M374" s="19">
        <f>_xlfn.XLOOKUP(ShoeSales[[#This Row],[Product Cleaned]],Price!$A$2:$A$9,Price!$B$2:$B$9)</f>
        <v>89</v>
      </c>
      <c r="N374" s="19">
        <f>_xlfn.XLOOKUP(ShoeSales[[#This Row],[Product Cleaned]],Price!$A$2:$A$9,Price!$C$2:$C$9)</f>
        <v>47</v>
      </c>
      <c r="O374" s="22">
        <f>ShoeSales[[#This Row],[Sell Price]]*ShoeSales[[#This Row],[Quantity]]</f>
        <v>356</v>
      </c>
      <c r="P374" s="19">
        <f>ShoeSales[[#This Row],[Quantity]]*ShoeSales[[#This Row],[Cost Price]]</f>
        <v>188</v>
      </c>
      <c r="Q374" s="19">
        <f>ShoeSales[[#This Row],[Revenue]]-ShoeSales[[#This Row],[Cost]]</f>
        <v>168</v>
      </c>
      <c r="R374" s="24">
        <f>ShoeSales[[#This Row],[Profit]]/ShoeSales[[#This Row],[Revenue]]</f>
        <v>0.47191011235955055</v>
      </c>
      <c r="S374" s="19"/>
      <c r="T374" s="19" t="str">
        <f>UPPER(TEXT(ShoeSales[[#This Row],[Date]], "mmm"))</f>
        <v>MAY</v>
      </c>
    </row>
    <row r="375" spans="1:20" ht="14.25" customHeight="1" x14ac:dyDescent="0.25">
      <c r="A375" s="15">
        <v>46062</v>
      </c>
      <c r="B375" s="9" t="s">
        <v>68</v>
      </c>
      <c r="C375" s="9" t="str">
        <f>TRIM(PROPER(ShoeSales[[#This Row],[Product]]))</f>
        <v>Slippers</v>
      </c>
      <c r="D375" s="9" t="s">
        <v>74</v>
      </c>
      <c r="E375" s="45" t="str">
        <f>UPPER(ShoeSales[[#This Row],[Category]])</f>
        <v>OPEN</v>
      </c>
      <c r="F375" s="9" t="s">
        <v>56</v>
      </c>
      <c r="G375" s="9" t="s">
        <v>75</v>
      </c>
      <c r="H375" s="9" t="str">
        <f>PROPER(ShoeSales[[#This Row],[Brand]])</f>
        <v>Steve Madden</v>
      </c>
      <c r="I375" s="9" t="s">
        <v>61</v>
      </c>
      <c r="J375" s="10">
        <v>7</v>
      </c>
      <c r="K375" s="9" t="s">
        <v>36</v>
      </c>
      <c r="L375" s="22">
        <f>VLOOKUP(ShoeSales[[#This Row],[Product Cleaned]],Price!$A$2:$C$9,2,FALSE)</f>
        <v>119</v>
      </c>
      <c r="M375" s="19">
        <f>_xlfn.XLOOKUP(ShoeSales[[#This Row],[Product Cleaned]],Price!$A$2:$A$9,Price!$B$2:$B$9)</f>
        <v>119</v>
      </c>
      <c r="N375" s="19">
        <f>_xlfn.XLOOKUP(ShoeSales[[#This Row],[Product Cleaned]],Price!$A$2:$A$9,Price!$C$2:$C$9)</f>
        <v>67</v>
      </c>
      <c r="O375" s="22">
        <f>ShoeSales[[#This Row],[Sell Price]]*ShoeSales[[#This Row],[Quantity]]</f>
        <v>833</v>
      </c>
      <c r="P375" s="19">
        <f>ShoeSales[[#This Row],[Quantity]]*ShoeSales[[#This Row],[Cost Price]]</f>
        <v>469</v>
      </c>
      <c r="Q375" s="19">
        <f>ShoeSales[[#This Row],[Revenue]]-ShoeSales[[#This Row],[Cost]]</f>
        <v>364</v>
      </c>
      <c r="R375" s="24">
        <f>ShoeSales[[#This Row],[Profit]]/ShoeSales[[#This Row],[Revenue]]</f>
        <v>0.43697478991596639</v>
      </c>
      <c r="S375" s="19"/>
      <c r="T375" s="19" t="str">
        <f>UPPER(TEXT(ShoeSales[[#This Row],[Date]], "mmm"))</f>
        <v>FEB</v>
      </c>
    </row>
    <row r="376" spans="1:20" ht="14.25" customHeight="1" x14ac:dyDescent="0.25">
      <c r="A376" s="14">
        <v>46086</v>
      </c>
      <c r="B376" s="6" t="s">
        <v>44</v>
      </c>
      <c r="C376" s="16" t="str">
        <f>TRIM(PROPER(ShoeSales[[#This Row],[Product]]))</f>
        <v>Boots</v>
      </c>
      <c r="D376" s="6" t="s">
        <v>71</v>
      </c>
      <c r="E376" s="44" t="str">
        <f>UPPER(ShoeSales[[#This Row],[Category]])</f>
        <v>CASUAL</v>
      </c>
      <c r="F376" s="6" t="s">
        <v>38</v>
      </c>
      <c r="G376" s="6" t="s">
        <v>57</v>
      </c>
      <c r="H376" s="16" t="str">
        <f>PROPER(ShoeSales[[#This Row],[Brand]])</f>
        <v>Timberland</v>
      </c>
      <c r="I376" s="6" t="s">
        <v>91</v>
      </c>
      <c r="J376" s="7">
        <v>10</v>
      </c>
      <c r="K376" s="6" t="s">
        <v>62</v>
      </c>
      <c r="L376" s="22">
        <f>VLOOKUP(ShoeSales[[#This Row],[Product Cleaned]],Price!$A$2:$C$9,2,FALSE)</f>
        <v>76</v>
      </c>
      <c r="M376" s="19">
        <f>_xlfn.XLOOKUP(ShoeSales[[#This Row],[Product Cleaned]],Price!$A$2:$A$9,Price!$B$2:$B$9)</f>
        <v>76</v>
      </c>
      <c r="N376" s="19">
        <f>_xlfn.XLOOKUP(ShoeSales[[#This Row],[Product Cleaned]],Price!$A$2:$A$9,Price!$C$2:$C$9)</f>
        <v>39</v>
      </c>
      <c r="O376" s="22">
        <f>ShoeSales[[#This Row],[Sell Price]]*ShoeSales[[#This Row],[Quantity]]</f>
        <v>760</v>
      </c>
      <c r="P376" s="19">
        <f>ShoeSales[[#This Row],[Quantity]]*ShoeSales[[#This Row],[Cost Price]]</f>
        <v>390</v>
      </c>
      <c r="Q376" s="19">
        <f>ShoeSales[[#This Row],[Revenue]]-ShoeSales[[#This Row],[Cost]]</f>
        <v>370</v>
      </c>
      <c r="R376" s="24">
        <f>ShoeSales[[#This Row],[Profit]]/ShoeSales[[#This Row],[Revenue]]</f>
        <v>0.48684210526315791</v>
      </c>
      <c r="S376" s="19"/>
      <c r="T376" s="19" t="str">
        <f>UPPER(TEXT(ShoeSales[[#This Row],[Date]], "mmm"))</f>
        <v>MAR</v>
      </c>
    </row>
    <row r="377" spans="1:20" ht="14.25" customHeight="1" x14ac:dyDescent="0.25">
      <c r="A377" s="15">
        <v>46078</v>
      </c>
      <c r="B377" s="9" t="s">
        <v>33</v>
      </c>
      <c r="C377" s="9" t="str">
        <f>TRIM(PROPER(ShoeSales[[#This Row],[Product]]))</f>
        <v>Loafers</v>
      </c>
      <c r="D377" s="9" t="s">
        <v>58</v>
      </c>
      <c r="E377" s="45" t="str">
        <f>UPPER(ShoeSales[[#This Row],[Category]])</f>
        <v>FORMAL</v>
      </c>
      <c r="F377" s="9" t="s">
        <v>56</v>
      </c>
      <c r="G377" s="9" t="s">
        <v>46</v>
      </c>
      <c r="H377" s="9" t="str">
        <f>PROPER(ShoeSales[[#This Row],[Brand]])</f>
        <v>Clarks</v>
      </c>
      <c r="I377" s="9" t="s">
        <v>53</v>
      </c>
      <c r="J377" s="10">
        <v>2</v>
      </c>
      <c r="K377" s="9" t="s">
        <v>62</v>
      </c>
      <c r="L377" s="22">
        <f>VLOOKUP(ShoeSales[[#This Row],[Product Cleaned]],Price!$A$2:$C$9,2,FALSE)</f>
        <v>54</v>
      </c>
      <c r="M377" s="19">
        <f>_xlfn.XLOOKUP(ShoeSales[[#This Row],[Product Cleaned]],Price!$A$2:$A$9,Price!$B$2:$B$9)</f>
        <v>54</v>
      </c>
      <c r="N377" s="19">
        <f>_xlfn.XLOOKUP(ShoeSales[[#This Row],[Product Cleaned]],Price!$A$2:$A$9,Price!$C$2:$C$9)</f>
        <v>28</v>
      </c>
      <c r="O377" s="22">
        <f>ShoeSales[[#This Row],[Sell Price]]*ShoeSales[[#This Row],[Quantity]]</f>
        <v>108</v>
      </c>
      <c r="P377" s="19">
        <f>ShoeSales[[#This Row],[Quantity]]*ShoeSales[[#This Row],[Cost Price]]</f>
        <v>56</v>
      </c>
      <c r="Q377" s="19">
        <f>ShoeSales[[#This Row],[Revenue]]-ShoeSales[[#This Row],[Cost]]</f>
        <v>52</v>
      </c>
      <c r="R377" s="24">
        <f>ShoeSales[[#This Row],[Profit]]/ShoeSales[[#This Row],[Revenue]]</f>
        <v>0.48148148148148145</v>
      </c>
      <c r="S377" s="19"/>
      <c r="T377" s="19" t="str">
        <f>UPPER(TEXT(ShoeSales[[#This Row],[Date]], "mmm"))</f>
        <v>FEB</v>
      </c>
    </row>
    <row r="378" spans="1:20" ht="14.25" customHeight="1" x14ac:dyDescent="0.25">
      <c r="A378" s="14">
        <v>46183</v>
      </c>
      <c r="B378" s="6" t="s">
        <v>85</v>
      </c>
      <c r="C378" s="16" t="str">
        <f>TRIM(PROPER(ShoeSales[[#This Row],[Product]]))</f>
        <v>Brogues</v>
      </c>
      <c r="D378" s="6" t="s">
        <v>77</v>
      </c>
      <c r="E378" s="44" t="str">
        <f>UPPER(ShoeSales[[#This Row],[Category]])</f>
        <v>CASUAL</v>
      </c>
      <c r="F378" s="6" t="s">
        <v>49</v>
      </c>
      <c r="G378" s="6" t="s">
        <v>46</v>
      </c>
      <c r="H378" s="16" t="str">
        <f>PROPER(ShoeSales[[#This Row],[Brand]])</f>
        <v>Clarks</v>
      </c>
      <c r="I378" s="6" t="s">
        <v>47</v>
      </c>
      <c r="J378" s="7">
        <v>14</v>
      </c>
      <c r="K378" s="6" t="s">
        <v>36</v>
      </c>
      <c r="L378" s="22">
        <f>VLOOKUP(ShoeSales[[#This Row],[Product Cleaned]],Price!$A$2:$C$9,2,FALSE)</f>
        <v>112</v>
      </c>
      <c r="M378" s="19">
        <f>_xlfn.XLOOKUP(ShoeSales[[#This Row],[Product Cleaned]],Price!$A$2:$A$9,Price!$B$2:$B$9)</f>
        <v>112</v>
      </c>
      <c r="N378" s="19">
        <f>_xlfn.XLOOKUP(ShoeSales[[#This Row],[Product Cleaned]],Price!$A$2:$A$9,Price!$C$2:$C$9)</f>
        <v>64</v>
      </c>
      <c r="O378" s="22">
        <f>ShoeSales[[#This Row],[Sell Price]]*ShoeSales[[#This Row],[Quantity]]</f>
        <v>1568</v>
      </c>
      <c r="P378" s="19">
        <f>ShoeSales[[#This Row],[Quantity]]*ShoeSales[[#This Row],[Cost Price]]</f>
        <v>896</v>
      </c>
      <c r="Q378" s="19">
        <f>ShoeSales[[#This Row],[Revenue]]-ShoeSales[[#This Row],[Cost]]</f>
        <v>672</v>
      </c>
      <c r="R378" s="24">
        <f>ShoeSales[[#This Row],[Profit]]/ShoeSales[[#This Row],[Revenue]]</f>
        <v>0.42857142857142855</v>
      </c>
      <c r="S378" s="19"/>
      <c r="T378" s="19" t="str">
        <f>UPPER(TEXT(ShoeSales[[#This Row],[Date]], "mmm"))</f>
        <v>JUN</v>
      </c>
    </row>
    <row r="379" spans="1:20" ht="14.25" customHeight="1" x14ac:dyDescent="0.25">
      <c r="A379" s="15">
        <v>46032</v>
      </c>
      <c r="B379" s="9" t="s">
        <v>52</v>
      </c>
      <c r="C379" s="9" t="str">
        <f>TRIM(PROPER(ShoeSales[[#This Row],[Product]]))</f>
        <v>Canvas</v>
      </c>
      <c r="D379" s="9" t="s">
        <v>71</v>
      </c>
      <c r="E379" s="45" t="str">
        <f>UPPER(ShoeSales[[#This Row],[Category]])</f>
        <v>CASUAL</v>
      </c>
      <c r="F379" s="9" t="s">
        <v>49</v>
      </c>
      <c r="G379" s="9" t="s">
        <v>39</v>
      </c>
      <c r="H379" s="9" t="str">
        <f>PROPER(ShoeSales[[#This Row],[Brand]])</f>
        <v>Clarks</v>
      </c>
      <c r="I379" s="9" t="s">
        <v>31</v>
      </c>
      <c r="J379" s="10">
        <v>6</v>
      </c>
      <c r="K379" s="9" t="s">
        <v>62</v>
      </c>
      <c r="L379" s="22">
        <f>VLOOKUP(ShoeSales[[#This Row],[Product Cleaned]],Price!$A$2:$C$9,2,FALSE)</f>
        <v>128</v>
      </c>
      <c r="M379" s="19">
        <f>_xlfn.XLOOKUP(ShoeSales[[#This Row],[Product Cleaned]],Price!$A$2:$A$9,Price!$B$2:$B$9)</f>
        <v>128</v>
      </c>
      <c r="N379" s="19">
        <f>_xlfn.XLOOKUP(ShoeSales[[#This Row],[Product Cleaned]],Price!$A$2:$A$9,Price!$C$2:$C$9)</f>
        <v>72</v>
      </c>
      <c r="O379" s="22">
        <f>ShoeSales[[#This Row],[Sell Price]]*ShoeSales[[#This Row],[Quantity]]</f>
        <v>768</v>
      </c>
      <c r="P379" s="19">
        <f>ShoeSales[[#This Row],[Quantity]]*ShoeSales[[#This Row],[Cost Price]]</f>
        <v>432</v>
      </c>
      <c r="Q379" s="19">
        <f>ShoeSales[[#This Row],[Revenue]]-ShoeSales[[#This Row],[Cost]]</f>
        <v>336</v>
      </c>
      <c r="R379" s="24">
        <f>ShoeSales[[#This Row],[Profit]]/ShoeSales[[#This Row],[Revenue]]</f>
        <v>0.4375</v>
      </c>
      <c r="S379" s="19"/>
      <c r="T379" s="19" t="str">
        <f>UPPER(TEXT(ShoeSales[[#This Row],[Date]], "mmm"))</f>
        <v>JAN</v>
      </c>
    </row>
    <row r="380" spans="1:20" ht="14.25" customHeight="1" x14ac:dyDescent="0.25">
      <c r="A380" s="14">
        <v>46220</v>
      </c>
      <c r="B380" s="6" t="s">
        <v>60</v>
      </c>
      <c r="C380" s="16" t="str">
        <f>TRIM(PROPER(ShoeSales[[#This Row],[Product]]))</f>
        <v>Oxford</v>
      </c>
      <c r="D380" s="6" t="s">
        <v>71</v>
      </c>
      <c r="E380" s="44" t="str">
        <f>UPPER(ShoeSales[[#This Row],[Category]])</f>
        <v>CASUAL</v>
      </c>
      <c r="F380" s="6" t="s">
        <v>49</v>
      </c>
      <c r="G380" s="6" t="s">
        <v>94</v>
      </c>
      <c r="H380" s="16" t="str">
        <f>PROPER(ShoeSales[[#This Row],[Brand]])</f>
        <v>Timberland</v>
      </c>
      <c r="I380" s="6" t="s">
        <v>31</v>
      </c>
      <c r="J380" s="7">
        <v>5</v>
      </c>
      <c r="K380" s="6" t="s">
        <v>54</v>
      </c>
      <c r="L380" s="22">
        <f>VLOOKUP(ShoeSales[[#This Row],[Product Cleaned]],Price!$A$2:$C$9,2,FALSE)</f>
        <v>105</v>
      </c>
      <c r="M380" s="19">
        <f>_xlfn.XLOOKUP(ShoeSales[[#This Row],[Product Cleaned]],Price!$A$2:$A$9,Price!$B$2:$B$9)</f>
        <v>105</v>
      </c>
      <c r="N380" s="19">
        <f>_xlfn.XLOOKUP(ShoeSales[[#This Row],[Product Cleaned]],Price!$A$2:$A$9,Price!$C$2:$C$9)</f>
        <v>58</v>
      </c>
      <c r="O380" s="22">
        <f>ShoeSales[[#This Row],[Sell Price]]*ShoeSales[[#This Row],[Quantity]]</f>
        <v>525</v>
      </c>
      <c r="P380" s="19">
        <f>ShoeSales[[#This Row],[Quantity]]*ShoeSales[[#This Row],[Cost Price]]</f>
        <v>290</v>
      </c>
      <c r="Q380" s="19">
        <f>ShoeSales[[#This Row],[Revenue]]-ShoeSales[[#This Row],[Cost]]</f>
        <v>235</v>
      </c>
      <c r="R380" s="24">
        <f>ShoeSales[[#This Row],[Profit]]/ShoeSales[[#This Row],[Revenue]]</f>
        <v>0.44761904761904764</v>
      </c>
      <c r="S380" s="19"/>
      <c r="T380" s="19" t="str">
        <f>UPPER(TEXT(ShoeSales[[#This Row],[Date]], "mmm"))</f>
        <v>JUL</v>
      </c>
    </row>
    <row r="381" spans="1:20" ht="14.25" customHeight="1" x14ac:dyDescent="0.25">
      <c r="A381" s="15">
        <v>46073</v>
      </c>
      <c r="B381" s="9" t="s">
        <v>12</v>
      </c>
      <c r="C381" s="9" t="str">
        <f>TRIM(PROPER(ShoeSales[[#This Row],[Product]]))</f>
        <v>Brogues</v>
      </c>
      <c r="D381" s="9" t="s">
        <v>45</v>
      </c>
      <c r="E381" s="45" t="str">
        <f>UPPER(ShoeSales[[#This Row],[Category]])</f>
        <v>CASUAL</v>
      </c>
      <c r="F381" s="9" t="s">
        <v>38</v>
      </c>
      <c r="G381" s="9" t="s">
        <v>94</v>
      </c>
      <c r="H381" s="9" t="str">
        <f>PROPER(ShoeSales[[#This Row],[Brand]])</f>
        <v>Timberland</v>
      </c>
      <c r="I381" s="9" t="s">
        <v>31</v>
      </c>
      <c r="J381" s="10">
        <v>4</v>
      </c>
      <c r="K381" s="9" t="s">
        <v>32</v>
      </c>
      <c r="L381" s="22">
        <f>VLOOKUP(ShoeSales[[#This Row],[Product Cleaned]],Price!$A$2:$C$9,2,FALSE)</f>
        <v>112</v>
      </c>
      <c r="M381" s="19">
        <f>_xlfn.XLOOKUP(ShoeSales[[#This Row],[Product Cleaned]],Price!$A$2:$A$9,Price!$B$2:$B$9)</f>
        <v>112</v>
      </c>
      <c r="N381" s="19">
        <f>_xlfn.XLOOKUP(ShoeSales[[#This Row],[Product Cleaned]],Price!$A$2:$A$9,Price!$C$2:$C$9)</f>
        <v>64</v>
      </c>
      <c r="O381" s="22">
        <f>ShoeSales[[#This Row],[Sell Price]]*ShoeSales[[#This Row],[Quantity]]</f>
        <v>448</v>
      </c>
      <c r="P381" s="19">
        <f>ShoeSales[[#This Row],[Quantity]]*ShoeSales[[#This Row],[Cost Price]]</f>
        <v>256</v>
      </c>
      <c r="Q381" s="19">
        <f>ShoeSales[[#This Row],[Revenue]]-ShoeSales[[#This Row],[Cost]]</f>
        <v>192</v>
      </c>
      <c r="R381" s="24">
        <f>ShoeSales[[#This Row],[Profit]]/ShoeSales[[#This Row],[Revenue]]</f>
        <v>0.42857142857142855</v>
      </c>
      <c r="S381" s="19"/>
      <c r="T381" s="19" t="str">
        <f>UPPER(TEXT(ShoeSales[[#This Row],[Date]], "mmm"))</f>
        <v>FEB</v>
      </c>
    </row>
    <row r="382" spans="1:20" ht="14.25" customHeight="1" x14ac:dyDescent="0.25">
      <c r="A382" s="14">
        <v>46199</v>
      </c>
      <c r="B382" s="6" t="s">
        <v>41</v>
      </c>
      <c r="C382" s="16" t="str">
        <f>TRIM(PROPER(ShoeSales[[#This Row],[Product]]))</f>
        <v>Boots</v>
      </c>
      <c r="D382" s="6" t="s">
        <v>71</v>
      </c>
      <c r="E382" s="44" t="str">
        <f>UPPER(ShoeSales[[#This Row],[Category]])</f>
        <v>CASUAL</v>
      </c>
      <c r="F382" s="6" t="s">
        <v>49</v>
      </c>
      <c r="G382" s="6" t="s">
        <v>95</v>
      </c>
      <c r="H382" s="16" t="str">
        <f>PROPER(ShoeSales[[#This Row],[Brand]])</f>
        <v>Timberland</v>
      </c>
      <c r="I382" s="6" t="s">
        <v>40</v>
      </c>
      <c r="J382" s="7">
        <v>4</v>
      </c>
      <c r="K382" s="6" t="s">
        <v>32</v>
      </c>
      <c r="L382" s="22">
        <f>VLOOKUP(ShoeSales[[#This Row],[Product Cleaned]],Price!$A$2:$C$9,2,FALSE)</f>
        <v>76</v>
      </c>
      <c r="M382" s="19">
        <f>_xlfn.XLOOKUP(ShoeSales[[#This Row],[Product Cleaned]],Price!$A$2:$A$9,Price!$B$2:$B$9)</f>
        <v>76</v>
      </c>
      <c r="N382" s="19">
        <f>_xlfn.XLOOKUP(ShoeSales[[#This Row],[Product Cleaned]],Price!$A$2:$A$9,Price!$C$2:$C$9)</f>
        <v>39</v>
      </c>
      <c r="O382" s="22">
        <f>ShoeSales[[#This Row],[Sell Price]]*ShoeSales[[#This Row],[Quantity]]</f>
        <v>304</v>
      </c>
      <c r="P382" s="19">
        <f>ShoeSales[[#This Row],[Quantity]]*ShoeSales[[#This Row],[Cost Price]]</f>
        <v>156</v>
      </c>
      <c r="Q382" s="19">
        <f>ShoeSales[[#This Row],[Revenue]]-ShoeSales[[#This Row],[Cost]]</f>
        <v>148</v>
      </c>
      <c r="R382" s="24">
        <f>ShoeSales[[#This Row],[Profit]]/ShoeSales[[#This Row],[Revenue]]</f>
        <v>0.48684210526315791</v>
      </c>
      <c r="S382" s="19"/>
      <c r="T382" s="19" t="str">
        <f>UPPER(TEXT(ShoeSales[[#This Row],[Date]], "mmm"))</f>
        <v>JUN</v>
      </c>
    </row>
    <row r="383" spans="1:20" ht="14.25" customHeight="1" x14ac:dyDescent="0.25">
      <c r="A383" s="15">
        <v>46189</v>
      </c>
      <c r="B383" s="9" t="s">
        <v>67</v>
      </c>
      <c r="C383" s="9" t="str">
        <f>TRIM(PROPER(ShoeSales[[#This Row],[Product]]))</f>
        <v>Oxford</v>
      </c>
      <c r="D383" s="9" t="s">
        <v>37</v>
      </c>
      <c r="E383" s="45" t="str">
        <f>UPPER(ShoeSales[[#This Row],[Category]])</f>
        <v>FORMAL</v>
      </c>
      <c r="F383" s="9" t="s">
        <v>49</v>
      </c>
      <c r="G383" s="9" t="s">
        <v>30</v>
      </c>
      <c r="H383" s="9" t="str">
        <f>PROPER(ShoeSales[[#This Row],[Brand]])</f>
        <v>Nike</v>
      </c>
      <c r="I383" s="9" t="s">
        <v>47</v>
      </c>
      <c r="J383" s="10">
        <v>10</v>
      </c>
      <c r="K383" s="9" t="s">
        <v>54</v>
      </c>
      <c r="L383" s="22">
        <f>VLOOKUP(ShoeSales[[#This Row],[Product Cleaned]],Price!$A$2:$C$9,2,FALSE)</f>
        <v>105</v>
      </c>
      <c r="M383" s="19">
        <f>_xlfn.XLOOKUP(ShoeSales[[#This Row],[Product Cleaned]],Price!$A$2:$A$9,Price!$B$2:$B$9)</f>
        <v>105</v>
      </c>
      <c r="N383" s="19">
        <f>_xlfn.XLOOKUP(ShoeSales[[#This Row],[Product Cleaned]],Price!$A$2:$A$9,Price!$C$2:$C$9)</f>
        <v>58</v>
      </c>
      <c r="O383" s="22">
        <f>ShoeSales[[#This Row],[Sell Price]]*ShoeSales[[#This Row],[Quantity]]</f>
        <v>1050</v>
      </c>
      <c r="P383" s="19">
        <f>ShoeSales[[#This Row],[Quantity]]*ShoeSales[[#This Row],[Cost Price]]</f>
        <v>580</v>
      </c>
      <c r="Q383" s="19">
        <f>ShoeSales[[#This Row],[Revenue]]-ShoeSales[[#This Row],[Cost]]</f>
        <v>470</v>
      </c>
      <c r="R383" s="24">
        <f>ShoeSales[[#This Row],[Profit]]/ShoeSales[[#This Row],[Revenue]]</f>
        <v>0.44761904761904764</v>
      </c>
      <c r="S383" s="19"/>
      <c r="T383" s="19" t="str">
        <f>UPPER(TEXT(ShoeSales[[#This Row],[Date]], "mmm"))</f>
        <v>JUN</v>
      </c>
    </row>
    <row r="384" spans="1:20" ht="14.25" customHeight="1" x14ac:dyDescent="0.25">
      <c r="A384" s="14">
        <v>46185</v>
      </c>
      <c r="B384" s="6" t="s">
        <v>5</v>
      </c>
      <c r="C384" s="16" t="str">
        <f>TRIM(PROPER(ShoeSales[[#This Row],[Product]]))</f>
        <v>Monk Straps</v>
      </c>
      <c r="D384" s="6" t="s">
        <v>89</v>
      </c>
      <c r="E384" s="44" t="str">
        <f>UPPER(ShoeSales[[#This Row],[Category]])</f>
        <v>OPEN</v>
      </c>
      <c r="F384" s="6" t="s">
        <v>34</v>
      </c>
      <c r="G384" s="6" t="s">
        <v>30</v>
      </c>
      <c r="H384" s="16" t="str">
        <f>PROPER(ShoeSales[[#This Row],[Brand]])</f>
        <v>Nike</v>
      </c>
      <c r="I384" s="6" t="s">
        <v>61</v>
      </c>
      <c r="J384" s="7">
        <v>14</v>
      </c>
      <c r="K384" s="6" t="s">
        <v>54</v>
      </c>
      <c r="L384" s="22">
        <f>VLOOKUP(ShoeSales[[#This Row],[Product Cleaned]],Price!$A$2:$C$9,2,FALSE)</f>
        <v>89</v>
      </c>
      <c r="M384" s="19">
        <f>_xlfn.XLOOKUP(ShoeSales[[#This Row],[Product Cleaned]],Price!$A$2:$A$9,Price!$B$2:$B$9)</f>
        <v>89</v>
      </c>
      <c r="N384" s="19">
        <f>_xlfn.XLOOKUP(ShoeSales[[#This Row],[Product Cleaned]],Price!$A$2:$A$9,Price!$C$2:$C$9)</f>
        <v>47</v>
      </c>
      <c r="O384" s="22">
        <f>ShoeSales[[#This Row],[Sell Price]]*ShoeSales[[#This Row],[Quantity]]</f>
        <v>1246</v>
      </c>
      <c r="P384" s="19">
        <f>ShoeSales[[#This Row],[Quantity]]*ShoeSales[[#This Row],[Cost Price]]</f>
        <v>658</v>
      </c>
      <c r="Q384" s="19">
        <f>ShoeSales[[#This Row],[Revenue]]-ShoeSales[[#This Row],[Cost]]</f>
        <v>588</v>
      </c>
      <c r="R384" s="24">
        <f>ShoeSales[[#This Row],[Profit]]/ShoeSales[[#This Row],[Revenue]]</f>
        <v>0.47191011235955055</v>
      </c>
      <c r="S384" s="19"/>
      <c r="T384" s="19" t="str">
        <f>UPPER(TEXT(ShoeSales[[#This Row],[Date]], "mmm"))</f>
        <v>JUN</v>
      </c>
    </row>
    <row r="385" spans="1:20" ht="14.25" customHeight="1" x14ac:dyDescent="0.25">
      <c r="A385" s="15">
        <v>46201</v>
      </c>
      <c r="B385" s="9" t="s">
        <v>15</v>
      </c>
      <c r="C385" s="9" t="str">
        <f>TRIM(PROPER(ShoeSales[[#This Row],[Product]]))</f>
        <v>Slippers</v>
      </c>
      <c r="D385" s="9" t="s">
        <v>77</v>
      </c>
      <c r="E385" s="45" t="str">
        <f>UPPER(ShoeSales[[#This Row],[Category]])</f>
        <v>CASUAL</v>
      </c>
      <c r="F385" s="9" t="s">
        <v>38</v>
      </c>
      <c r="G385" s="9" t="s">
        <v>57</v>
      </c>
      <c r="H385" s="9" t="str">
        <f>PROPER(ShoeSales[[#This Row],[Brand]])</f>
        <v>Timberland</v>
      </c>
      <c r="I385" s="9" t="s">
        <v>53</v>
      </c>
      <c r="J385" s="10">
        <v>8</v>
      </c>
      <c r="K385" s="9" t="s">
        <v>62</v>
      </c>
      <c r="L385" s="22">
        <f>VLOOKUP(ShoeSales[[#This Row],[Product Cleaned]],Price!$A$2:$C$9,2,FALSE)</f>
        <v>119</v>
      </c>
      <c r="M385" s="19">
        <f>_xlfn.XLOOKUP(ShoeSales[[#This Row],[Product Cleaned]],Price!$A$2:$A$9,Price!$B$2:$B$9)</f>
        <v>119</v>
      </c>
      <c r="N385" s="19">
        <f>_xlfn.XLOOKUP(ShoeSales[[#This Row],[Product Cleaned]],Price!$A$2:$A$9,Price!$C$2:$C$9)</f>
        <v>67</v>
      </c>
      <c r="O385" s="22">
        <f>ShoeSales[[#This Row],[Sell Price]]*ShoeSales[[#This Row],[Quantity]]</f>
        <v>952</v>
      </c>
      <c r="P385" s="19">
        <f>ShoeSales[[#This Row],[Quantity]]*ShoeSales[[#This Row],[Cost Price]]</f>
        <v>536</v>
      </c>
      <c r="Q385" s="19">
        <f>ShoeSales[[#This Row],[Revenue]]-ShoeSales[[#This Row],[Cost]]</f>
        <v>416</v>
      </c>
      <c r="R385" s="24">
        <f>ShoeSales[[#This Row],[Profit]]/ShoeSales[[#This Row],[Revenue]]</f>
        <v>0.43697478991596639</v>
      </c>
      <c r="S385" s="19"/>
      <c r="T385" s="19" t="str">
        <f>UPPER(TEXT(ShoeSales[[#This Row],[Date]], "mmm"))</f>
        <v>JUN</v>
      </c>
    </row>
    <row r="386" spans="1:20" ht="14.25" customHeight="1" x14ac:dyDescent="0.25">
      <c r="A386" s="14">
        <v>46031</v>
      </c>
      <c r="B386" s="6" t="s">
        <v>92</v>
      </c>
      <c r="C386" s="16" t="str">
        <f>TRIM(PROPER(ShoeSales[[#This Row],[Product]]))</f>
        <v>Canvas</v>
      </c>
      <c r="D386" s="6" t="s">
        <v>28</v>
      </c>
      <c r="E386" s="44" t="str">
        <f>UPPER(ShoeSales[[#This Row],[Category]])</f>
        <v>FORMAL</v>
      </c>
      <c r="F386" s="6" t="s">
        <v>34</v>
      </c>
      <c r="G386" s="6" t="s">
        <v>69</v>
      </c>
      <c r="H386" s="16" t="str">
        <f>PROPER(ShoeSales[[#This Row],[Brand]])</f>
        <v>Zara</v>
      </c>
      <c r="I386" s="6" t="s">
        <v>66</v>
      </c>
      <c r="J386" s="7">
        <v>3</v>
      </c>
      <c r="K386" s="6" t="s">
        <v>54</v>
      </c>
      <c r="L386" s="22">
        <f>VLOOKUP(ShoeSales[[#This Row],[Product Cleaned]],Price!$A$2:$C$9,2,FALSE)</f>
        <v>128</v>
      </c>
      <c r="M386" s="19">
        <f>_xlfn.XLOOKUP(ShoeSales[[#This Row],[Product Cleaned]],Price!$A$2:$A$9,Price!$B$2:$B$9)</f>
        <v>128</v>
      </c>
      <c r="N386" s="19">
        <f>_xlfn.XLOOKUP(ShoeSales[[#This Row],[Product Cleaned]],Price!$A$2:$A$9,Price!$C$2:$C$9)</f>
        <v>72</v>
      </c>
      <c r="O386" s="22">
        <f>ShoeSales[[#This Row],[Sell Price]]*ShoeSales[[#This Row],[Quantity]]</f>
        <v>384</v>
      </c>
      <c r="P386" s="19">
        <f>ShoeSales[[#This Row],[Quantity]]*ShoeSales[[#This Row],[Cost Price]]</f>
        <v>216</v>
      </c>
      <c r="Q386" s="19">
        <f>ShoeSales[[#This Row],[Revenue]]-ShoeSales[[#This Row],[Cost]]</f>
        <v>168</v>
      </c>
      <c r="R386" s="24">
        <f>ShoeSales[[#This Row],[Profit]]/ShoeSales[[#This Row],[Revenue]]</f>
        <v>0.4375</v>
      </c>
      <c r="S386" s="19"/>
      <c r="T386" s="19" t="str">
        <f>UPPER(TEXT(ShoeSales[[#This Row],[Date]], "mmm"))</f>
        <v>JAN</v>
      </c>
    </row>
    <row r="387" spans="1:20" ht="14.25" customHeight="1" x14ac:dyDescent="0.25">
      <c r="A387" s="15">
        <v>46208</v>
      </c>
      <c r="B387" s="9" t="s">
        <v>9</v>
      </c>
      <c r="C387" s="9" t="str">
        <f>TRIM(PROPER(ShoeSales[[#This Row],[Product]]))</f>
        <v>Canvas</v>
      </c>
      <c r="D387" s="9" t="s">
        <v>37</v>
      </c>
      <c r="E387" s="45" t="str">
        <f>UPPER(ShoeSales[[#This Row],[Category]])</f>
        <v>FORMAL</v>
      </c>
      <c r="F387" s="9" t="s">
        <v>34</v>
      </c>
      <c r="G387" s="9" t="s">
        <v>63</v>
      </c>
      <c r="H387" s="9" t="str">
        <f>PROPER(ShoeSales[[#This Row],[Brand]])</f>
        <v>Clarks</v>
      </c>
      <c r="I387" s="9" t="s">
        <v>78</v>
      </c>
      <c r="J387" s="10">
        <v>13</v>
      </c>
      <c r="K387" s="9" t="s">
        <v>32</v>
      </c>
      <c r="L387" s="22">
        <f>VLOOKUP(ShoeSales[[#This Row],[Product Cleaned]],Price!$A$2:$C$9,2,FALSE)</f>
        <v>128</v>
      </c>
      <c r="M387" s="19">
        <f>_xlfn.XLOOKUP(ShoeSales[[#This Row],[Product Cleaned]],Price!$A$2:$A$9,Price!$B$2:$B$9)</f>
        <v>128</v>
      </c>
      <c r="N387" s="19">
        <f>_xlfn.XLOOKUP(ShoeSales[[#This Row],[Product Cleaned]],Price!$A$2:$A$9,Price!$C$2:$C$9)</f>
        <v>72</v>
      </c>
      <c r="O387" s="22">
        <f>ShoeSales[[#This Row],[Sell Price]]*ShoeSales[[#This Row],[Quantity]]</f>
        <v>1664</v>
      </c>
      <c r="P387" s="19">
        <f>ShoeSales[[#This Row],[Quantity]]*ShoeSales[[#This Row],[Cost Price]]</f>
        <v>936</v>
      </c>
      <c r="Q387" s="19">
        <f>ShoeSales[[#This Row],[Revenue]]-ShoeSales[[#This Row],[Cost]]</f>
        <v>728</v>
      </c>
      <c r="R387" s="24">
        <f>ShoeSales[[#This Row],[Profit]]/ShoeSales[[#This Row],[Revenue]]</f>
        <v>0.4375</v>
      </c>
      <c r="S387" s="19"/>
      <c r="T387" s="19" t="str">
        <f>UPPER(TEXT(ShoeSales[[#This Row],[Date]], "mmm"))</f>
        <v>JUL</v>
      </c>
    </row>
    <row r="388" spans="1:20" ht="14.25" customHeight="1" x14ac:dyDescent="0.25">
      <c r="A388" s="14">
        <v>46196</v>
      </c>
      <c r="B388" s="6" t="s">
        <v>70</v>
      </c>
      <c r="C388" s="16" t="str">
        <f>TRIM(PROPER(ShoeSales[[#This Row],[Product]]))</f>
        <v>Derby</v>
      </c>
      <c r="D388" s="6" t="s">
        <v>37</v>
      </c>
      <c r="E388" s="44" t="str">
        <f>UPPER(ShoeSales[[#This Row],[Category]])</f>
        <v>FORMAL</v>
      </c>
      <c r="F388" s="6" t="s">
        <v>38</v>
      </c>
      <c r="G388" s="6" t="s">
        <v>35</v>
      </c>
      <c r="H388" s="16" t="str">
        <f>PROPER(ShoeSales[[#This Row],[Brand]])</f>
        <v>Nike</v>
      </c>
      <c r="I388" s="6" t="s">
        <v>40</v>
      </c>
      <c r="J388" s="7">
        <v>8</v>
      </c>
      <c r="K388" s="6" t="s">
        <v>32</v>
      </c>
      <c r="L388" s="22">
        <f>VLOOKUP(ShoeSales[[#This Row],[Product Cleaned]],Price!$A$2:$C$9,2,FALSE)</f>
        <v>32</v>
      </c>
      <c r="M388" s="19">
        <f>_xlfn.XLOOKUP(ShoeSales[[#This Row],[Product Cleaned]],Price!$A$2:$A$9,Price!$B$2:$B$9)</f>
        <v>32</v>
      </c>
      <c r="N388" s="19">
        <f>_xlfn.XLOOKUP(ShoeSales[[#This Row],[Product Cleaned]],Price!$A$2:$A$9,Price!$C$2:$C$9)</f>
        <v>14</v>
      </c>
      <c r="O388" s="22">
        <f>ShoeSales[[#This Row],[Sell Price]]*ShoeSales[[#This Row],[Quantity]]</f>
        <v>256</v>
      </c>
      <c r="P388" s="19">
        <f>ShoeSales[[#This Row],[Quantity]]*ShoeSales[[#This Row],[Cost Price]]</f>
        <v>112</v>
      </c>
      <c r="Q388" s="19">
        <f>ShoeSales[[#This Row],[Revenue]]-ShoeSales[[#This Row],[Cost]]</f>
        <v>144</v>
      </c>
      <c r="R388" s="24">
        <f>ShoeSales[[#This Row],[Profit]]/ShoeSales[[#This Row],[Revenue]]</f>
        <v>0.5625</v>
      </c>
      <c r="S388" s="19"/>
      <c r="T388" s="19" t="str">
        <f>UPPER(TEXT(ShoeSales[[#This Row],[Date]], "mmm"))</f>
        <v>JUN</v>
      </c>
    </row>
    <row r="389" spans="1:20" ht="14.25" customHeight="1" x14ac:dyDescent="0.25">
      <c r="A389" s="15">
        <v>46090</v>
      </c>
      <c r="B389" s="9" t="s">
        <v>6</v>
      </c>
      <c r="C389" s="9" t="str">
        <f>TRIM(PROPER(ShoeSales[[#This Row],[Product]]))</f>
        <v>Loafers</v>
      </c>
      <c r="D389" s="9" t="s">
        <v>71</v>
      </c>
      <c r="E389" s="45" t="str">
        <f>UPPER(ShoeSales[[#This Row],[Category]])</f>
        <v>CASUAL</v>
      </c>
      <c r="F389" s="9" t="s">
        <v>38</v>
      </c>
      <c r="G389" s="9" t="s">
        <v>57</v>
      </c>
      <c r="H389" s="9" t="str">
        <f>PROPER(ShoeSales[[#This Row],[Brand]])</f>
        <v>Timberland</v>
      </c>
      <c r="I389" s="9" t="s">
        <v>78</v>
      </c>
      <c r="J389" s="10">
        <v>6</v>
      </c>
      <c r="K389" s="9" t="s">
        <v>32</v>
      </c>
      <c r="L389" s="22">
        <f>VLOOKUP(ShoeSales[[#This Row],[Product Cleaned]],Price!$A$2:$C$9,2,FALSE)</f>
        <v>54</v>
      </c>
      <c r="M389" s="19">
        <f>_xlfn.XLOOKUP(ShoeSales[[#This Row],[Product Cleaned]],Price!$A$2:$A$9,Price!$B$2:$B$9)</f>
        <v>54</v>
      </c>
      <c r="N389" s="19">
        <f>_xlfn.XLOOKUP(ShoeSales[[#This Row],[Product Cleaned]],Price!$A$2:$A$9,Price!$C$2:$C$9)</f>
        <v>28</v>
      </c>
      <c r="O389" s="22">
        <f>ShoeSales[[#This Row],[Sell Price]]*ShoeSales[[#This Row],[Quantity]]</f>
        <v>324</v>
      </c>
      <c r="P389" s="19">
        <f>ShoeSales[[#This Row],[Quantity]]*ShoeSales[[#This Row],[Cost Price]]</f>
        <v>168</v>
      </c>
      <c r="Q389" s="19">
        <f>ShoeSales[[#This Row],[Revenue]]-ShoeSales[[#This Row],[Cost]]</f>
        <v>156</v>
      </c>
      <c r="R389" s="24">
        <f>ShoeSales[[#This Row],[Profit]]/ShoeSales[[#This Row],[Revenue]]</f>
        <v>0.48148148148148145</v>
      </c>
      <c r="S389" s="19"/>
      <c r="T389" s="19" t="str">
        <f>UPPER(TEXT(ShoeSales[[#This Row],[Date]], "mmm"))</f>
        <v>MAR</v>
      </c>
    </row>
    <row r="390" spans="1:20" ht="14.25" customHeight="1" x14ac:dyDescent="0.25">
      <c r="A390" s="14">
        <v>46043</v>
      </c>
      <c r="B390" s="6" t="s">
        <v>10</v>
      </c>
      <c r="C390" s="16" t="str">
        <f>TRIM(PROPER(ShoeSales[[#This Row],[Product]]))</f>
        <v>Oxford</v>
      </c>
      <c r="D390" s="6" t="s">
        <v>28</v>
      </c>
      <c r="E390" s="44" t="str">
        <f>UPPER(ShoeSales[[#This Row],[Category]])</f>
        <v>FORMAL</v>
      </c>
      <c r="F390" s="6" t="s">
        <v>29</v>
      </c>
      <c r="G390" s="6" t="s">
        <v>82</v>
      </c>
      <c r="H390" s="16" t="str">
        <f>PROPER(ShoeSales[[#This Row],[Brand]])</f>
        <v>Zara</v>
      </c>
      <c r="I390" s="6" t="s">
        <v>59</v>
      </c>
      <c r="J390" s="7">
        <v>14</v>
      </c>
      <c r="K390" s="6" t="s">
        <v>54</v>
      </c>
      <c r="L390" s="22">
        <f>VLOOKUP(ShoeSales[[#This Row],[Product Cleaned]],Price!$A$2:$C$9,2,FALSE)</f>
        <v>105</v>
      </c>
      <c r="M390" s="19">
        <f>_xlfn.XLOOKUP(ShoeSales[[#This Row],[Product Cleaned]],Price!$A$2:$A$9,Price!$B$2:$B$9)</f>
        <v>105</v>
      </c>
      <c r="N390" s="19">
        <f>_xlfn.XLOOKUP(ShoeSales[[#This Row],[Product Cleaned]],Price!$A$2:$A$9,Price!$C$2:$C$9)</f>
        <v>58</v>
      </c>
      <c r="O390" s="22">
        <f>ShoeSales[[#This Row],[Sell Price]]*ShoeSales[[#This Row],[Quantity]]</f>
        <v>1470</v>
      </c>
      <c r="P390" s="19">
        <f>ShoeSales[[#This Row],[Quantity]]*ShoeSales[[#This Row],[Cost Price]]</f>
        <v>812</v>
      </c>
      <c r="Q390" s="19">
        <f>ShoeSales[[#This Row],[Revenue]]-ShoeSales[[#This Row],[Cost]]</f>
        <v>658</v>
      </c>
      <c r="R390" s="24">
        <f>ShoeSales[[#This Row],[Profit]]/ShoeSales[[#This Row],[Revenue]]</f>
        <v>0.44761904761904764</v>
      </c>
      <c r="S390" s="19"/>
      <c r="T390" s="19" t="str">
        <f>UPPER(TEXT(ShoeSales[[#This Row],[Date]], "mmm"))</f>
        <v>JAN</v>
      </c>
    </row>
    <row r="391" spans="1:20" ht="14.25" customHeight="1" x14ac:dyDescent="0.25">
      <c r="A391" s="15">
        <v>46162</v>
      </c>
      <c r="B391" s="9" t="s">
        <v>88</v>
      </c>
      <c r="C391" s="9" t="str">
        <f>TRIM(PROPER(ShoeSales[[#This Row],[Product]]))</f>
        <v>Slippers</v>
      </c>
      <c r="D391" s="9" t="s">
        <v>77</v>
      </c>
      <c r="E391" s="45" t="str">
        <f>UPPER(ShoeSales[[#This Row],[Category]])</f>
        <v>CASUAL</v>
      </c>
      <c r="F391" s="9" t="s">
        <v>49</v>
      </c>
      <c r="G391" s="9" t="s">
        <v>39</v>
      </c>
      <c r="H391" s="9" t="str">
        <f>PROPER(ShoeSales[[#This Row],[Brand]])</f>
        <v>Clarks</v>
      </c>
      <c r="I391" s="9" t="s">
        <v>51</v>
      </c>
      <c r="J391" s="10">
        <v>1</v>
      </c>
      <c r="K391" s="9" t="s">
        <v>36</v>
      </c>
      <c r="L391" s="22">
        <f>VLOOKUP(ShoeSales[[#This Row],[Product Cleaned]],Price!$A$2:$C$9,2,FALSE)</f>
        <v>119</v>
      </c>
      <c r="M391" s="19">
        <f>_xlfn.XLOOKUP(ShoeSales[[#This Row],[Product Cleaned]],Price!$A$2:$A$9,Price!$B$2:$B$9)</f>
        <v>119</v>
      </c>
      <c r="N391" s="19">
        <f>_xlfn.XLOOKUP(ShoeSales[[#This Row],[Product Cleaned]],Price!$A$2:$A$9,Price!$C$2:$C$9)</f>
        <v>67</v>
      </c>
      <c r="O391" s="22">
        <f>ShoeSales[[#This Row],[Sell Price]]*ShoeSales[[#This Row],[Quantity]]</f>
        <v>119</v>
      </c>
      <c r="P391" s="19">
        <f>ShoeSales[[#This Row],[Quantity]]*ShoeSales[[#This Row],[Cost Price]]</f>
        <v>67</v>
      </c>
      <c r="Q391" s="19">
        <f>ShoeSales[[#This Row],[Revenue]]-ShoeSales[[#This Row],[Cost]]</f>
        <v>52</v>
      </c>
      <c r="R391" s="24">
        <f>ShoeSales[[#This Row],[Profit]]/ShoeSales[[#This Row],[Revenue]]</f>
        <v>0.43697478991596639</v>
      </c>
      <c r="S391" s="19"/>
      <c r="T391" s="19" t="str">
        <f>UPPER(TEXT(ShoeSales[[#This Row],[Date]], "mmm"))</f>
        <v>MAY</v>
      </c>
    </row>
    <row r="392" spans="1:20" ht="14.25" customHeight="1" x14ac:dyDescent="0.25">
      <c r="A392" s="14">
        <v>46169</v>
      </c>
      <c r="B392" s="6" t="s">
        <v>9</v>
      </c>
      <c r="C392" s="16" t="str">
        <f>TRIM(PROPER(ShoeSales[[#This Row],[Product]]))</f>
        <v>Canvas</v>
      </c>
      <c r="D392" s="6" t="s">
        <v>37</v>
      </c>
      <c r="E392" s="44" t="str">
        <f>UPPER(ShoeSales[[#This Row],[Category]])</f>
        <v>FORMAL</v>
      </c>
      <c r="F392" s="6" t="s">
        <v>38</v>
      </c>
      <c r="G392" s="6" t="s">
        <v>35</v>
      </c>
      <c r="H392" s="16" t="str">
        <f>PROPER(ShoeSales[[#This Row],[Brand]])</f>
        <v>Nike</v>
      </c>
      <c r="I392" s="6" t="s">
        <v>91</v>
      </c>
      <c r="J392" s="7">
        <v>11</v>
      </c>
      <c r="K392" s="6" t="s">
        <v>62</v>
      </c>
      <c r="L392" s="22">
        <f>VLOOKUP(ShoeSales[[#This Row],[Product Cleaned]],Price!$A$2:$C$9,2,FALSE)</f>
        <v>128</v>
      </c>
      <c r="M392" s="19">
        <f>_xlfn.XLOOKUP(ShoeSales[[#This Row],[Product Cleaned]],Price!$A$2:$A$9,Price!$B$2:$B$9)</f>
        <v>128</v>
      </c>
      <c r="N392" s="19">
        <f>_xlfn.XLOOKUP(ShoeSales[[#This Row],[Product Cleaned]],Price!$A$2:$A$9,Price!$C$2:$C$9)</f>
        <v>72</v>
      </c>
      <c r="O392" s="22">
        <f>ShoeSales[[#This Row],[Sell Price]]*ShoeSales[[#This Row],[Quantity]]</f>
        <v>1408</v>
      </c>
      <c r="P392" s="19">
        <f>ShoeSales[[#This Row],[Quantity]]*ShoeSales[[#This Row],[Cost Price]]</f>
        <v>792</v>
      </c>
      <c r="Q392" s="19">
        <f>ShoeSales[[#This Row],[Revenue]]-ShoeSales[[#This Row],[Cost]]</f>
        <v>616</v>
      </c>
      <c r="R392" s="24">
        <f>ShoeSales[[#This Row],[Profit]]/ShoeSales[[#This Row],[Revenue]]</f>
        <v>0.4375</v>
      </c>
      <c r="S392" s="19"/>
      <c r="T392" s="19" t="str">
        <f>UPPER(TEXT(ShoeSales[[#This Row],[Date]], "mmm"))</f>
        <v>MAY</v>
      </c>
    </row>
    <row r="393" spans="1:20" ht="14.25" customHeight="1" x14ac:dyDescent="0.25">
      <c r="A393" s="15">
        <v>46168</v>
      </c>
      <c r="B393" s="9" t="s">
        <v>76</v>
      </c>
      <c r="C393" s="9" t="str">
        <f>TRIM(PROPER(ShoeSales[[#This Row],[Product]]))</f>
        <v>Derby</v>
      </c>
      <c r="D393" s="9" t="s">
        <v>77</v>
      </c>
      <c r="E393" s="45" t="str">
        <f>UPPER(ShoeSales[[#This Row],[Category]])</f>
        <v>CASUAL</v>
      </c>
      <c r="F393" s="9" t="s">
        <v>34</v>
      </c>
      <c r="G393" s="9" t="s">
        <v>39</v>
      </c>
      <c r="H393" s="9" t="str">
        <f>PROPER(ShoeSales[[#This Row],[Brand]])</f>
        <v>Clarks</v>
      </c>
      <c r="I393" s="9" t="s">
        <v>51</v>
      </c>
      <c r="J393" s="10">
        <v>9</v>
      </c>
      <c r="K393" s="9" t="s">
        <v>32</v>
      </c>
      <c r="L393" s="22">
        <f>VLOOKUP(ShoeSales[[#This Row],[Product Cleaned]],Price!$A$2:$C$9,2,FALSE)</f>
        <v>32</v>
      </c>
      <c r="M393" s="19">
        <f>_xlfn.XLOOKUP(ShoeSales[[#This Row],[Product Cleaned]],Price!$A$2:$A$9,Price!$B$2:$B$9)</f>
        <v>32</v>
      </c>
      <c r="N393" s="19">
        <f>_xlfn.XLOOKUP(ShoeSales[[#This Row],[Product Cleaned]],Price!$A$2:$A$9,Price!$C$2:$C$9)</f>
        <v>14</v>
      </c>
      <c r="O393" s="22">
        <f>ShoeSales[[#This Row],[Sell Price]]*ShoeSales[[#This Row],[Quantity]]</f>
        <v>288</v>
      </c>
      <c r="P393" s="19">
        <f>ShoeSales[[#This Row],[Quantity]]*ShoeSales[[#This Row],[Cost Price]]</f>
        <v>126</v>
      </c>
      <c r="Q393" s="19">
        <f>ShoeSales[[#This Row],[Revenue]]-ShoeSales[[#This Row],[Cost]]</f>
        <v>162</v>
      </c>
      <c r="R393" s="24">
        <f>ShoeSales[[#This Row],[Profit]]/ShoeSales[[#This Row],[Revenue]]</f>
        <v>0.5625</v>
      </c>
      <c r="S393" s="19"/>
      <c r="T393" s="19" t="str">
        <f>UPPER(TEXT(ShoeSales[[#This Row],[Date]], "mmm"))</f>
        <v>MAY</v>
      </c>
    </row>
    <row r="394" spans="1:20" ht="14.25" customHeight="1" x14ac:dyDescent="0.25">
      <c r="A394" s="14">
        <v>46156</v>
      </c>
      <c r="B394" s="6" t="s">
        <v>12</v>
      </c>
      <c r="C394" s="16" t="str">
        <f>TRIM(PROPER(ShoeSales[[#This Row],[Product]]))</f>
        <v>Brogues</v>
      </c>
      <c r="D394" s="6" t="s">
        <v>58</v>
      </c>
      <c r="E394" s="44" t="str">
        <f>UPPER(ShoeSales[[#This Row],[Category]])</f>
        <v>FORMAL</v>
      </c>
      <c r="F394" s="6" t="s">
        <v>38</v>
      </c>
      <c r="G394" s="6" t="s">
        <v>69</v>
      </c>
      <c r="H394" s="16" t="str">
        <f>PROPER(ShoeSales[[#This Row],[Brand]])</f>
        <v>Zara</v>
      </c>
      <c r="I394" s="6" t="s">
        <v>91</v>
      </c>
      <c r="J394" s="7">
        <v>2</v>
      </c>
      <c r="K394" s="6" t="s">
        <v>32</v>
      </c>
      <c r="L394" s="22">
        <f>VLOOKUP(ShoeSales[[#This Row],[Product Cleaned]],Price!$A$2:$C$9,2,FALSE)</f>
        <v>112</v>
      </c>
      <c r="M394" s="19">
        <f>_xlfn.XLOOKUP(ShoeSales[[#This Row],[Product Cleaned]],Price!$A$2:$A$9,Price!$B$2:$B$9)</f>
        <v>112</v>
      </c>
      <c r="N394" s="19">
        <f>_xlfn.XLOOKUP(ShoeSales[[#This Row],[Product Cleaned]],Price!$A$2:$A$9,Price!$C$2:$C$9)</f>
        <v>64</v>
      </c>
      <c r="O394" s="22">
        <f>ShoeSales[[#This Row],[Sell Price]]*ShoeSales[[#This Row],[Quantity]]</f>
        <v>224</v>
      </c>
      <c r="P394" s="19">
        <f>ShoeSales[[#This Row],[Quantity]]*ShoeSales[[#This Row],[Cost Price]]</f>
        <v>128</v>
      </c>
      <c r="Q394" s="19">
        <f>ShoeSales[[#This Row],[Revenue]]-ShoeSales[[#This Row],[Cost]]</f>
        <v>96</v>
      </c>
      <c r="R394" s="24">
        <f>ShoeSales[[#This Row],[Profit]]/ShoeSales[[#This Row],[Revenue]]</f>
        <v>0.42857142857142855</v>
      </c>
      <c r="S394" s="19"/>
      <c r="T394" s="19" t="str">
        <f>UPPER(TEXT(ShoeSales[[#This Row],[Date]], "mmm"))</f>
        <v>MAY</v>
      </c>
    </row>
    <row r="395" spans="1:20" ht="14.25" customHeight="1" x14ac:dyDescent="0.25">
      <c r="A395" s="15">
        <v>46037</v>
      </c>
      <c r="B395" s="9" t="s">
        <v>27</v>
      </c>
      <c r="C395" s="9" t="str">
        <f>TRIM(PROPER(ShoeSales[[#This Row],[Product]]))</f>
        <v>Monk Straps</v>
      </c>
      <c r="D395" s="9" t="s">
        <v>28</v>
      </c>
      <c r="E395" s="45" t="str">
        <f>UPPER(ShoeSales[[#This Row],[Category]])</f>
        <v>FORMAL</v>
      </c>
      <c r="F395" s="9" t="s">
        <v>56</v>
      </c>
      <c r="G395" s="9" t="s">
        <v>82</v>
      </c>
      <c r="H395" s="9" t="str">
        <f>PROPER(ShoeSales[[#This Row],[Brand]])</f>
        <v>Zara</v>
      </c>
      <c r="I395" s="9" t="s">
        <v>78</v>
      </c>
      <c r="J395" s="10">
        <v>9</v>
      </c>
      <c r="K395" s="9" t="s">
        <v>36</v>
      </c>
      <c r="L395" s="22">
        <f>VLOOKUP(ShoeSales[[#This Row],[Product Cleaned]],Price!$A$2:$C$9,2,FALSE)</f>
        <v>89</v>
      </c>
      <c r="M395" s="19">
        <f>_xlfn.XLOOKUP(ShoeSales[[#This Row],[Product Cleaned]],Price!$A$2:$A$9,Price!$B$2:$B$9)</f>
        <v>89</v>
      </c>
      <c r="N395" s="19">
        <f>_xlfn.XLOOKUP(ShoeSales[[#This Row],[Product Cleaned]],Price!$A$2:$A$9,Price!$C$2:$C$9)</f>
        <v>47</v>
      </c>
      <c r="O395" s="22">
        <f>ShoeSales[[#This Row],[Sell Price]]*ShoeSales[[#This Row],[Quantity]]</f>
        <v>801</v>
      </c>
      <c r="P395" s="19">
        <f>ShoeSales[[#This Row],[Quantity]]*ShoeSales[[#This Row],[Cost Price]]</f>
        <v>423</v>
      </c>
      <c r="Q395" s="19">
        <f>ShoeSales[[#This Row],[Revenue]]-ShoeSales[[#This Row],[Cost]]</f>
        <v>378</v>
      </c>
      <c r="R395" s="24">
        <f>ShoeSales[[#This Row],[Profit]]/ShoeSales[[#This Row],[Revenue]]</f>
        <v>0.47191011235955055</v>
      </c>
      <c r="S395" s="19"/>
      <c r="T395" s="19" t="str">
        <f>UPPER(TEXT(ShoeSales[[#This Row],[Date]], "mmm"))</f>
        <v>JAN</v>
      </c>
    </row>
    <row r="396" spans="1:20" ht="14.25" customHeight="1" x14ac:dyDescent="0.25">
      <c r="A396" s="14">
        <v>46175</v>
      </c>
      <c r="B396" s="6" t="s">
        <v>88</v>
      </c>
      <c r="C396" s="16" t="str">
        <f>TRIM(PROPER(ShoeSales[[#This Row],[Product]]))</f>
        <v>Slippers</v>
      </c>
      <c r="D396" s="6" t="s">
        <v>28</v>
      </c>
      <c r="E396" s="44" t="str">
        <f>UPPER(ShoeSales[[#This Row],[Category]])</f>
        <v>FORMAL</v>
      </c>
      <c r="F396" s="6" t="s">
        <v>56</v>
      </c>
      <c r="G396" s="6" t="s">
        <v>69</v>
      </c>
      <c r="H396" s="16" t="str">
        <f>PROPER(ShoeSales[[#This Row],[Brand]])</f>
        <v>Zara</v>
      </c>
      <c r="I396" s="6" t="s">
        <v>91</v>
      </c>
      <c r="J396" s="7">
        <v>8</v>
      </c>
      <c r="K396" s="6" t="s">
        <v>36</v>
      </c>
      <c r="L396" s="22">
        <f>VLOOKUP(ShoeSales[[#This Row],[Product Cleaned]],Price!$A$2:$C$9,2,FALSE)</f>
        <v>119</v>
      </c>
      <c r="M396" s="19">
        <f>_xlfn.XLOOKUP(ShoeSales[[#This Row],[Product Cleaned]],Price!$A$2:$A$9,Price!$B$2:$B$9)</f>
        <v>119</v>
      </c>
      <c r="N396" s="19">
        <f>_xlfn.XLOOKUP(ShoeSales[[#This Row],[Product Cleaned]],Price!$A$2:$A$9,Price!$C$2:$C$9)</f>
        <v>67</v>
      </c>
      <c r="O396" s="22">
        <f>ShoeSales[[#This Row],[Sell Price]]*ShoeSales[[#This Row],[Quantity]]</f>
        <v>952</v>
      </c>
      <c r="P396" s="19">
        <f>ShoeSales[[#This Row],[Quantity]]*ShoeSales[[#This Row],[Cost Price]]</f>
        <v>536</v>
      </c>
      <c r="Q396" s="19">
        <f>ShoeSales[[#This Row],[Revenue]]-ShoeSales[[#This Row],[Cost]]</f>
        <v>416</v>
      </c>
      <c r="R396" s="24">
        <f>ShoeSales[[#This Row],[Profit]]/ShoeSales[[#This Row],[Revenue]]</f>
        <v>0.43697478991596639</v>
      </c>
      <c r="S396" s="19"/>
      <c r="T396" s="19" t="str">
        <f>UPPER(TEXT(ShoeSales[[#This Row],[Date]], "mmm"))</f>
        <v>JUN</v>
      </c>
    </row>
    <row r="397" spans="1:20" ht="14.25" customHeight="1" x14ac:dyDescent="0.25">
      <c r="A397" s="15">
        <v>46173</v>
      </c>
      <c r="B397" s="9" t="s">
        <v>8</v>
      </c>
      <c r="C397" s="9" t="str">
        <f>TRIM(PROPER(ShoeSales[[#This Row],[Product]]))</f>
        <v>Boots</v>
      </c>
      <c r="D397" s="9" t="s">
        <v>37</v>
      </c>
      <c r="E397" s="45" t="str">
        <f>UPPER(ShoeSales[[#This Row],[Category]])</f>
        <v>FORMAL</v>
      </c>
      <c r="F397" s="9" t="s">
        <v>38</v>
      </c>
      <c r="G397" s="9" t="s">
        <v>50</v>
      </c>
      <c r="H397" s="9" t="str">
        <f>PROPER(ShoeSales[[#This Row],[Brand]])</f>
        <v>Nike</v>
      </c>
      <c r="I397" s="9" t="s">
        <v>47</v>
      </c>
      <c r="J397" s="10">
        <v>9</v>
      </c>
      <c r="K397" s="9" t="s">
        <v>32</v>
      </c>
      <c r="L397" s="22">
        <f>VLOOKUP(ShoeSales[[#This Row],[Product Cleaned]],Price!$A$2:$C$9,2,FALSE)</f>
        <v>76</v>
      </c>
      <c r="M397" s="19">
        <f>_xlfn.XLOOKUP(ShoeSales[[#This Row],[Product Cleaned]],Price!$A$2:$A$9,Price!$B$2:$B$9)</f>
        <v>76</v>
      </c>
      <c r="N397" s="19">
        <f>_xlfn.XLOOKUP(ShoeSales[[#This Row],[Product Cleaned]],Price!$A$2:$A$9,Price!$C$2:$C$9)</f>
        <v>39</v>
      </c>
      <c r="O397" s="22">
        <f>ShoeSales[[#This Row],[Sell Price]]*ShoeSales[[#This Row],[Quantity]]</f>
        <v>684</v>
      </c>
      <c r="P397" s="19">
        <f>ShoeSales[[#This Row],[Quantity]]*ShoeSales[[#This Row],[Cost Price]]</f>
        <v>351</v>
      </c>
      <c r="Q397" s="19">
        <f>ShoeSales[[#This Row],[Revenue]]-ShoeSales[[#This Row],[Cost]]</f>
        <v>333</v>
      </c>
      <c r="R397" s="24">
        <f>ShoeSales[[#This Row],[Profit]]/ShoeSales[[#This Row],[Revenue]]</f>
        <v>0.48684210526315791</v>
      </c>
      <c r="S397" s="19"/>
      <c r="T397" s="19" t="str">
        <f>UPPER(TEXT(ShoeSales[[#This Row],[Date]], "mmm"))</f>
        <v>MAY</v>
      </c>
    </row>
    <row r="398" spans="1:20" ht="14.25" customHeight="1" x14ac:dyDescent="0.25">
      <c r="A398" s="14">
        <v>46024</v>
      </c>
      <c r="B398" s="6" t="s">
        <v>44</v>
      </c>
      <c r="C398" s="16" t="str">
        <f>TRIM(PROPER(ShoeSales[[#This Row],[Product]]))</f>
        <v>Boots</v>
      </c>
      <c r="D398" s="6" t="s">
        <v>58</v>
      </c>
      <c r="E398" s="44" t="str">
        <f>UPPER(ShoeSales[[#This Row],[Category]])</f>
        <v>FORMAL</v>
      </c>
      <c r="F398" s="6" t="s">
        <v>34</v>
      </c>
      <c r="G398" s="6" t="s">
        <v>39</v>
      </c>
      <c r="H398" s="16" t="str">
        <f>PROPER(ShoeSales[[#This Row],[Brand]])</f>
        <v>Clarks</v>
      </c>
      <c r="I398" s="6" t="s">
        <v>43</v>
      </c>
      <c r="J398" s="7">
        <v>11</v>
      </c>
      <c r="K398" s="6" t="s">
        <v>36</v>
      </c>
      <c r="L398" s="22">
        <f>VLOOKUP(ShoeSales[[#This Row],[Product Cleaned]],Price!$A$2:$C$9,2,FALSE)</f>
        <v>76</v>
      </c>
      <c r="M398" s="19">
        <f>_xlfn.XLOOKUP(ShoeSales[[#This Row],[Product Cleaned]],Price!$A$2:$A$9,Price!$B$2:$B$9)</f>
        <v>76</v>
      </c>
      <c r="N398" s="19">
        <f>_xlfn.XLOOKUP(ShoeSales[[#This Row],[Product Cleaned]],Price!$A$2:$A$9,Price!$C$2:$C$9)</f>
        <v>39</v>
      </c>
      <c r="O398" s="22">
        <f>ShoeSales[[#This Row],[Sell Price]]*ShoeSales[[#This Row],[Quantity]]</f>
        <v>836</v>
      </c>
      <c r="P398" s="19">
        <f>ShoeSales[[#This Row],[Quantity]]*ShoeSales[[#This Row],[Cost Price]]</f>
        <v>429</v>
      </c>
      <c r="Q398" s="19">
        <f>ShoeSales[[#This Row],[Revenue]]-ShoeSales[[#This Row],[Cost]]</f>
        <v>407</v>
      </c>
      <c r="R398" s="24">
        <f>ShoeSales[[#This Row],[Profit]]/ShoeSales[[#This Row],[Revenue]]</f>
        <v>0.48684210526315791</v>
      </c>
      <c r="S398" s="19"/>
      <c r="T398" s="19" t="str">
        <f>UPPER(TEXT(ShoeSales[[#This Row],[Date]], "mmm"))</f>
        <v>JAN</v>
      </c>
    </row>
    <row r="399" spans="1:20" ht="14.25" customHeight="1" x14ac:dyDescent="0.25">
      <c r="A399" s="15">
        <v>46047</v>
      </c>
      <c r="B399" s="9" t="s">
        <v>60</v>
      </c>
      <c r="C399" s="9" t="str">
        <f>TRIM(PROPER(ShoeSales[[#This Row],[Product]]))</f>
        <v>Oxford</v>
      </c>
      <c r="D399" s="9" t="s">
        <v>48</v>
      </c>
      <c r="E399" s="45" t="str">
        <f>UPPER(ShoeSales[[#This Row],[Category]])</f>
        <v>UTILITY</v>
      </c>
      <c r="F399" s="9" t="s">
        <v>34</v>
      </c>
      <c r="G399" s="9" t="s">
        <v>39</v>
      </c>
      <c r="H399" s="9" t="str">
        <f>PROPER(ShoeSales[[#This Row],[Brand]])</f>
        <v>Clarks</v>
      </c>
      <c r="I399" s="9" t="s">
        <v>91</v>
      </c>
      <c r="J399" s="10">
        <v>8</v>
      </c>
      <c r="K399" s="9" t="s">
        <v>32</v>
      </c>
      <c r="L399" s="22">
        <f>VLOOKUP(ShoeSales[[#This Row],[Product Cleaned]],Price!$A$2:$C$9,2,FALSE)</f>
        <v>105</v>
      </c>
      <c r="M399" s="19">
        <f>_xlfn.XLOOKUP(ShoeSales[[#This Row],[Product Cleaned]],Price!$A$2:$A$9,Price!$B$2:$B$9)</f>
        <v>105</v>
      </c>
      <c r="N399" s="19">
        <f>_xlfn.XLOOKUP(ShoeSales[[#This Row],[Product Cleaned]],Price!$A$2:$A$9,Price!$C$2:$C$9)</f>
        <v>58</v>
      </c>
      <c r="O399" s="22">
        <f>ShoeSales[[#This Row],[Sell Price]]*ShoeSales[[#This Row],[Quantity]]</f>
        <v>840</v>
      </c>
      <c r="P399" s="19">
        <f>ShoeSales[[#This Row],[Quantity]]*ShoeSales[[#This Row],[Cost Price]]</f>
        <v>464</v>
      </c>
      <c r="Q399" s="19">
        <f>ShoeSales[[#This Row],[Revenue]]-ShoeSales[[#This Row],[Cost]]</f>
        <v>376</v>
      </c>
      <c r="R399" s="24">
        <f>ShoeSales[[#This Row],[Profit]]/ShoeSales[[#This Row],[Revenue]]</f>
        <v>0.44761904761904764</v>
      </c>
      <c r="S399" s="19"/>
      <c r="T399" s="19" t="str">
        <f>UPPER(TEXT(ShoeSales[[#This Row],[Date]], "mmm"))</f>
        <v>JAN</v>
      </c>
    </row>
    <row r="400" spans="1:20" ht="14.25" customHeight="1" x14ac:dyDescent="0.25">
      <c r="A400" s="14">
        <v>46112</v>
      </c>
      <c r="B400" s="6" t="s">
        <v>7</v>
      </c>
      <c r="C400" s="16" t="str">
        <f>TRIM(PROPER(ShoeSales[[#This Row],[Product]]))</f>
        <v>Derby</v>
      </c>
      <c r="D400" s="6" t="s">
        <v>89</v>
      </c>
      <c r="E400" s="44" t="str">
        <f>UPPER(ShoeSales[[#This Row],[Category]])</f>
        <v>OPEN</v>
      </c>
      <c r="F400" s="6" t="s">
        <v>38</v>
      </c>
      <c r="G400" s="6" t="s">
        <v>72</v>
      </c>
      <c r="H400" s="16" t="str">
        <f>PROPER(ShoeSales[[#This Row],[Brand]])</f>
        <v>Zara</v>
      </c>
      <c r="I400" s="6" t="s">
        <v>64</v>
      </c>
      <c r="J400" s="7">
        <v>7</v>
      </c>
      <c r="K400" s="6" t="s">
        <v>54</v>
      </c>
      <c r="L400" s="22">
        <f>VLOOKUP(ShoeSales[[#This Row],[Product Cleaned]],Price!$A$2:$C$9,2,FALSE)</f>
        <v>32</v>
      </c>
      <c r="M400" s="19">
        <f>_xlfn.XLOOKUP(ShoeSales[[#This Row],[Product Cleaned]],Price!$A$2:$A$9,Price!$B$2:$B$9)</f>
        <v>32</v>
      </c>
      <c r="N400" s="19">
        <f>_xlfn.XLOOKUP(ShoeSales[[#This Row],[Product Cleaned]],Price!$A$2:$A$9,Price!$C$2:$C$9)</f>
        <v>14</v>
      </c>
      <c r="O400" s="22">
        <f>ShoeSales[[#This Row],[Sell Price]]*ShoeSales[[#This Row],[Quantity]]</f>
        <v>224</v>
      </c>
      <c r="P400" s="19">
        <f>ShoeSales[[#This Row],[Quantity]]*ShoeSales[[#This Row],[Cost Price]]</f>
        <v>98</v>
      </c>
      <c r="Q400" s="19">
        <f>ShoeSales[[#This Row],[Revenue]]-ShoeSales[[#This Row],[Cost]]</f>
        <v>126</v>
      </c>
      <c r="R400" s="24">
        <f>ShoeSales[[#This Row],[Profit]]/ShoeSales[[#This Row],[Revenue]]</f>
        <v>0.5625</v>
      </c>
      <c r="S400" s="19"/>
      <c r="T400" s="19" t="str">
        <f>UPPER(TEXT(ShoeSales[[#This Row],[Date]], "mmm"))</f>
        <v>MAR</v>
      </c>
    </row>
    <row r="401" spans="1:20" ht="14.25" customHeight="1" x14ac:dyDescent="0.25">
      <c r="A401" s="15">
        <v>46085</v>
      </c>
      <c r="B401" s="9" t="s">
        <v>90</v>
      </c>
      <c r="C401" s="9" t="str">
        <f>TRIM(PROPER(ShoeSales[[#This Row],[Product]]))</f>
        <v>Loafers</v>
      </c>
      <c r="D401" s="9" t="s">
        <v>28</v>
      </c>
      <c r="E401" s="45" t="str">
        <f>UPPER(ShoeSales[[#This Row],[Category]])</f>
        <v>FORMAL</v>
      </c>
      <c r="F401" s="9" t="s">
        <v>29</v>
      </c>
      <c r="G401" s="9" t="s">
        <v>81</v>
      </c>
      <c r="H401" s="9" t="str">
        <f>PROPER(ShoeSales[[#This Row],[Brand]])</f>
        <v>Steve Madden</v>
      </c>
      <c r="I401" s="9" t="s">
        <v>61</v>
      </c>
      <c r="J401" s="10">
        <v>8</v>
      </c>
      <c r="K401" s="9" t="s">
        <v>54</v>
      </c>
      <c r="L401" s="22">
        <f>VLOOKUP(ShoeSales[[#This Row],[Product Cleaned]],Price!$A$2:$C$9,2,FALSE)</f>
        <v>54</v>
      </c>
      <c r="M401" s="19">
        <f>_xlfn.XLOOKUP(ShoeSales[[#This Row],[Product Cleaned]],Price!$A$2:$A$9,Price!$B$2:$B$9)</f>
        <v>54</v>
      </c>
      <c r="N401" s="19">
        <f>_xlfn.XLOOKUP(ShoeSales[[#This Row],[Product Cleaned]],Price!$A$2:$A$9,Price!$C$2:$C$9)</f>
        <v>28</v>
      </c>
      <c r="O401" s="22">
        <f>ShoeSales[[#This Row],[Sell Price]]*ShoeSales[[#This Row],[Quantity]]</f>
        <v>432</v>
      </c>
      <c r="P401" s="19">
        <f>ShoeSales[[#This Row],[Quantity]]*ShoeSales[[#This Row],[Cost Price]]</f>
        <v>224</v>
      </c>
      <c r="Q401" s="19">
        <f>ShoeSales[[#This Row],[Revenue]]-ShoeSales[[#This Row],[Cost]]</f>
        <v>208</v>
      </c>
      <c r="R401" s="24">
        <f>ShoeSales[[#This Row],[Profit]]/ShoeSales[[#This Row],[Revenue]]</f>
        <v>0.48148148148148145</v>
      </c>
      <c r="S401" s="19"/>
      <c r="T401" s="19" t="str">
        <f>UPPER(TEXT(ShoeSales[[#This Row],[Date]], "mmm"))</f>
        <v>MAR</v>
      </c>
    </row>
    <row r="402" spans="1:20" ht="14.25" customHeight="1" x14ac:dyDescent="0.25">
      <c r="A402" s="14">
        <v>46117</v>
      </c>
      <c r="B402" s="6" t="s">
        <v>5</v>
      </c>
      <c r="C402" s="16" t="str">
        <f>TRIM(PROPER(ShoeSales[[#This Row],[Product]]))</f>
        <v>Monk Straps</v>
      </c>
      <c r="D402" s="6" t="s">
        <v>48</v>
      </c>
      <c r="E402" s="44" t="str">
        <f>UPPER(ShoeSales[[#This Row],[Category]])</f>
        <v>UTILITY</v>
      </c>
      <c r="F402" s="6" t="s">
        <v>29</v>
      </c>
      <c r="G402" s="6" t="s">
        <v>82</v>
      </c>
      <c r="H402" s="16" t="str">
        <f>PROPER(ShoeSales[[#This Row],[Brand]])</f>
        <v>Zara</v>
      </c>
      <c r="I402" s="6" t="s">
        <v>91</v>
      </c>
      <c r="J402" s="7">
        <v>13</v>
      </c>
      <c r="K402" s="6" t="s">
        <v>62</v>
      </c>
      <c r="L402" s="22">
        <f>VLOOKUP(ShoeSales[[#This Row],[Product Cleaned]],Price!$A$2:$C$9,2,FALSE)</f>
        <v>89</v>
      </c>
      <c r="M402" s="19">
        <f>_xlfn.XLOOKUP(ShoeSales[[#This Row],[Product Cleaned]],Price!$A$2:$A$9,Price!$B$2:$B$9)</f>
        <v>89</v>
      </c>
      <c r="N402" s="19">
        <f>_xlfn.XLOOKUP(ShoeSales[[#This Row],[Product Cleaned]],Price!$A$2:$A$9,Price!$C$2:$C$9)</f>
        <v>47</v>
      </c>
      <c r="O402" s="22">
        <f>ShoeSales[[#This Row],[Sell Price]]*ShoeSales[[#This Row],[Quantity]]</f>
        <v>1157</v>
      </c>
      <c r="P402" s="19">
        <f>ShoeSales[[#This Row],[Quantity]]*ShoeSales[[#This Row],[Cost Price]]</f>
        <v>611</v>
      </c>
      <c r="Q402" s="19">
        <f>ShoeSales[[#This Row],[Revenue]]-ShoeSales[[#This Row],[Cost]]</f>
        <v>546</v>
      </c>
      <c r="R402" s="24">
        <f>ShoeSales[[#This Row],[Profit]]/ShoeSales[[#This Row],[Revenue]]</f>
        <v>0.47191011235955055</v>
      </c>
      <c r="S402" s="19"/>
      <c r="T402" s="19" t="str">
        <f>UPPER(TEXT(ShoeSales[[#This Row],[Date]], "mmm"))</f>
        <v>APR</v>
      </c>
    </row>
    <row r="403" spans="1:20" ht="14.25" customHeight="1" x14ac:dyDescent="0.25">
      <c r="A403" s="15">
        <v>46107</v>
      </c>
      <c r="B403" s="9" t="s">
        <v>79</v>
      </c>
      <c r="C403" s="9" t="str">
        <f>TRIM(PROPER(ShoeSales[[#This Row],[Product]]))</f>
        <v>Brogues</v>
      </c>
      <c r="D403" s="9" t="s">
        <v>42</v>
      </c>
      <c r="E403" s="45" t="str">
        <f>UPPER(ShoeSales[[#This Row],[Category]])</f>
        <v>UTILITY</v>
      </c>
      <c r="F403" s="9" t="s">
        <v>56</v>
      </c>
      <c r="G403" s="9" t="s">
        <v>82</v>
      </c>
      <c r="H403" s="9" t="str">
        <f>PROPER(ShoeSales[[#This Row],[Brand]])</f>
        <v>Zara</v>
      </c>
      <c r="I403" s="9" t="s">
        <v>31</v>
      </c>
      <c r="J403" s="10">
        <v>14</v>
      </c>
      <c r="K403" s="9" t="s">
        <v>36</v>
      </c>
      <c r="L403" s="22">
        <f>VLOOKUP(ShoeSales[[#This Row],[Product Cleaned]],Price!$A$2:$C$9,2,FALSE)</f>
        <v>112</v>
      </c>
      <c r="M403" s="19">
        <f>_xlfn.XLOOKUP(ShoeSales[[#This Row],[Product Cleaned]],Price!$A$2:$A$9,Price!$B$2:$B$9)</f>
        <v>112</v>
      </c>
      <c r="N403" s="19">
        <f>_xlfn.XLOOKUP(ShoeSales[[#This Row],[Product Cleaned]],Price!$A$2:$A$9,Price!$C$2:$C$9)</f>
        <v>64</v>
      </c>
      <c r="O403" s="22">
        <f>ShoeSales[[#This Row],[Sell Price]]*ShoeSales[[#This Row],[Quantity]]</f>
        <v>1568</v>
      </c>
      <c r="P403" s="19">
        <f>ShoeSales[[#This Row],[Quantity]]*ShoeSales[[#This Row],[Cost Price]]</f>
        <v>896</v>
      </c>
      <c r="Q403" s="19">
        <f>ShoeSales[[#This Row],[Revenue]]-ShoeSales[[#This Row],[Cost]]</f>
        <v>672</v>
      </c>
      <c r="R403" s="24">
        <f>ShoeSales[[#This Row],[Profit]]/ShoeSales[[#This Row],[Revenue]]</f>
        <v>0.42857142857142855</v>
      </c>
      <c r="S403" s="19"/>
      <c r="T403" s="19" t="str">
        <f>UPPER(TEXT(ShoeSales[[#This Row],[Date]], "mmm"))</f>
        <v>MAR</v>
      </c>
    </row>
    <row r="404" spans="1:20" ht="14.25" customHeight="1" x14ac:dyDescent="0.25">
      <c r="A404" s="14">
        <v>46142</v>
      </c>
      <c r="B404" s="6" t="s">
        <v>83</v>
      </c>
      <c r="C404" s="16" t="str">
        <f>TRIM(PROPER(ShoeSales[[#This Row],[Product]]))</f>
        <v>Monk Straps</v>
      </c>
      <c r="D404" s="6" t="s">
        <v>89</v>
      </c>
      <c r="E404" s="44" t="str">
        <f>UPPER(ShoeSales[[#This Row],[Category]])</f>
        <v>OPEN</v>
      </c>
      <c r="F404" s="6" t="s">
        <v>56</v>
      </c>
      <c r="G404" s="6" t="s">
        <v>46</v>
      </c>
      <c r="H404" s="16" t="str">
        <f>PROPER(ShoeSales[[#This Row],[Brand]])</f>
        <v>Clarks</v>
      </c>
      <c r="I404" s="6" t="s">
        <v>61</v>
      </c>
      <c r="J404" s="7">
        <v>11</v>
      </c>
      <c r="K404" s="6" t="s">
        <v>62</v>
      </c>
      <c r="L404" s="22">
        <f>VLOOKUP(ShoeSales[[#This Row],[Product Cleaned]],Price!$A$2:$C$9,2,FALSE)</f>
        <v>89</v>
      </c>
      <c r="M404" s="19">
        <f>_xlfn.XLOOKUP(ShoeSales[[#This Row],[Product Cleaned]],Price!$A$2:$A$9,Price!$B$2:$B$9)</f>
        <v>89</v>
      </c>
      <c r="N404" s="19">
        <f>_xlfn.XLOOKUP(ShoeSales[[#This Row],[Product Cleaned]],Price!$A$2:$A$9,Price!$C$2:$C$9)</f>
        <v>47</v>
      </c>
      <c r="O404" s="22">
        <f>ShoeSales[[#This Row],[Sell Price]]*ShoeSales[[#This Row],[Quantity]]</f>
        <v>979</v>
      </c>
      <c r="P404" s="19">
        <f>ShoeSales[[#This Row],[Quantity]]*ShoeSales[[#This Row],[Cost Price]]</f>
        <v>517</v>
      </c>
      <c r="Q404" s="19">
        <f>ShoeSales[[#This Row],[Revenue]]-ShoeSales[[#This Row],[Cost]]</f>
        <v>462</v>
      </c>
      <c r="R404" s="24">
        <f>ShoeSales[[#This Row],[Profit]]/ShoeSales[[#This Row],[Revenue]]</f>
        <v>0.47191011235955055</v>
      </c>
      <c r="S404" s="19"/>
      <c r="T404" s="19" t="str">
        <f>UPPER(TEXT(ShoeSales[[#This Row],[Date]], "mmm"))</f>
        <v>APR</v>
      </c>
    </row>
    <row r="405" spans="1:20" ht="14.25" customHeight="1" x14ac:dyDescent="0.25">
      <c r="A405" s="15">
        <v>46029</v>
      </c>
      <c r="B405" s="9" t="s">
        <v>44</v>
      </c>
      <c r="C405" s="9" t="str">
        <f>TRIM(PROPER(ShoeSales[[#This Row],[Product]]))</f>
        <v>Boots</v>
      </c>
      <c r="D405" s="9" t="s">
        <v>87</v>
      </c>
      <c r="E405" s="45" t="str">
        <f>UPPER(ShoeSales[[#This Row],[Category]])</f>
        <v>OPEN</v>
      </c>
      <c r="F405" s="9" t="s">
        <v>38</v>
      </c>
      <c r="G405" s="9" t="s">
        <v>72</v>
      </c>
      <c r="H405" s="9" t="str">
        <f>PROPER(ShoeSales[[#This Row],[Brand]])</f>
        <v>Zara</v>
      </c>
      <c r="I405" s="9" t="s">
        <v>78</v>
      </c>
      <c r="J405" s="10">
        <v>14</v>
      </c>
      <c r="K405" s="9" t="s">
        <v>36</v>
      </c>
      <c r="L405" s="22">
        <f>VLOOKUP(ShoeSales[[#This Row],[Product Cleaned]],Price!$A$2:$C$9,2,FALSE)</f>
        <v>76</v>
      </c>
      <c r="M405" s="19">
        <f>_xlfn.XLOOKUP(ShoeSales[[#This Row],[Product Cleaned]],Price!$A$2:$A$9,Price!$B$2:$B$9)</f>
        <v>76</v>
      </c>
      <c r="N405" s="19">
        <f>_xlfn.XLOOKUP(ShoeSales[[#This Row],[Product Cleaned]],Price!$A$2:$A$9,Price!$C$2:$C$9)</f>
        <v>39</v>
      </c>
      <c r="O405" s="22">
        <f>ShoeSales[[#This Row],[Sell Price]]*ShoeSales[[#This Row],[Quantity]]</f>
        <v>1064</v>
      </c>
      <c r="P405" s="19">
        <f>ShoeSales[[#This Row],[Quantity]]*ShoeSales[[#This Row],[Cost Price]]</f>
        <v>546</v>
      </c>
      <c r="Q405" s="19">
        <f>ShoeSales[[#This Row],[Revenue]]-ShoeSales[[#This Row],[Cost]]</f>
        <v>518</v>
      </c>
      <c r="R405" s="24">
        <f>ShoeSales[[#This Row],[Profit]]/ShoeSales[[#This Row],[Revenue]]</f>
        <v>0.48684210526315791</v>
      </c>
      <c r="S405" s="19"/>
      <c r="T405" s="19" t="str">
        <f>UPPER(TEXT(ShoeSales[[#This Row],[Date]], "mmm"))</f>
        <v>JAN</v>
      </c>
    </row>
    <row r="406" spans="1:20" ht="14.25" customHeight="1" x14ac:dyDescent="0.25">
      <c r="A406" s="14">
        <v>46112</v>
      </c>
      <c r="B406" s="6" t="s">
        <v>52</v>
      </c>
      <c r="C406" s="16" t="str">
        <f>TRIM(PROPER(ShoeSales[[#This Row],[Product]]))</f>
        <v>Canvas</v>
      </c>
      <c r="D406" s="6" t="s">
        <v>37</v>
      </c>
      <c r="E406" s="44" t="str">
        <f>UPPER(ShoeSales[[#This Row],[Category]])</f>
        <v>FORMAL</v>
      </c>
      <c r="F406" s="6" t="s">
        <v>29</v>
      </c>
      <c r="G406" s="6" t="s">
        <v>35</v>
      </c>
      <c r="H406" s="16" t="str">
        <f>PROPER(ShoeSales[[#This Row],[Brand]])</f>
        <v>Nike</v>
      </c>
      <c r="I406" s="6" t="s">
        <v>61</v>
      </c>
      <c r="J406" s="7">
        <v>13</v>
      </c>
      <c r="K406" s="6" t="s">
        <v>32</v>
      </c>
      <c r="L406" s="22">
        <f>VLOOKUP(ShoeSales[[#This Row],[Product Cleaned]],Price!$A$2:$C$9,2,FALSE)</f>
        <v>128</v>
      </c>
      <c r="M406" s="19">
        <f>_xlfn.XLOOKUP(ShoeSales[[#This Row],[Product Cleaned]],Price!$A$2:$A$9,Price!$B$2:$B$9)</f>
        <v>128</v>
      </c>
      <c r="N406" s="19">
        <f>_xlfn.XLOOKUP(ShoeSales[[#This Row],[Product Cleaned]],Price!$A$2:$A$9,Price!$C$2:$C$9)</f>
        <v>72</v>
      </c>
      <c r="O406" s="22">
        <f>ShoeSales[[#This Row],[Sell Price]]*ShoeSales[[#This Row],[Quantity]]</f>
        <v>1664</v>
      </c>
      <c r="P406" s="19">
        <f>ShoeSales[[#This Row],[Quantity]]*ShoeSales[[#This Row],[Cost Price]]</f>
        <v>936</v>
      </c>
      <c r="Q406" s="19">
        <f>ShoeSales[[#This Row],[Revenue]]-ShoeSales[[#This Row],[Cost]]</f>
        <v>728</v>
      </c>
      <c r="R406" s="24">
        <f>ShoeSales[[#This Row],[Profit]]/ShoeSales[[#This Row],[Revenue]]</f>
        <v>0.4375</v>
      </c>
      <c r="S406" s="19"/>
      <c r="T406" s="19" t="str">
        <f>UPPER(TEXT(ShoeSales[[#This Row],[Date]], "mmm"))</f>
        <v>MAR</v>
      </c>
    </row>
    <row r="407" spans="1:20" ht="14.25" customHeight="1" x14ac:dyDescent="0.25">
      <c r="A407" s="15">
        <v>46220</v>
      </c>
      <c r="B407" s="9" t="s">
        <v>67</v>
      </c>
      <c r="C407" s="9" t="str">
        <f>TRIM(PROPER(ShoeSales[[#This Row],[Product]]))</f>
        <v>Oxford</v>
      </c>
      <c r="D407" s="9" t="s">
        <v>45</v>
      </c>
      <c r="E407" s="45" t="str">
        <f>UPPER(ShoeSales[[#This Row],[Category]])</f>
        <v>CASUAL</v>
      </c>
      <c r="F407" s="9" t="s">
        <v>34</v>
      </c>
      <c r="G407" s="9" t="s">
        <v>35</v>
      </c>
      <c r="H407" s="9" t="str">
        <f>PROPER(ShoeSales[[#This Row],[Brand]])</f>
        <v>Nike</v>
      </c>
      <c r="I407" s="9" t="s">
        <v>51</v>
      </c>
      <c r="J407" s="10">
        <v>9</v>
      </c>
      <c r="K407" s="9" t="s">
        <v>62</v>
      </c>
      <c r="L407" s="22">
        <f>VLOOKUP(ShoeSales[[#This Row],[Product Cleaned]],Price!$A$2:$C$9,2,FALSE)</f>
        <v>105</v>
      </c>
      <c r="M407" s="19">
        <f>_xlfn.XLOOKUP(ShoeSales[[#This Row],[Product Cleaned]],Price!$A$2:$A$9,Price!$B$2:$B$9)</f>
        <v>105</v>
      </c>
      <c r="N407" s="19">
        <f>_xlfn.XLOOKUP(ShoeSales[[#This Row],[Product Cleaned]],Price!$A$2:$A$9,Price!$C$2:$C$9)</f>
        <v>58</v>
      </c>
      <c r="O407" s="22">
        <f>ShoeSales[[#This Row],[Sell Price]]*ShoeSales[[#This Row],[Quantity]]</f>
        <v>945</v>
      </c>
      <c r="P407" s="19">
        <f>ShoeSales[[#This Row],[Quantity]]*ShoeSales[[#This Row],[Cost Price]]</f>
        <v>522</v>
      </c>
      <c r="Q407" s="19">
        <f>ShoeSales[[#This Row],[Revenue]]-ShoeSales[[#This Row],[Cost]]</f>
        <v>423</v>
      </c>
      <c r="R407" s="24">
        <f>ShoeSales[[#This Row],[Profit]]/ShoeSales[[#This Row],[Revenue]]</f>
        <v>0.44761904761904764</v>
      </c>
      <c r="S407" s="19"/>
      <c r="T407" s="19" t="str">
        <f>UPPER(TEXT(ShoeSales[[#This Row],[Date]], "mmm"))</f>
        <v>JUL</v>
      </c>
    </row>
    <row r="408" spans="1:20" ht="14.25" customHeight="1" x14ac:dyDescent="0.25">
      <c r="A408" s="14">
        <v>46134</v>
      </c>
      <c r="B408" s="6" t="s">
        <v>67</v>
      </c>
      <c r="C408" s="16" t="str">
        <f>TRIM(PROPER(ShoeSales[[#This Row],[Product]]))</f>
        <v>Oxford</v>
      </c>
      <c r="D408" s="6" t="s">
        <v>48</v>
      </c>
      <c r="E408" s="44" t="str">
        <f>UPPER(ShoeSales[[#This Row],[Category]])</f>
        <v>UTILITY</v>
      </c>
      <c r="F408" s="6" t="s">
        <v>56</v>
      </c>
      <c r="G408" s="6" t="s">
        <v>94</v>
      </c>
      <c r="H408" s="16" t="str">
        <f>PROPER(ShoeSales[[#This Row],[Brand]])</f>
        <v>Timberland</v>
      </c>
      <c r="I408" s="6" t="s">
        <v>78</v>
      </c>
      <c r="J408" s="7">
        <v>6</v>
      </c>
      <c r="K408" s="6" t="s">
        <v>62</v>
      </c>
      <c r="L408" s="22">
        <f>VLOOKUP(ShoeSales[[#This Row],[Product Cleaned]],Price!$A$2:$C$9,2,FALSE)</f>
        <v>105</v>
      </c>
      <c r="M408" s="19">
        <f>_xlfn.XLOOKUP(ShoeSales[[#This Row],[Product Cleaned]],Price!$A$2:$A$9,Price!$B$2:$B$9)</f>
        <v>105</v>
      </c>
      <c r="N408" s="19">
        <f>_xlfn.XLOOKUP(ShoeSales[[#This Row],[Product Cleaned]],Price!$A$2:$A$9,Price!$C$2:$C$9)</f>
        <v>58</v>
      </c>
      <c r="O408" s="22">
        <f>ShoeSales[[#This Row],[Sell Price]]*ShoeSales[[#This Row],[Quantity]]</f>
        <v>630</v>
      </c>
      <c r="P408" s="19">
        <f>ShoeSales[[#This Row],[Quantity]]*ShoeSales[[#This Row],[Cost Price]]</f>
        <v>348</v>
      </c>
      <c r="Q408" s="19">
        <f>ShoeSales[[#This Row],[Revenue]]-ShoeSales[[#This Row],[Cost]]</f>
        <v>282</v>
      </c>
      <c r="R408" s="24">
        <f>ShoeSales[[#This Row],[Profit]]/ShoeSales[[#This Row],[Revenue]]</f>
        <v>0.44761904761904764</v>
      </c>
      <c r="S408" s="19"/>
      <c r="T408" s="19" t="str">
        <f>UPPER(TEXT(ShoeSales[[#This Row],[Date]], "mmm"))</f>
        <v>APR</v>
      </c>
    </row>
    <row r="409" spans="1:20" ht="14.25" customHeight="1" x14ac:dyDescent="0.25">
      <c r="A409" s="15">
        <v>46210</v>
      </c>
      <c r="B409" s="9" t="s">
        <v>12</v>
      </c>
      <c r="C409" s="9" t="str">
        <f>TRIM(PROPER(ShoeSales[[#This Row],[Product]]))</f>
        <v>Brogues</v>
      </c>
      <c r="D409" s="9" t="s">
        <v>48</v>
      </c>
      <c r="E409" s="45" t="str">
        <f>UPPER(ShoeSales[[#This Row],[Category]])</f>
        <v>UTILITY</v>
      </c>
      <c r="F409" s="9" t="s">
        <v>49</v>
      </c>
      <c r="G409" s="9" t="s">
        <v>57</v>
      </c>
      <c r="H409" s="9" t="str">
        <f>PROPER(ShoeSales[[#This Row],[Brand]])</f>
        <v>Timberland</v>
      </c>
      <c r="I409" s="9" t="s">
        <v>73</v>
      </c>
      <c r="J409" s="10">
        <v>12</v>
      </c>
      <c r="K409" s="9" t="s">
        <v>54</v>
      </c>
      <c r="L409" s="22">
        <f>VLOOKUP(ShoeSales[[#This Row],[Product Cleaned]],Price!$A$2:$C$9,2,FALSE)</f>
        <v>112</v>
      </c>
      <c r="M409" s="19">
        <f>_xlfn.XLOOKUP(ShoeSales[[#This Row],[Product Cleaned]],Price!$A$2:$A$9,Price!$B$2:$B$9)</f>
        <v>112</v>
      </c>
      <c r="N409" s="19">
        <f>_xlfn.XLOOKUP(ShoeSales[[#This Row],[Product Cleaned]],Price!$A$2:$A$9,Price!$C$2:$C$9)</f>
        <v>64</v>
      </c>
      <c r="O409" s="22">
        <f>ShoeSales[[#This Row],[Sell Price]]*ShoeSales[[#This Row],[Quantity]]</f>
        <v>1344</v>
      </c>
      <c r="P409" s="19">
        <f>ShoeSales[[#This Row],[Quantity]]*ShoeSales[[#This Row],[Cost Price]]</f>
        <v>768</v>
      </c>
      <c r="Q409" s="19">
        <f>ShoeSales[[#This Row],[Revenue]]-ShoeSales[[#This Row],[Cost]]</f>
        <v>576</v>
      </c>
      <c r="R409" s="24">
        <f>ShoeSales[[#This Row],[Profit]]/ShoeSales[[#This Row],[Revenue]]</f>
        <v>0.42857142857142855</v>
      </c>
      <c r="S409" s="19"/>
      <c r="T409" s="19" t="str">
        <f>UPPER(TEXT(ShoeSales[[#This Row],[Date]], "mmm"))</f>
        <v>JUL</v>
      </c>
    </row>
    <row r="410" spans="1:20" ht="14.25" customHeight="1" x14ac:dyDescent="0.25">
      <c r="A410" s="14">
        <v>46099</v>
      </c>
      <c r="B410" s="6" t="s">
        <v>9</v>
      </c>
      <c r="C410" s="16" t="str">
        <f>TRIM(PROPER(ShoeSales[[#This Row],[Product]]))</f>
        <v>Canvas</v>
      </c>
      <c r="D410" s="6" t="s">
        <v>89</v>
      </c>
      <c r="E410" s="44" t="str">
        <f>UPPER(ShoeSales[[#This Row],[Category]])</f>
        <v>OPEN</v>
      </c>
      <c r="F410" s="6" t="s">
        <v>38</v>
      </c>
      <c r="G410" s="6" t="s">
        <v>50</v>
      </c>
      <c r="H410" s="16" t="str">
        <f>PROPER(ShoeSales[[#This Row],[Brand]])</f>
        <v>Nike</v>
      </c>
      <c r="I410" s="6" t="s">
        <v>43</v>
      </c>
      <c r="J410" s="7">
        <v>7</v>
      </c>
      <c r="K410" s="6" t="s">
        <v>32</v>
      </c>
      <c r="L410" s="22">
        <f>VLOOKUP(ShoeSales[[#This Row],[Product Cleaned]],Price!$A$2:$C$9,2,FALSE)</f>
        <v>128</v>
      </c>
      <c r="M410" s="19">
        <f>_xlfn.XLOOKUP(ShoeSales[[#This Row],[Product Cleaned]],Price!$A$2:$A$9,Price!$B$2:$B$9)</f>
        <v>128</v>
      </c>
      <c r="N410" s="19">
        <f>_xlfn.XLOOKUP(ShoeSales[[#This Row],[Product Cleaned]],Price!$A$2:$A$9,Price!$C$2:$C$9)</f>
        <v>72</v>
      </c>
      <c r="O410" s="22">
        <f>ShoeSales[[#This Row],[Sell Price]]*ShoeSales[[#This Row],[Quantity]]</f>
        <v>896</v>
      </c>
      <c r="P410" s="19">
        <f>ShoeSales[[#This Row],[Quantity]]*ShoeSales[[#This Row],[Cost Price]]</f>
        <v>504</v>
      </c>
      <c r="Q410" s="19">
        <f>ShoeSales[[#This Row],[Revenue]]-ShoeSales[[#This Row],[Cost]]</f>
        <v>392</v>
      </c>
      <c r="R410" s="24">
        <f>ShoeSales[[#This Row],[Profit]]/ShoeSales[[#This Row],[Revenue]]</f>
        <v>0.4375</v>
      </c>
      <c r="S410" s="19"/>
      <c r="T410" s="19" t="str">
        <f>UPPER(TEXT(ShoeSales[[#This Row],[Date]], "mmm"))</f>
        <v>MAR</v>
      </c>
    </row>
    <row r="411" spans="1:20" ht="14.25" customHeight="1" x14ac:dyDescent="0.25">
      <c r="A411" s="15">
        <v>46134</v>
      </c>
      <c r="B411" s="9" t="s">
        <v>90</v>
      </c>
      <c r="C411" s="9" t="str">
        <f>TRIM(PROPER(ShoeSales[[#This Row],[Product]]))</f>
        <v>Loafers</v>
      </c>
      <c r="D411" s="9" t="s">
        <v>93</v>
      </c>
      <c r="E411" s="45" t="str">
        <f>UPPER(ShoeSales[[#This Row],[Category]])</f>
        <v>UTILITY</v>
      </c>
      <c r="F411" s="9" t="s">
        <v>49</v>
      </c>
      <c r="G411" s="9" t="s">
        <v>94</v>
      </c>
      <c r="H411" s="9" t="str">
        <f>PROPER(ShoeSales[[#This Row],[Brand]])</f>
        <v>Timberland</v>
      </c>
      <c r="I411" s="9" t="s">
        <v>31</v>
      </c>
      <c r="J411" s="10">
        <v>14</v>
      </c>
      <c r="K411" s="9" t="s">
        <v>62</v>
      </c>
      <c r="L411" s="22">
        <f>VLOOKUP(ShoeSales[[#This Row],[Product Cleaned]],Price!$A$2:$C$9,2,FALSE)</f>
        <v>54</v>
      </c>
      <c r="M411" s="19">
        <f>_xlfn.XLOOKUP(ShoeSales[[#This Row],[Product Cleaned]],Price!$A$2:$A$9,Price!$B$2:$B$9)</f>
        <v>54</v>
      </c>
      <c r="N411" s="19">
        <f>_xlfn.XLOOKUP(ShoeSales[[#This Row],[Product Cleaned]],Price!$A$2:$A$9,Price!$C$2:$C$9)</f>
        <v>28</v>
      </c>
      <c r="O411" s="22">
        <f>ShoeSales[[#This Row],[Sell Price]]*ShoeSales[[#This Row],[Quantity]]</f>
        <v>756</v>
      </c>
      <c r="P411" s="19">
        <f>ShoeSales[[#This Row],[Quantity]]*ShoeSales[[#This Row],[Cost Price]]</f>
        <v>392</v>
      </c>
      <c r="Q411" s="19">
        <f>ShoeSales[[#This Row],[Revenue]]-ShoeSales[[#This Row],[Cost]]</f>
        <v>364</v>
      </c>
      <c r="R411" s="24">
        <f>ShoeSales[[#This Row],[Profit]]/ShoeSales[[#This Row],[Revenue]]</f>
        <v>0.48148148148148145</v>
      </c>
      <c r="S411" s="19"/>
      <c r="T411" s="19" t="str">
        <f>UPPER(TEXT(ShoeSales[[#This Row],[Date]], "mmm"))</f>
        <v>APR</v>
      </c>
    </row>
    <row r="412" spans="1:20" ht="14.25" customHeight="1" x14ac:dyDescent="0.25">
      <c r="A412" s="14">
        <v>46159</v>
      </c>
      <c r="B412" s="6" t="s">
        <v>8</v>
      </c>
      <c r="C412" s="16" t="str">
        <f>TRIM(PROPER(ShoeSales[[#This Row],[Product]]))</f>
        <v>Boots</v>
      </c>
      <c r="D412" s="6" t="s">
        <v>74</v>
      </c>
      <c r="E412" s="44" t="str">
        <f>UPPER(ShoeSales[[#This Row],[Category]])</f>
        <v>OPEN</v>
      </c>
      <c r="F412" s="6" t="s">
        <v>49</v>
      </c>
      <c r="G412" s="6" t="s">
        <v>46</v>
      </c>
      <c r="H412" s="16" t="str">
        <f>PROPER(ShoeSales[[#This Row],[Brand]])</f>
        <v>Clarks</v>
      </c>
      <c r="I412" s="6" t="s">
        <v>78</v>
      </c>
      <c r="J412" s="7">
        <v>8</v>
      </c>
      <c r="K412" s="6" t="s">
        <v>62</v>
      </c>
      <c r="L412" s="22">
        <f>VLOOKUP(ShoeSales[[#This Row],[Product Cleaned]],Price!$A$2:$C$9,2,FALSE)</f>
        <v>76</v>
      </c>
      <c r="M412" s="19">
        <f>_xlfn.XLOOKUP(ShoeSales[[#This Row],[Product Cleaned]],Price!$A$2:$A$9,Price!$B$2:$B$9)</f>
        <v>76</v>
      </c>
      <c r="N412" s="19">
        <f>_xlfn.XLOOKUP(ShoeSales[[#This Row],[Product Cleaned]],Price!$A$2:$A$9,Price!$C$2:$C$9)</f>
        <v>39</v>
      </c>
      <c r="O412" s="22">
        <f>ShoeSales[[#This Row],[Sell Price]]*ShoeSales[[#This Row],[Quantity]]</f>
        <v>608</v>
      </c>
      <c r="P412" s="19">
        <f>ShoeSales[[#This Row],[Quantity]]*ShoeSales[[#This Row],[Cost Price]]</f>
        <v>312</v>
      </c>
      <c r="Q412" s="19">
        <f>ShoeSales[[#This Row],[Revenue]]-ShoeSales[[#This Row],[Cost]]</f>
        <v>296</v>
      </c>
      <c r="R412" s="24">
        <f>ShoeSales[[#This Row],[Profit]]/ShoeSales[[#This Row],[Revenue]]</f>
        <v>0.48684210526315791</v>
      </c>
      <c r="S412" s="19"/>
      <c r="T412" s="19" t="str">
        <f>UPPER(TEXT(ShoeSales[[#This Row],[Date]], "mmm"))</f>
        <v>MAY</v>
      </c>
    </row>
    <row r="413" spans="1:20" ht="14.25" customHeight="1" x14ac:dyDescent="0.25">
      <c r="A413" s="15">
        <v>46067</v>
      </c>
      <c r="B413" s="9" t="s">
        <v>10</v>
      </c>
      <c r="C413" s="9" t="str">
        <f>TRIM(PROPER(ShoeSales[[#This Row],[Product]]))</f>
        <v>Oxford</v>
      </c>
      <c r="D413" s="9" t="s">
        <v>37</v>
      </c>
      <c r="E413" s="45" t="str">
        <f>UPPER(ShoeSales[[#This Row],[Category]])</f>
        <v>FORMAL</v>
      </c>
      <c r="F413" s="9" t="s">
        <v>29</v>
      </c>
      <c r="G413" s="9" t="s">
        <v>69</v>
      </c>
      <c r="H413" s="9" t="str">
        <f>PROPER(ShoeSales[[#This Row],[Brand]])</f>
        <v>Zara</v>
      </c>
      <c r="I413" s="9" t="s">
        <v>66</v>
      </c>
      <c r="J413" s="10">
        <v>3</v>
      </c>
      <c r="K413" s="9" t="s">
        <v>32</v>
      </c>
      <c r="L413" s="22">
        <f>VLOOKUP(ShoeSales[[#This Row],[Product Cleaned]],Price!$A$2:$C$9,2,FALSE)</f>
        <v>105</v>
      </c>
      <c r="M413" s="19">
        <f>_xlfn.XLOOKUP(ShoeSales[[#This Row],[Product Cleaned]],Price!$A$2:$A$9,Price!$B$2:$B$9)</f>
        <v>105</v>
      </c>
      <c r="N413" s="19">
        <f>_xlfn.XLOOKUP(ShoeSales[[#This Row],[Product Cleaned]],Price!$A$2:$A$9,Price!$C$2:$C$9)</f>
        <v>58</v>
      </c>
      <c r="O413" s="22">
        <f>ShoeSales[[#This Row],[Sell Price]]*ShoeSales[[#This Row],[Quantity]]</f>
        <v>315</v>
      </c>
      <c r="P413" s="19">
        <f>ShoeSales[[#This Row],[Quantity]]*ShoeSales[[#This Row],[Cost Price]]</f>
        <v>174</v>
      </c>
      <c r="Q413" s="19">
        <f>ShoeSales[[#This Row],[Revenue]]-ShoeSales[[#This Row],[Cost]]</f>
        <v>141</v>
      </c>
      <c r="R413" s="24">
        <f>ShoeSales[[#This Row],[Profit]]/ShoeSales[[#This Row],[Revenue]]</f>
        <v>0.44761904761904764</v>
      </c>
      <c r="S413" s="19"/>
      <c r="T413" s="19" t="str">
        <f>UPPER(TEXT(ShoeSales[[#This Row],[Date]], "mmm"))</f>
        <v>FEB</v>
      </c>
    </row>
    <row r="414" spans="1:20" ht="14.25" customHeight="1" x14ac:dyDescent="0.25">
      <c r="A414" s="14">
        <v>46213</v>
      </c>
      <c r="B414" s="6" t="s">
        <v>44</v>
      </c>
      <c r="C414" s="16" t="str">
        <f>TRIM(PROPER(ShoeSales[[#This Row],[Product]]))</f>
        <v>Boots</v>
      </c>
      <c r="D414" s="6" t="s">
        <v>28</v>
      </c>
      <c r="E414" s="44" t="str">
        <f>UPPER(ShoeSales[[#This Row],[Category]])</f>
        <v>FORMAL</v>
      </c>
      <c r="F414" s="6" t="s">
        <v>29</v>
      </c>
      <c r="G414" s="6" t="s">
        <v>72</v>
      </c>
      <c r="H414" s="16" t="str">
        <f>PROPER(ShoeSales[[#This Row],[Brand]])</f>
        <v>Zara</v>
      </c>
      <c r="I414" s="6" t="s">
        <v>59</v>
      </c>
      <c r="J414" s="7">
        <v>15</v>
      </c>
      <c r="K414" s="6" t="s">
        <v>62</v>
      </c>
      <c r="L414" s="22">
        <f>VLOOKUP(ShoeSales[[#This Row],[Product Cleaned]],Price!$A$2:$C$9,2,FALSE)</f>
        <v>76</v>
      </c>
      <c r="M414" s="19">
        <f>_xlfn.XLOOKUP(ShoeSales[[#This Row],[Product Cleaned]],Price!$A$2:$A$9,Price!$B$2:$B$9)</f>
        <v>76</v>
      </c>
      <c r="N414" s="19">
        <f>_xlfn.XLOOKUP(ShoeSales[[#This Row],[Product Cleaned]],Price!$A$2:$A$9,Price!$C$2:$C$9)</f>
        <v>39</v>
      </c>
      <c r="O414" s="22">
        <f>ShoeSales[[#This Row],[Sell Price]]*ShoeSales[[#This Row],[Quantity]]</f>
        <v>1140</v>
      </c>
      <c r="P414" s="19">
        <f>ShoeSales[[#This Row],[Quantity]]*ShoeSales[[#This Row],[Cost Price]]</f>
        <v>585</v>
      </c>
      <c r="Q414" s="19">
        <f>ShoeSales[[#This Row],[Revenue]]-ShoeSales[[#This Row],[Cost]]</f>
        <v>555</v>
      </c>
      <c r="R414" s="24">
        <f>ShoeSales[[#This Row],[Profit]]/ShoeSales[[#This Row],[Revenue]]</f>
        <v>0.48684210526315791</v>
      </c>
      <c r="S414" s="19"/>
      <c r="T414" s="19" t="str">
        <f>UPPER(TEXT(ShoeSales[[#This Row],[Date]], "mmm"))</f>
        <v>JUL</v>
      </c>
    </row>
    <row r="415" spans="1:20" ht="14.25" customHeight="1" x14ac:dyDescent="0.25">
      <c r="A415" s="15">
        <v>46110</v>
      </c>
      <c r="B415" s="9" t="s">
        <v>60</v>
      </c>
      <c r="C415" s="9" t="str">
        <f>TRIM(PROPER(ShoeSales[[#This Row],[Product]]))</f>
        <v>Oxford</v>
      </c>
      <c r="D415" s="9" t="s">
        <v>93</v>
      </c>
      <c r="E415" s="45" t="str">
        <f>UPPER(ShoeSales[[#This Row],[Category]])</f>
        <v>UTILITY</v>
      </c>
      <c r="F415" s="9" t="s">
        <v>56</v>
      </c>
      <c r="G415" s="9" t="s">
        <v>75</v>
      </c>
      <c r="H415" s="9" t="str">
        <f>PROPER(ShoeSales[[#This Row],[Brand]])</f>
        <v>Steve Madden</v>
      </c>
      <c r="I415" s="9" t="s">
        <v>51</v>
      </c>
      <c r="J415" s="10">
        <v>5</v>
      </c>
      <c r="K415" s="9" t="s">
        <v>36</v>
      </c>
      <c r="L415" s="22">
        <f>VLOOKUP(ShoeSales[[#This Row],[Product Cleaned]],Price!$A$2:$C$9,2,FALSE)</f>
        <v>105</v>
      </c>
      <c r="M415" s="19">
        <f>_xlfn.XLOOKUP(ShoeSales[[#This Row],[Product Cleaned]],Price!$A$2:$A$9,Price!$B$2:$B$9)</f>
        <v>105</v>
      </c>
      <c r="N415" s="19">
        <f>_xlfn.XLOOKUP(ShoeSales[[#This Row],[Product Cleaned]],Price!$A$2:$A$9,Price!$C$2:$C$9)</f>
        <v>58</v>
      </c>
      <c r="O415" s="22">
        <f>ShoeSales[[#This Row],[Sell Price]]*ShoeSales[[#This Row],[Quantity]]</f>
        <v>525</v>
      </c>
      <c r="P415" s="19">
        <f>ShoeSales[[#This Row],[Quantity]]*ShoeSales[[#This Row],[Cost Price]]</f>
        <v>290</v>
      </c>
      <c r="Q415" s="19">
        <f>ShoeSales[[#This Row],[Revenue]]-ShoeSales[[#This Row],[Cost]]</f>
        <v>235</v>
      </c>
      <c r="R415" s="24">
        <f>ShoeSales[[#This Row],[Profit]]/ShoeSales[[#This Row],[Revenue]]</f>
        <v>0.44761904761904764</v>
      </c>
      <c r="S415" s="19"/>
      <c r="T415" s="19" t="str">
        <f>UPPER(TEXT(ShoeSales[[#This Row],[Date]], "mmm"))</f>
        <v>MAR</v>
      </c>
    </row>
    <row r="416" spans="1:20" ht="14.25" customHeight="1" x14ac:dyDescent="0.25">
      <c r="A416" s="14">
        <v>46148</v>
      </c>
      <c r="B416" s="6" t="s">
        <v>60</v>
      </c>
      <c r="C416" s="16" t="str">
        <f>TRIM(PROPER(ShoeSales[[#This Row],[Product]]))</f>
        <v>Oxford</v>
      </c>
      <c r="D416" s="6" t="s">
        <v>42</v>
      </c>
      <c r="E416" s="44" t="str">
        <f>UPPER(ShoeSales[[#This Row],[Category]])</f>
        <v>UTILITY</v>
      </c>
      <c r="F416" s="6" t="s">
        <v>38</v>
      </c>
      <c r="G416" s="6" t="s">
        <v>63</v>
      </c>
      <c r="H416" s="16" t="str">
        <f>PROPER(ShoeSales[[#This Row],[Brand]])</f>
        <v>Clarks</v>
      </c>
      <c r="I416" s="6" t="s">
        <v>47</v>
      </c>
      <c r="J416" s="7">
        <v>2</v>
      </c>
      <c r="K416" s="6" t="s">
        <v>36</v>
      </c>
      <c r="L416" s="22">
        <f>VLOOKUP(ShoeSales[[#This Row],[Product Cleaned]],Price!$A$2:$C$9,2,FALSE)</f>
        <v>105</v>
      </c>
      <c r="M416" s="19">
        <f>_xlfn.XLOOKUP(ShoeSales[[#This Row],[Product Cleaned]],Price!$A$2:$A$9,Price!$B$2:$B$9)</f>
        <v>105</v>
      </c>
      <c r="N416" s="19">
        <f>_xlfn.XLOOKUP(ShoeSales[[#This Row],[Product Cleaned]],Price!$A$2:$A$9,Price!$C$2:$C$9)</f>
        <v>58</v>
      </c>
      <c r="O416" s="22">
        <f>ShoeSales[[#This Row],[Sell Price]]*ShoeSales[[#This Row],[Quantity]]</f>
        <v>210</v>
      </c>
      <c r="P416" s="19">
        <f>ShoeSales[[#This Row],[Quantity]]*ShoeSales[[#This Row],[Cost Price]]</f>
        <v>116</v>
      </c>
      <c r="Q416" s="19">
        <f>ShoeSales[[#This Row],[Revenue]]-ShoeSales[[#This Row],[Cost]]</f>
        <v>94</v>
      </c>
      <c r="R416" s="24">
        <f>ShoeSales[[#This Row],[Profit]]/ShoeSales[[#This Row],[Revenue]]</f>
        <v>0.44761904761904764</v>
      </c>
      <c r="S416" s="19"/>
      <c r="T416" s="19" t="str">
        <f>UPPER(TEXT(ShoeSales[[#This Row],[Date]], "mmm"))</f>
        <v>MAY</v>
      </c>
    </row>
    <row r="417" spans="1:20" ht="14.25" customHeight="1" x14ac:dyDescent="0.25">
      <c r="A417" s="15">
        <v>46134</v>
      </c>
      <c r="B417" s="9" t="s">
        <v>9</v>
      </c>
      <c r="C417" s="9" t="str">
        <f>TRIM(PROPER(ShoeSales[[#This Row],[Product]]))</f>
        <v>Canvas</v>
      </c>
      <c r="D417" s="9" t="s">
        <v>45</v>
      </c>
      <c r="E417" s="45" t="str">
        <f>UPPER(ShoeSales[[#This Row],[Category]])</f>
        <v>CASUAL</v>
      </c>
      <c r="F417" s="9" t="s">
        <v>34</v>
      </c>
      <c r="G417" s="9" t="s">
        <v>69</v>
      </c>
      <c r="H417" s="9" t="str">
        <f>PROPER(ShoeSales[[#This Row],[Brand]])</f>
        <v>Zara</v>
      </c>
      <c r="I417" s="9" t="s">
        <v>43</v>
      </c>
      <c r="J417" s="10">
        <v>14</v>
      </c>
      <c r="K417" s="9" t="s">
        <v>54</v>
      </c>
      <c r="L417" s="22">
        <f>VLOOKUP(ShoeSales[[#This Row],[Product Cleaned]],Price!$A$2:$C$9,2,FALSE)</f>
        <v>128</v>
      </c>
      <c r="M417" s="19">
        <f>_xlfn.XLOOKUP(ShoeSales[[#This Row],[Product Cleaned]],Price!$A$2:$A$9,Price!$B$2:$B$9)</f>
        <v>128</v>
      </c>
      <c r="N417" s="19">
        <f>_xlfn.XLOOKUP(ShoeSales[[#This Row],[Product Cleaned]],Price!$A$2:$A$9,Price!$C$2:$C$9)</f>
        <v>72</v>
      </c>
      <c r="O417" s="22">
        <f>ShoeSales[[#This Row],[Sell Price]]*ShoeSales[[#This Row],[Quantity]]</f>
        <v>1792</v>
      </c>
      <c r="P417" s="19">
        <f>ShoeSales[[#This Row],[Quantity]]*ShoeSales[[#This Row],[Cost Price]]</f>
        <v>1008</v>
      </c>
      <c r="Q417" s="19">
        <f>ShoeSales[[#This Row],[Revenue]]-ShoeSales[[#This Row],[Cost]]</f>
        <v>784</v>
      </c>
      <c r="R417" s="24">
        <f>ShoeSales[[#This Row],[Profit]]/ShoeSales[[#This Row],[Revenue]]</f>
        <v>0.4375</v>
      </c>
      <c r="S417" s="19"/>
      <c r="T417" s="19" t="str">
        <f>UPPER(TEXT(ShoeSales[[#This Row],[Date]], "mmm"))</f>
        <v>APR</v>
      </c>
    </row>
    <row r="418" spans="1:20" ht="14.25" customHeight="1" x14ac:dyDescent="0.25">
      <c r="A418" s="14">
        <v>46077</v>
      </c>
      <c r="B418" s="6" t="s">
        <v>52</v>
      </c>
      <c r="C418" s="16" t="str">
        <f>TRIM(PROPER(ShoeSales[[#This Row],[Product]]))</f>
        <v>Canvas</v>
      </c>
      <c r="D418" s="6" t="s">
        <v>28</v>
      </c>
      <c r="E418" s="44" t="str">
        <f>UPPER(ShoeSales[[#This Row],[Category]])</f>
        <v>FORMAL</v>
      </c>
      <c r="F418" s="6" t="s">
        <v>56</v>
      </c>
      <c r="G418" s="6" t="s">
        <v>95</v>
      </c>
      <c r="H418" s="16" t="str">
        <f>PROPER(ShoeSales[[#This Row],[Brand]])</f>
        <v>Timberland</v>
      </c>
      <c r="I418" s="6" t="s">
        <v>40</v>
      </c>
      <c r="J418" s="7">
        <v>5</v>
      </c>
      <c r="K418" s="6" t="s">
        <v>32</v>
      </c>
      <c r="L418" s="22">
        <f>VLOOKUP(ShoeSales[[#This Row],[Product Cleaned]],Price!$A$2:$C$9,2,FALSE)</f>
        <v>128</v>
      </c>
      <c r="M418" s="19">
        <f>_xlfn.XLOOKUP(ShoeSales[[#This Row],[Product Cleaned]],Price!$A$2:$A$9,Price!$B$2:$B$9)</f>
        <v>128</v>
      </c>
      <c r="N418" s="19">
        <f>_xlfn.XLOOKUP(ShoeSales[[#This Row],[Product Cleaned]],Price!$A$2:$A$9,Price!$C$2:$C$9)</f>
        <v>72</v>
      </c>
      <c r="O418" s="22">
        <f>ShoeSales[[#This Row],[Sell Price]]*ShoeSales[[#This Row],[Quantity]]</f>
        <v>640</v>
      </c>
      <c r="P418" s="19">
        <f>ShoeSales[[#This Row],[Quantity]]*ShoeSales[[#This Row],[Cost Price]]</f>
        <v>360</v>
      </c>
      <c r="Q418" s="19">
        <f>ShoeSales[[#This Row],[Revenue]]-ShoeSales[[#This Row],[Cost]]</f>
        <v>280</v>
      </c>
      <c r="R418" s="24">
        <f>ShoeSales[[#This Row],[Profit]]/ShoeSales[[#This Row],[Revenue]]</f>
        <v>0.4375</v>
      </c>
      <c r="S418" s="19"/>
      <c r="T418" s="19" t="str">
        <f>UPPER(TEXT(ShoeSales[[#This Row],[Date]], "mmm"))</f>
        <v>FEB</v>
      </c>
    </row>
    <row r="419" spans="1:20" ht="14.25" customHeight="1" x14ac:dyDescent="0.25">
      <c r="A419" s="15">
        <v>46155</v>
      </c>
      <c r="B419" s="9" t="s">
        <v>85</v>
      </c>
      <c r="C419" s="9" t="str">
        <f>TRIM(PROPER(ShoeSales[[#This Row],[Product]]))</f>
        <v>Brogues</v>
      </c>
      <c r="D419" s="9" t="s">
        <v>58</v>
      </c>
      <c r="E419" s="45" t="str">
        <f>UPPER(ShoeSales[[#This Row],[Category]])</f>
        <v>FORMAL</v>
      </c>
      <c r="F419" s="9" t="s">
        <v>49</v>
      </c>
      <c r="G419" s="9" t="s">
        <v>63</v>
      </c>
      <c r="H419" s="9" t="str">
        <f>PROPER(ShoeSales[[#This Row],[Brand]])</f>
        <v>Clarks</v>
      </c>
      <c r="I419" s="9" t="s">
        <v>64</v>
      </c>
      <c r="J419" s="10">
        <v>13</v>
      </c>
      <c r="K419" s="9" t="s">
        <v>62</v>
      </c>
      <c r="L419" s="22">
        <f>VLOOKUP(ShoeSales[[#This Row],[Product Cleaned]],Price!$A$2:$C$9,2,FALSE)</f>
        <v>112</v>
      </c>
      <c r="M419" s="19">
        <f>_xlfn.XLOOKUP(ShoeSales[[#This Row],[Product Cleaned]],Price!$A$2:$A$9,Price!$B$2:$B$9)</f>
        <v>112</v>
      </c>
      <c r="N419" s="19">
        <f>_xlfn.XLOOKUP(ShoeSales[[#This Row],[Product Cleaned]],Price!$A$2:$A$9,Price!$C$2:$C$9)</f>
        <v>64</v>
      </c>
      <c r="O419" s="22">
        <f>ShoeSales[[#This Row],[Sell Price]]*ShoeSales[[#This Row],[Quantity]]</f>
        <v>1456</v>
      </c>
      <c r="P419" s="19">
        <f>ShoeSales[[#This Row],[Quantity]]*ShoeSales[[#This Row],[Cost Price]]</f>
        <v>832</v>
      </c>
      <c r="Q419" s="19">
        <f>ShoeSales[[#This Row],[Revenue]]-ShoeSales[[#This Row],[Cost]]</f>
        <v>624</v>
      </c>
      <c r="R419" s="24">
        <f>ShoeSales[[#This Row],[Profit]]/ShoeSales[[#This Row],[Revenue]]</f>
        <v>0.42857142857142855</v>
      </c>
      <c r="S419" s="19"/>
      <c r="T419" s="19" t="str">
        <f>UPPER(TEXT(ShoeSales[[#This Row],[Date]], "mmm"))</f>
        <v>MAY</v>
      </c>
    </row>
    <row r="420" spans="1:20" ht="14.25" customHeight="1" x14ac:dyDescent="0.25">
      <c r="A420" s="14">
        <v>46172</v>
      </c>
      <c r="B420" s="6" t="s">
        <v>92</v>
      </c>
      <c r="C420" s="16" t="str">
        <f>TRIM(PROPER(ShoeSales[[#This Row],[Product]]))</f>
        <v>Canvas</v>
      </c>
      <c r="D420" s="6" t="s">
        <v>28</v>
      </c>
      <c r="E420" s="44" t="str">
        <f>UPPER(ShoeSales[[#This Row],[Category]])</f>
        <v>FORMAL</v>
      </c>
      <c r="F420" s="6" t="s">
        <v>38</v>
      </c>
      <c r="G420" s="6" t="s">
        <v>57</v>
      </c>
      <c r="H420" s="16" t="str">
        <f>PROPER(ShoeSales[[#This Row],[Brand]])</f>
        <v>Timberland</v>
      </c>
      <c r="I420" s="6" t="s">
        <v>47</v>
      </c>
      <c r="J420" s="7">
        <v>3</v>
      </c>
      <c r="K420" s="6" t="s">
        <v>32</v>
      </c>
      <c r="L420" s="22">
        <f>VLOOKUP(ShoeSales[[#This Row],[Product Cleaned]],Price!$A$2:$C$9,2,FALSE)</f>
        <v>128</v>
      </c>
      <c r="M420" s="19">
        <f>_xlfn.XLOOKUP(ShoeSales[[#This Row],[Product Cleaned]],Price!$A$2:$A$9,Price!$B$2:$B$9)</f>
        <v>128</v>
      </c>
      <c r="N420" s="19">
        <f>_xlfn.XLOOKUP(ShoeSales[[#This Row],[Product Cleaned]],Price!$A$2:$A$9,Price!$C$2:$C$9)</f>
        <v>72</v>
      </c>
      <c r="O420" s="22">
        <f>ShoeSales[[#This Row],[Sell Price]]*ShoeSales[[#This Row],[Quantity]]</f>
        <v>384</v>
      </c>
      <c r="P420" s="19">
        <f>ShoeSales[[#This Row],[Quantity]]*ShoeSales[[#This Row],[Cost Price]]</f>
        <v>216</v>
      </c>
      <c r="Q420" s="19">
        <f>ShoeSales[[#This Row],[Revenue]]-ShoeSales[[#This Row],[Cost]]</f>
        <v>168</v>
      </c>
      <c r="R420" s="24">
        <f>ShoeSales[[#This Row],[Profit]]/ShoeSales[[#This Row],[Revenue]]</f>
        <v>0.4375</v>
      </c>
      <c r="S420" s="19"/>
      <c r="T420" s="19" t="str">
        <f>UPPER(TEXT(ShoeSales[[#This Row],[Date]], "mmm"))</f>
        <v>MAY</v>
      </c>
    </row>
    <row r="421" spans="1:20" ht="14.25" customHeight="1" x14ac:dyDescent="0.25">
      <c r="A421" s="15">
        <v>46087</v>
      </c>
      <c r="B421" s="9" t="s">
        <v>15</v>
      </c>
      <c r="C421" s="9" t="str">
        <f>TRIM(PROPER(ShoeSales[[#This Row],[Product]]))</f>
        <v>Slippers</v>
      </c>
      <c r="D421" s="9" t="s">
        <v>28</v>
      </c>
      <c r="E421" s="45" t="str">
        <f>UPPER(ShoeSales[[#This Row],[Category]])</f>
        <v>FORMAL</v>
      </c>
      <c r="F421" s="9" t="s">
        <v>38</v>
      </c>
      <c r="G421" s="9" t="s">
        <v>46</v>
      </c>
      <c r="H421" s="9" t="str">
        <f>PROPER(ShoeSales[[#This Row],[Brand]])</f>
        <v>Clarks</v>
      </c>
      <c r="I421" s="9" t="s">
        <v>84</v>
      </c>
      <c r="J421" s="10">
        <v>8</v>
      </c>
      <c r="K421" s="9" t="s">
        <v>36</v>
      </c>
      <c r="L421" s="22">
        <f>VLOOKUP(ShoeSales[[#This Row],[Product Cleaned]],Price!$A$2:$C$9,2,FALSE)</f>
        <v>119</v>
      </c>
      <c r="M421" s="19">
        <f>_xlfn.XLOOKUP(ShoeSales[[#This Row],[Product Cleaned]],Price!$A$2:$A$9,Price!$B$2:$B$9)</f>
        <v>119</v>
      </c>
      <c r="N421" s="19">
        <f>_xlfn.XLOOKUP(ShoeSales[[#This Row],[Product Cleaned]],Price!$A$2:$A$9,Price!$C$2:$C$9)</f>
        <v>67</v>
      </c>
      <c r="O421" s="22">
        <f>ShoeSales[[#This Row],[Sell Price]]*ShoeSales[[#This Row],[Quantity]]</f>
        <v>952</v>
      </c>
      <c r="P421" s="19">
        <f>ShoeSales[[#This Row],[Quantity]]*ShoeSales[[#This Row],[Cost Price]]</f>
        <v>536</v>
      </c>
      <c r="Q421" s="19">
        <f>ShoeSales[[#This Row],[Revenue]]-ShoeSales[[#This Row],[Cost]]</f>
        <v>416</v>
      </c>
      <c r="R421" s="24">
        <f>ShoeSales[[#This Row],[Profit]]/ShoeSales[[#This Row],[Revenue]]</f>
        <v>0.43697478991596639</v>
      </c>
      <c r="S421" s="19"/>
      <c r="T421" s="19" t="str">
        <f>UPPER(TEXT(ShoeSales[[#This Row],[Date]], "mmm"))</f>
        <v>MAR</v>
      </c>
    </row>
    <row r="422" spans="1:20" ht="14.25" customHeight="1" x14ac:dyDescent="0.25">
      <c r="A422" s="14">
        <v>46235</v>
      </c>
      <c r="B422" s="6" t="s">
        <v>88</v>
      </c>
      <c r="C422" s="16" t="str">
        <f>TRIM(PROPER(ShoeSales[[#This Row],[Product]]))</f>
        <v>Slippers</v>
      </c>
      <c r="D422" s="6" t="s">
        <v>48</v>
      </c>
      <c r="E422" s="44" t="str">
        <f>UPPER(ShoeSales[[#This Row],[Category]])</f>
        <v>UTILITY</v>
      </c>
      <c r="F422" s="6" t="s">
        <v>29</v>
      </c>
      <c r="G422" s="6" t="s">
        <v>46</v>
      </c>
      <c r="H422" s="16" t="str">
        <f>PROPER(ShoeSales[[#This Row],[Brand]])</f>
        <v>Clarks</v>
      </c>
      <c r="I422" s="6" t="s">
        <v>84</v>
      </c>
      <c r="J422" s="7">
        <v>1</v>
      </c>
      <c r="K422" s="6" t="s">
        <v>62</v>
      </c>
      <c r="L422" s="22">
        <f>VLOOKUP(ShoeSales[[#This Row],[Product Cleaned]],Price!$A$2:$C$9,2,FALSE)</f>
        <v>119</v>
      </c>
      <c r="M422" s="19">
        <f>_xlfn.XLOOKUP(ShoeSales[[#This Row],[Product Cleaned]],Price!$A$2:$A$9,Price!$B$2:$B$9)</f>
        <v>119</v>
      </c>
      <c r="N422" s="19">
        <f>_xlfn.XLOOKUP(ShoeSales[[#This Row],[Product Cleaned]],Price!$A$2:$A$9,Price!$C$2:$C$9)</f>
        <v>67</v>
      </c>
      <c r="O422" s="22">
        <f>ShoeSales[[#This Row],[Sell Price]]*ShoeSales[[#This Row],[Quantity]]</f>
        <v>119</v>
      </c>
      <c r="P422" s="19">
        <f>ShoeSales[[#This Row],[Quantity]]*ShoeSales[[#This Row],[Cost Price]]</f>
        <v>67</v>
      </c>
      <c r="Q422" s="19">
        <f>ShoeSales[[#This Row],[Revenue]]-ShoeSales[[#This Row],[Cost]]</f>
        <v>52</v>
      </c>
      <c r="R422" s="24">
        <f>ShoeSales[[#This Row],[Profit]]/ShoeSales[[#This Row],[Revenue]]</f>
        <v>0.43697478991596639</v>
      </c>
      <c r="S422" s="19"/>
      <c r="T422" s="19" t="str">
        <f>UPPER(TEXT(ShoeSales[[#This Row],[Date]], "mmm"))</f>
        <v>AUG</v>
      </c>
    </row>
    <row r="423" spans="1:20" ht="14.25" customHeight="1" x14ac:dyDescent="0.25">
      <c r="A423" s="15">
        <v>46052</v>
      </c>
      <c r="B423" s="9" t="s">
        <v>70</v>
      </c>
      <c r="C423" s="9" t="str">
        <f>TRIM(PROPER(ShoeSales[[#This Row],[Product]]))</f>
        <v>Derby</v>
      </c>
      <c r="D423" s="9" t="s">
        <v>45</v>
      </c>
      <c r="E423" s="45" t="str">
        <f>UPPER(ShoeSales[[#This Row],[Category]])</f>
        <v>CASUAL</v>
      </c>
      <c r="F423" s="9" t="s">
        <v>49</v>
      </c>
      <c r="G423" s="9" t="s">
        <v>81</v>
      </c>
      <c r="H423" s="9" t="str">
        <f>PROPER(ShoeSales[[#This Row],[Brand]])</f>
        <v>Steve Madden</v>
      </c>
      <c r="I423" s="9" t="s">
        <v>47</v>
      </c>
      <c r="J423" s="10">
        <v>5</v>
      </c>
      <c r="K423" s="9" t="s">
        <v>54</v>
      </c>
      <c r="L423" s="22">
        <f>VLOOKUP(ShoeSales[[#This Row],[Product Cleaned]],Price!$A$2:$C$9,2,FALSE)</f>
        <v>32</v>
      </c>
      <c r="M423" s="19">
        <f>_xlfn.XLOOKUP(ShoeSales[[#This Row],[Product Cleaned]],Price!$A$2:$A$9,Price!$B$2:$B$9)</f>
        <v>32</v>
      </c>
      <c r="N423" s="19">
        <f>_xlfn.XLOOKUP(ShoeSales[[#This Row],[Product Cleaned]],Price!$A$2:$A$9,Price!$C$2:$C$9)</f>
        <v>14</v>
      </c>
      <c r="O423" s="22">
        <f>ShoeSales[[#This Row],[Sell Price]]*ShoeSales[[#This Row],[Quantity]]</f>
        <v>160</v>
      </c>
      <c r="P423" s="19">
        <f>ShoeSales[[#This Row],[Quantity]]*ShoeSales[[#This Row],[Cost Price]]</f>
        <v>70</v>
      </c>
      <c r="Q423" s="19">
        <f>ShoeSales[[#This Row],[Revenue]]-ShoeSales[[#This Row],[Cost]]</f>
        <v>90</v>
      </c>
      <c r="R423" s="24">
        <f>ShoeSales[[#This Row],[Profit]]/ShoeSales[[#This Row],[Revenue]]</f>
        <v>0.5625</v>
      </c>
      <c r="S423" s="19"/>
      <c r="T423" s="19" t="str">
        <f>UPPER(TEXT(ShoeSales[[#This Row],[Date]], "mmm"))</f>
        <v>JAN</v>
      </c>
    </row>
    <row r="424" spans="1:20" ht="14.25" customHeight="1" x14ac:dyDescent="0.25">
      <c r="A424" s="14">
        <v>46208</v>
      </c>
      <c r="B424" s="6" t="s">
        <v>15</v>
      </c>
      <c r="C424" s="16" t="str">
        <f>TRIM(PROPER(ShoeSales[[#This Row],[Product]]))</f>
        <v>Slippers</v>
      </c>
      <c r="D424" s="6" t="s">
        <v>71</v>
      </c>
      <c r="E424" s="44" t="str">
        <f>UPPER(ShoeSales[[#This Row],[Category]])</f>
        <v>CASUAL</v>
      </c>
      <c r="F424" s="6" t="s">
        <v>38</v>
      </c>
      <c r="G424" s="6" t="s">
        <v>72</v>
      </c>
      <c r="H424" s="16" t="str">
        <f>PROPER(ShoeSales[[#This Row],[Brand]])</f>
        <v>Zara</v>
      </c>
      <c r="I424" s="6" t="s">
        <v>64</v>
      </c>
      <c r="J424" s="7">
        <v>8</v>
      </c>
      <c r="K424" s="6" t="s">
        <v>32</v>
      </c>
      <c r="L424" s="22">
        <f>VLOOKUP(ShoeSales[[#This Row],[Product Cleaned]],Price!$A$2:$C$9,2,FALSE)</f>
        <v>119</v>
      </c>
      <c r="M424" s="19">
        <f>_xlfn.XLOOKUP(ShoeSales[[#This Row],[Product Cleaned]],Price!$A$2:$A$9,Price!$B$2:$B$9)</f>
        <v>119</v>
      </c>
      <c r="N424" s="19">
        <f>_xlfn.XLOOKUP(ShoeSales[[#This Row],[Product Cleaned]],Price!$A$2:$A$9,Price!$C$2:$C$9)</f>
        <v>67</v>
      </c>
      <c r="O424" s="22">
        <f>ShoeSales[[#This Row],[Sell Price]]*ShoeSales[[#This Row],[Quantity]]</f>
        <v>952</v>
      </c>
      <c r="P424" s="19">
        <f>ShoeSales[[#This Row],[Quantity]]*ShoeSales[[#This Row],[Cost Price]]</f>
        <v>536</v>
      </c>
      <c r="Q424" s="19">
        <f>ShoeSales[[#This Row],[Revenue]]-ShoeSales[[#This Row],[Cost]]</f>
        <v>416</v>
      </c>
      <c r="R424" s="24">
        <f>ShoeSales[[#This Row],[Profit]]/ShoeSales[[#This Row],[Revenue]]</f>
        <v>0.43697478991596639</v>
      </c>
      <c r="S424" s="19"/>
      <c r="T424" s="19" t="str">
        <f>UPPER(TEXT(ShoeSales[[#This Row],[Date]], "mmm"))</f>
        <v>JUL</v>
      </c>
    </row>
    <row r="425" spans="1:20" ht="14.25" customHeight="1" x14ac:dyDescent="0.25">
      <c r="A425" s="15">
        <v>46134</v>
      </c>
      <c r="B425" s="9" t="s">
        <v>70</v>
      </c>
      <c r="C425" s="9" t="str">
        <f>TRIM(PROPER(ShoeSales[[#This Row],[Product]]))</f>
        <v>Derby</v>
      </c>
      <c r="D425" s="9" t="s">
        <v>58</v>
      </c>
      <c r="E425" s="45" t="str">
        <f>UPPER(ShoeSales[[#This Row],[Category]])</f>
        <v>FORMAL</v>
      </c>
      <c r="F425" s="9" t="s">
        <v>49</v>
      </c>
      <c r="G425" s="9" t="s">
        <v>75</v>
      </c>
      <c r="H425" s="9" t="str">
        <f>PROPER(ShoeSales[[#This Row],[Brand]])</f>
        <v>Steve Madden</v>
      </c>
      <c r="I425" s="9" t="s">
        <v>53</v>
      </c>
      <c r="J425" s="10">
        <v>4</v>
      </c>
      <c r="K425" s="9" t="s">
        <v>36</v>
      </c>
      <c r="L425" s="22">
        <f>VLOOKUP(ShoeSales[[#This Row],[Product Cleaned]],Price!$A$2:$C$9,2,FALSE)</f>
        <v>32</v>
      </c>
      <c r="M425" s="19">
        <f>_xlfn.XLOOKUP(ShoeSales[[#This Row],[Product Cleaned]],Price!$A$2:$A$9,Price!$B$2:$B$9)</f>
        <v>32</v>
      </c>
      <c r="N425" s="19">
        <f>_xlfn.XLOOKUP(ShoeSales[[#This Row],[Product Cleaned]],Price!$A$2:$A$9,Price!$C$2:$C$9)</f>
        <v>14</v>
      </c>
      <c r="O425" s="22">
        <f>ShoeSales[[#This Row],[Sell Price]]*ShoeSales[[#This Row],[Quantity]]</f>
        <v>128</v>
      </c>
      <c r="P425" s="19">
        <f>ShoeSales[[#This Row],[Quantity]]*ShoeSales[[#This Row],[Cost Price]]</f>
        <v>56</v>
      </c>
      <c r="Q425" s="19">
        <f>ShoeSales[[#This Row],[Revenue]]-ShoeSales[[#This Row],[Cost]]</f>
        <v>72</v>
      </c>
      <c r="R425" s="24">
        <f>ShoeSales[[#This Row],[Profit]]/ShoeSales[[#This Row],[Revenue]]</f>
        <v>0.5625</v>
      </c>
      <c r="S425" s="19"/>
      <c r="T425" s="19" t="str">
        <f>UPPER(TEXT(ShoeSales[[#This Row],[Date]], "mmm"))</f>
        <v>APR</v>
      </c>
    </row>
    <row r="426" spans="1:20" ht="14.25" customHeight="1" x14ac:dyDescent="0.25">
      <c r="A426" s="14">
        <v>46202</v>
      </c>
      <c r="B426" s="6" t="s">
        <v>83</v>
      </c>
      <c r="C426" s="16" t="str">
        <f>TRIM(PROPER(ShoeSales[[#This Row],[Product]]))</f>
        <v>Monk Straps</v>
      </c>
      <c r="D426" s="6" t="s">
        <v>71</v>
      </c>
      <c r="E426" s="44" t="str">
        <f>UPPER(ShoeSales[[#This Row],[Category]])</f>
        <v>CASUAL</v>
      </c>
      <c r="F426" s="6" t="s">
        <v>49</v>
      </c>
      <c r="G426" s="6" t="s">
        <v>63</v>
      </c>
      <c r="H426" s="16" t="str">
        <f>PROPER(ShoeSales[[#This Row],[Brand]])</f>
        <v>Clarks</v>
      </c>
      <c r="I426" s="6" t="s">
        <v>47</v>
      </c>
      <c r="J426" s="7">
        <v>4</v>
      </c>
      <c r="K426" s="6" t="s">
        <v>36</v>
      </c>
      <c r="L426" s="22">
        <f>VLOOKUP(ShoeSales[[#This Row],[Product Cleaned]],Price!$A$2:$C$9,2,FALSE)</f>
        <v>89</v>
      </c>
      <c r="M426" s="19">
        <f>_xlfn.XLOOKUP(ShoeSales[[#This Row],[Product Cleaned]],Price!$A$2:$A$9,Price!$B$2:$B$9)</f>
        <v>89</v>
      </c>
      <c r="N426" s="19">
        <f>_xlfn.XLOOKUP(ShoeSales[[#This Row],[Product Cleaned]],Price!$A$2:$A$9,Price!$C$2:$C$9)</f>
        <v>47</v>
      </c>
      <c r="O426" s="22">
        <f>ShoeSales[[#This Row],[Sell Price]]*ShoeSales[[#This Row],[Quantity]]</f>
        <v>356</v>
      </c>
      <c r="P426" s="19">
        <f>ShoeSales[[#This Row],[Quantity]]*ShoeSales[[#This Row],[Cost Price]]</f>
        <v>188</v>
      </c>
      <c r="Q426" s="19">
        <f>ShoeSales[[#This Row],[Revenue]]-ShoeSales[[#This Row],[Cost]]</f>
        <v>168</v>
      </c>
      <c r="R426" s="24">
        <f>ShoeSales[[#This Row],[Profit]]/ShoeSales[[#This Row],[Revenue]]</f>
        <v>0.47191011235955055</v>
      </c>
      <c r="S426" s="19"/>
      <c r="T426" s="19" t="str">
        <f>UPPER(TEXT(ShoeSales[[#This Row],[Date]], "mmm"))</f>
        <v>JUN</v>
      </c>
    </row>
    <row r="427" spans="1:20" ht="14.25" customHeight="1" x14ac:dyDescent="0.25">
      <c r="A427" s="15">
        <v>46154</v>
      </c>
      <c r="B427" s="9" t="s">
        <v>12</v>
      </c>
      <c r="C427" s="9" t="str">
        <f>TRIM(PROPER(ShoeSales[[#This Row],[Product]]))</f>
        <v>Brogues</v>
      </c>
      <c r="D427" s="9" t="s">
        <v>45</v>
      </c>
      <c r="E427" s="45" t="str">
        <f>UPPER(ShoeSales[[#This Row],[Category]])</f>
        <v>CASUAL</v>
      </c>
      <c r="F427" s="9" t="s">
        <v>34</v>
      </c>
      <c r="G427" s="9" t="s">
        <v>75</v>
      </c>
      <c r="H427" s="9" t="str">
        <f>PROPER(ShoeSales[[#This Row],[Brand]])</f>
        <v>Steve Madden</v>
      </c>
      <c r="I427" s="9" t="s">
        <v>78</v>
      </c>
      <c r="J427" s="10">
        <v>10</v>
      </c>
      <c r="K427" s="9" t="s">
        <v>36</v>
      </c>
      <c r="L427" s="22">
        <f>VLOOKUP(ShoeSales[[#This Row],[Product Cleaned]],Price!$A$2:$C$9,2,FALSE)</f>
        <v>112</v>
      </c>
      <c r="M427" s="19">
        <f>_xlfn.XLOOKUP(ShoeSales[[#This Row],[Product Cleaned]],Price!$A$2:$A$9,Price!$B$2:$B$9)</f>
        <v>112</v>
      </c>
      <c r="N427" s="19">
        <f>_xlfn.XLOOKUP(ShoeSales[[#This Row],[Product Cleaned]],Price!$A$2:$A$9,Price!$C$2:$C$9)</f>
        <v>64</v>
      </c>
      <c r="O427" s="22">
        <f>ShoeSales[[#This Row],[Sell Price]]*ShoeSales[[#This Row],[Quantity]]</f>
        <v>1120</v>
      </c>
      <c r="P427" s="19">
        <f>ShoeSales[[#This Row],[Quantity]]*ShoeSales[[#This Row],[Cost Price]]</f>
        <v>640</v>
      </c>
      <c r="Q427" s="19">
        <f>ShoeSales[[#This Row],[Revenue]]-ShoeSales[[#This Row],[Cost]]</f>
        <v>480</v>
      </c>
      <c r="R427" s="24">
        <f>ShoeSales[[#This Row],[Profit]]/ShoeSales[[#This Row],[Revenue]]</f>
        <v>0.42857142857142855</v>
      </c>
      <c r="S427" s="19"/>
      <c r="T427" s="19" t="str">
        <f>UPPER(TEXT(ShoeSales[[#This Row],[Date]], "mmm"))</f>
        <v>MAY</v>
      </c>
    </row>
    <row r="428" spans="1:20" ht="14.25" customHeight="1" x14ac:dyDescent="0.25">
      <c r="A428" s="14">
        <v>46062</v>
      </c>
      <c r="B428" s="6" t="s">
        <v>12</v>
      </c>
      <c r="C428" s="16" t="str">
        <f>TRIM(PROPER(ShoeSales[[#This Row],[Product]]))</f>
        <v>Brogues</v>
      </c>
      <c r="D428" s="6" t="s">
        <v>28</v>
      </c>
      <c r="E428" s="44" t="str">
        <f>UPPER(ShoeSales[[#This Row],[Category]])</f>
        <v>FORMAL</v>
      </c>
      <c r="F428" s="6" t="s">
        <v>29</v>
      </c>
      <c r="G428" s="6" t="s">
        <v>72</v>
      </c>
      <c r="H428" s="16" t="str">
        <f>PROPER(ShoeSales[[#This Row],[Brand]])</f>
        <v>Zara</v>
      </c>
      <c r="I428" s="6" t="s">
        <v>31</v>
      </c>
      <c r="J428" s="7">
        <v>8</v>
      </c>
      <c r="K428" s="6" t="s">
        <v>54</v>
      </c>
      <c r="L428" s="22">
        <f>VLOOKUP(ShoeSales[[#This Row],[Product Cleaned]],Price!$A$2:$C$9,2,FALSE)</f>
        <v>112</v>
      </c>
      <c r="M428" s="19">
        <f>_xlfn.XLOOKUP(ShoeSales[[#This Row],[Product Cleaned]],Price!$A$2:$A$9,Price!$B$2:$B$9)</f>
        <v>112</v>
      </c>
      <c r="N428" s="19">
        <f>_xlfn.XLOOKUP(ShoeSales[[#This Row],[Product Cleaned]],Price!$A$2:$A$9,Price!$C$2:$C$9)</f>
        <v>64</v>
      </c>
      <c r="O428" s="22">
        <f>ShoeSales[[#This Row],[Sell Price]]*ShoeSales[[#This Row],[Quantity]]</f>
        <v>896</v>
      </c>
      <c r="P428" s="19">
        <f>ShoeSales[[#This Row],[Quantity]]*ShoeSales[[#This Row],[Cost Price]]</f>
        <v>512</v>
      </c>
      <c r="Q428" s="19">
        <f>ShoeSales[[#This Row],[Revenue]]-ShoeSales[[#This Row],[Cost]]</f>
        <v>384</v>
      </c>
      <c r="R428" s="24">
        <f>ShoeSales[[#This Row],[Profit]]/ShoeSales[[#This Row],[Revenue]]</f>
        <v>0.42857142857142855</v>
      </c>
      <c r="S428" s="19"/>
      <c r="T428" s="19" t="str">
        <f>UPPER(TEXT(ShoeSales[[#This Row],[Date]], "mmm"))</f>
        <v>FEB</v>
      </c>
    </row>
    <row r="429" spans="1:20" ht="14.25" customHeight="1" x14ac:dyDescent="0.25">
      <c r="A429" s="15">
        <v>46108</v>
      </c>
      <c r="B429" s="9" t="s">
        <v>83</v>
      </c>
      <c r="C429" s="9" t="str">
        <f>TRIM(PROPER(ShoeSales[[#This Row],[Product]]))</f>
        <v>Monk Straps</v>
      </c>
      <c r="D429" s="9" t="s">
        <v>77</v>
      </c>
      <c r="E429" s="45" t="str">
        <f>UPPER(ShoeSales[[#This Row],[Category]])</f>
        <v>CASUAL</v>
      </c>
      <c r="F429" s="9" t="s">
        <v>38</v>
      </c>
      <c r="G429" s="9" t="s">
        <v>50</v>
      </c>
      <c r="H429" s="9" t="str">
        <f>PROPER(ShoeSales[[#This Row],[Brand]])</f>
        <v>Nike</v>
      </c>
      <c r="I429" s="9" t="s">
        <v>47</v>
      </c>
      <c r="J429" s="10">
        <v>5</v>
      </c>
      <c r="K429" s="9" t="s">
        <v>32</v>
      </c>
      <c r="L429" s="22">
        <f>VLOOKUP(ShoeSales[[#This Row],[Product Cleaned]],Price!$A$2:$C$9,2,FALSE)</f>
        <v>89</v>
      </c>
      <c r="M429" s="19">
        <f>_xlfn.XLOOKUP(ShoeSales[[#This Row],[Product Cleaned]],Price!$A$2:$A$9,Price!$B$2:$B$9)</f>
        <v>89</v>
      </c>
      <c r="N429" s="19">
        <f>_xlfn.XLOOKUP(ShoeSales[[#This Row],[Product Cleaned]],Price!$A$2:$A$9,Price!$C$2:$C$9)</f>
        <v>47</v>
      </c>
      <c r="O429" s="22">
        <f>ShoeSales[[#This Row],[Sell Price]]*ShoeSales[[#This Row],[Quantity]]</f>
        <v>445</v>
      </c>
      <c r="P429" s="19">
        <f>ShoeSales[[#This Row],[Quantity]]*ShoeSales[[#This Row],[Cost Price]]</f>
        <v>235</v>
      </c>
      <c r="Q429" s="19">
        <f>ShoeSales[[#This Row],[Revenue]]-ShoeSales[[#This Row],[Cost]]</f>
        <v>210</v>
      </c>
      <c r="R429" s="24">
        <f>ShoeSales[[#This Row],[Profit]]/ShoeSales[[#This Row],[Revenue]]</f>
        <v>0.47191011235955055</v>
      </c>
      <c r="S429" s="19"/>
      <c r="T429" s="19" t="str">
        <f>UPPER(TEXT(ShoeSales[[#This Row],[Date]], "mmm"))</f>
        <v>MAR</v>
      </c>
    </row>
    <row r="430" spans="1:20" ht="14.25" customHeight="1" x14ac:dyDescent="0.25">
      <c r="A430" s="14">
        <v>46106</v>
      </c>
      <c r="B430" s="6" t="s">
        <v>12</v>
      </c>
      <c r="C430" s="16" t="str">
        <f>TRIM(PROPER(ShoeSales[[#This Row],[Product]]))</f>
        <v>Brogues</v>
      </c>
      <c r="D430" s="6" t="s">
        <v>45</v>
      </c>
      <c r="E430" s="44" t="str">
        <f>UPPER(ShoeSales[[#This Row],[Category]])</f>
        <v>CASUAL</v>
      </c>
      <c r="F430" s="6" t="s">
        <v>29</v>
      </c>
      <c r="G430" s="6" t="s">
        <v>57</v>
      </c>
      <c r="H430" s="16" t="str">
        <f>PROPER(ShoeSales[[#This Row],[Brand]])</f>
        <v>Timberland</v>
      </c>
      <c r="I430" s="6" t="s">
        <v>91</v>
      </c>
      <c r="J430" s="7">
        <v>2</v>
      </c>
      <c r="K430" s="6" t="s">
        <v>36</v>
      </c>
      <c r="L430" s="22">
        <f>VLOOKUP(ShoeSales[[#This Row],[Product Cleaned]],Price!$A$2:$C$9,2,FALSE)</f>
        <v>112</v>
      </c>
      <c r="M430" s="19">
        <f>_xlfn.XLOOKUP(ShoeSales[[#This Row],[Product Cleaned]],Price!$A$2:$A$9,Price!$B$2:$B$9)</f>
        <v>112</v>
      </c>
      <c r="N430" s="19">
        <f>_xlfn.XLOOKUP(ShoeSales[[#This Row],[Product Cleaned]],Price!$A$2:$A$9,Price!$C$2:$C$9)</f>
        <v>64</v>
      </c>
      <c r="O430" s="22">
        <f>ShoeSales[[#This Row],[Sell Price]]*ShoeSales[[#This Row],[Quantity]]</f>
        <v>224</v>
      </c>
      <c r="P430" s="19">
        <f>ShoeSales[[#This Row],[Quantity]]*ShoeSales[[#This Row],[Cost Price]]</f>
        <v>128</v>
      </c>
      <c r="Q430" s="19">
        <f>ShoeSales[[#This Row],[Revenue]]-ShoeSales[[#This Row],[Cost]]</f>
        <v>96</v>
      </c>
      <c r="R430" s="24">
        <f>ShoeSales[[#This Row],[Profit]]/ShoeSales[[#This Row],[Revenue]]</f>
        <v>0.42857142857142855</v>
      </c>
      <c r="S430" s="19"/>
      <c r="T430" s="19" t="str">
        <f>UPPER(TEXT(ShoeSales[[#This Row],[Date]], "mmm"))</f>
        <v>MAR</v>
      </c>
    </row>
    <row r="431" spans="1:20" ht="14.25" customHeight="1" x14ac:dyDescent="0.25">
      <c r="A431" s="15">
        <v>46209</v>
      </c>
      <c r="B431" s="9" t="s">
        <v>52</v>
      </c>
      <c r="C431" s="9" t="str">
        <f>TRIM(PROPER(ShoeSales[[#This Row],[Product]]))</f>
        <v>Canvas</v>
      </c>
      <c r="D431" s="9" t="s">
        <v>71</v>
      </c>
      <c r="E431" s="45" t="str">
        <f>UPPER(ShoeSales[[#This Row],[Category]])</f>
        <v>CASUAL</v>
      </c>
      <c r="F431" s="9" t="s">
        <v>29</v>
      </c>
      <c r="G431" s="9" t="s">
        <v>57</v>
      </c>
      <c r="H431" s="9" t="str">
        <f>PROPER(ShoeSales[[#This Row],[Brand]])</f>
        <v>Timberland</v>
      </c>
      <c r="I431" s="9" t="s">
        <v>91</v>
      </c>
      <c r="J431" s="10">
        <v>6</v>
      </c>
      <c r="K431" s="9" t="s">
        <v>62</v>
      </c>
      <c r="L431" s="22">
        <f>VLOOKUP(ShoeSales[[#This Row],[Product Cleaned]],Price!$A$2:$C$9,2,FALSE)</f>
        <v>128</v>
      </c>
      <c r="M431" s="19">
        <f>_xlfn.XLOOKUP(ShoeSales[[#This Row],[Product Cleaned]],Price!$A$2:$A$9,Price!$B$2:$B$9)</f>
        <v>128</v>
      </c>
      <c r="N431" s="19">
        <f>_xlfn.XLOOKUP(ShoeSales[[#This Row],[Product Cleaned]],Price!$A$2:$A$9,Price!$C$2:$C$9)</f>
        <v>72</v>
      </c>
      <c r="O431" s="22">
        <f>ShoeSales[[#This Row],[Sell Price]]*ShoeSales[[#This Row],[Quantity]]</f>
        <v>768</v>
      </c>
      <c r="P431" s="19">
        <f>ShoeSales[[#This Row],[Quantity]]*ShoeSales[[#This Row],[Cost Price]]</f>
        <v>432</v>
      </c>
      <c r="Q431" s="19">
        <f>ShoeSales[[#This Row],[Revenue]]-ShoeSales[[#This Row],[Cost]]</f>
        <v>336</v>
      </c>
      <c r="R431" s="24">
        <f>ShoeSales[[#This Row],[Profit]]/ShoeSales[[#This Row],[Revenue]]</f>
        <v>0.4375</v>
      </c>
      <c r="S431" s="19"/>
      <c r="T431" s="19" t="str">
        <f>UPPER(TEXT(ShoeSales[[#This Row],[Date]], "mmm"))</f>
        <v>JUL</v>
      </c>
    </row>
    <row r="432" spans="1:20" ht="14.25" customHeight="1" x14ac:dyDescent="0.25">
      <c r="A432" s="14">
        <v>46247</v>
      </c>
      <c r="B432" s="6" t="s">
        <v>79</v>
      </c>
      <c r="C432" s="16" t="str">
        <f>TRIM(PROPER(ShoeSales[[#This Row],[Product]]))</f>
        <v>Brogues</v>
      </c>
      <c r="D432" s="6" t="s">
        <v>77</v>
      </c>
      <c r="E432" s="44" t="str">
        <f>UPPER(ShoeSales[[#This Row],[Category]])</f>
        <v>CASUAL</v>
      </c>
      <c r="F432" s="6" t="s">
        <v>49</v>
      </c>
      <c r="G432" s="6" t="s">
        <v>81</v>
      </c>
      <c r="H432" s="16" t="str">
        <f>PROPER(ShoeSales[[#This Row],[Brand]])</f>
        <v>Steve Madden</v>
      </c>
      <c r="I432" s="6" t="s">
        <v>66</v>
      </c>
      <c r="J432" s="7">
        <v>7</v>
      </c>
      <c r="K432" s="6" t="s">
        <v>54</v>
      </c>
      <c r="L432" s="22">
        <f>VLOOKUP(ShoeSales[[#This Row],[Product Cleaned]],Price!$A$2:$C$9,2,FALSE)</f>
        <v>112</v>
      </c>
      <c r="M432" s="19">
        <f>_xlfn.XLOOKUP(ShoeSales[[#This Row],[Product Cleaned]],Price!$A$2:$A$9,Price!$B$2:$B$9)</f>
        <v>112</v>
      </c>
      <c r="N432" s="19">
        <f>_xlfn.XLOOKUP(ShoeSales[[#This Row],[Product Cleaned]],Price!$A$2:$A$9,Price!$C$2:$C$9)</f>
        <v>64</v>
      </c>
      <c r="O432" s="22">
        <f>ShoeSales[[#This Row],[Sell Price]]*ShoeSales[[#This Row],[Quantity]]</f>
        <v>784</v>
      </c>
      <c r="P432" s="19">
        <f>ShoeSales[[#This Row],[Quantity]]*ShoeSales[[#This Row],[Cost Price]]</f>
        <v>448</v>
      </c>
      <c r="Q432" s="19">
        <f>ShoeSales[[#This Row],[Revenue]]-ShoeSales[[#This Row],[Cost]]</f>
        <v>336</v>
      </c>
      <c r="R432" s="24">
        <f>ShoeSales[[#This Row],[Profit]]/ShoeSales[[#This Row],[Revenue]]</f>
        <v>0.42857142857142855</v>
      </c>
      <c r="S432" s="19"/>
      <c r="T432" s="19" t="str">
        <f>UPPER(TEXT(ShoeSales[[#This Row],[Date]], "mmm"))</f>
        <v>AUG</v>
      </c>
    </row>
    <row r="433" spans="1:20" ht="14.25" customHeight="1" x14ac:dyDescent="0.25">
      <c r="A433" s="15">
        <v>46201</v>
      </c>
      <c r="B433" s="9" t="s">
        <v>41</v>
      </c>
      <c r="C433" s="9" t="str">
        <f>TRIM(PROPER(ShoeSales[[#This Row],[Product]]))</f>
        <v>Boots</v>
      </c>
      <c r="D433" s="9" t="s">
        <v>37</v>
      </c>
      <c r="E433" s="45" t="str">
        <f>UPPER(ShoeSales[[#This Row],[Category]])</f>
        <v>FORMAL</v>
      </c>
      <c r="F433" s="9" t="s">
        <v>38</v>
      </c>
      <c r="G433" s="9" t="s">
        <v>82</v>
      </c>
      <c r="H433" s="9" t="str">
        <f>PROPER(ShoeSales[[#This Row],[Brand]])</f>
        <v>Zara</v>
      </c>
      <c r="I433" s="9" t="s">
        <v>59</v>
      </c>
      <c r="J433" s="10">
        <v>3</v>
      </c>
      <c r="K433" s="9" t="s">
        <v>36</v>
      </c>
      <c r="L433" s="22">
        <f>VLOOKUP(ShoeSales[[#This Row],[Product Cleaned]],Price!$A$2:$C$9,2,FALSE)</f>
        <v>76</v>
      </c>
      <c r="M433" s="19">
        <f>_xlfn.XLOOKUP(ShoeSales[[#This Row],[Product Cleaned]],Price!$A$2:$A$9,Price!$B$2:$B$9)</f>
        <v>76</v>
      </c>
      <c r="N433" s="19">
        <f>_xlfn.XLOOKUP(ShoeSales[[#This Row],[Product Cleaned]],Price!$A$2:$A$9,Price!$C$2:$C$9)</f>
        <v>39</v>
      </c>
      <c r="O433" s="22">
        <f>ShoeSales[[#This Row],[Sell Price]]*ShoeSales[[#This Row],[Quantity]]</f>
        <v>228</v>
      </c>
      <c r="P433" s="19">
        <f>ShoeSales[[#This Row],[Quantity]]*ShoeSales[[#This Row],[Cost Price]]</f>
        <v>117</v>
      </c>
      <c r="Q433" s="19">
        <f>ShoeSales[[#This Row],[Revenue]]-ShoeSales[[#This Row],[Cost]]</f>
        <v>111</v>
      </c>
      <c r="R433" s="24">
        <f>ShoeSales[[#This Row],[Profit]]/ShoeSales[[#This Row],[Revenue]]</f>
        <v>0.48684210526315791</v>
      </c>
      <c r="S433" s="19"/>
      <c r="T433" s="19" t="str">
        <f>UPPER(TEXT(ShoeSales[[#This Row],[Date]], "mmm"))</f>
        <v>JUN</v>
      </c>
    </row>
    <row r="434" spans="1:20" ht="14.25" customHeight="1" x14ac:dyDescent="0.25">
      <c r="A434" s="14">
        <v>46080</v>
      </c>
      <c r="B434" s="6" t="s">
        <v>27</v>
      </c>
      <c r="C434" s="16" t="str">
        <f>TRIM(PROPER(ShoeSales[[#This Row],[Product]]))</f>
        <v>Monk Straps</v>
      </c>
      <c r="D434" s="6" t="s">
        <v>37</v>
      </c>
      <c r="E434" s="44" t="str">
        <f>UPPER(ShoeSales[[#This Row],[Category]])</f>
        <v>FORMAL</v>
      </c>
      <c r="F434" s="6" t="s">
        <v>56</v>
      </c>
      <c r="G434" s="6" t="s">
        <v>63</v>
      </c>
      <c r="H434" s="16" t="str">
        <f>PROPER(ShoeSales[[#This Row],[Brand]])</f>
        <v>Clarks</v>
      </c>
      <c r="I434" s="6" t="s">
        <v>91</v>
      </c>
      <c r="J434" s="7">
        <v>5</v>
      </c>
      <c r="K434" s="6" t="s">
        <v>32</v>
      </c>
      <c r="L434" s="22">
        <f>VLOOKUP(ShoeSales[[#This Row],[Product Cleaned]],Price!$A$2:$C$9,2,FALSE)</f>
        <v>89</v>
      </c>
      <c r="M434" s="19">
        <f>_xlfn.XLOOKUP(ShoeSales[[#This Row],[Product Cleaned]],Price!$A$2:$A$9,Price!$B$2:$B$9)</f>
        <v>89</v>
      </c>
      <c r="N434" s="19">
        <f>_xlfn.XLOOKUP(ShoeSales[[#This Row],[Product Cleaned]],Price!$A$2:$A$9,Price!$C$2:$C$9)</f>
        <v>47</v>
      </c>
      <c r="O434" s="22">
        <f>ShoeSales[[#This Row],[Sell Price]]*ShoeSales[[#This Row],[Quantity]]</f>
        <v>445</v>
      </c>
      <c r="P434" s="19">
        <f>ShoeSales[[#This Row],[Quantity]]*ShoeSales[[#This Row],[Cost Price]]</f>
        <v>235</v>
      </c>
      <c r="Q434" s="19">
        <f>ShoeSales[[#This Row],[Revenue]]-ShoeSales[[#This Row],[Cost]]</f>
        <v>210</v>
      </c>
      <c r="R434" s="24">
        <f>ShoeSales[[#This Row],[Profit]]/ShoeSales[[#This Row],[Revenue]]</f>
        <v>0.47191011235955055</v>
      </c>
      <c r="S434" s="19"/>
      <c r="T434" s="19" t="str">
        <f>UPPER(TEXT(ShoeSales[[#This Row],[Date]], "mmm"))</f>
        <v>FEB</v>
      </c>
    </row>
    <row r="435" spans="1:20" ht="14.25" customHeight="1" x14ac:dyDescent="0.25">
      <c r="A435" s="15">
        <v>46074</v>
      </c>
      <c r="B435" s="9" t="s">
        <v>7</v>
      </c>
      <c r="C435" s="9" t="str">
        <f>TRIM(PROPER(ShoeSales[[#This Row],[Product]]))</f>
        <v>Derby</v>
      </c>
      <c r="D435" s="9" t="s">
        <v>87</v>
      </c>
      <c r="E435" s="45" t="str">
        <f>UPPER(ShoeSales[[#This Row],[Category]])</f>
        <v>OPEN</v>
      </c>
      <c r="F435" s="9" t="s">
        <v>38</v>
      </c>
      <c r="G435" s="9" t="s">
        <v>63</v>
      </c>
      <c r="H435" s="9" t="str">
        <f>PROPER(ShoeSales[[#This Row],[Brand]])</f>
        <v>Clarks</v>
      </c>
      <c r="I435" s="9" t="s">
        <v>53</v>
      </c>
      <c r="J435" s="10">
        <v>3</v>
      </c>
      <c r="K435" s="9" t="s">
        <v>32</v>
      </c>
      <c r="L435" s="22">
        <f>VLOOKUP(ShoeSales[[#This Row],[Product Cleaned]],Price!$A$2:$C$9,2,FALSE)</f>
        <v>32</v>
      </c>
      <c r="M435" s="19">
        <f>_xlfn.XLOOKUP(ShoeSales[[#This Row],[Product Cleaned]],Price!$A$2:$A$9,Price!$B$2:$B$9)</f>
        <v>32</v>
      </c>
      <c r="N435" s="19">
        <f>_xlfn.XLOOKUP(ShoeSales[[#This Row],[Product Cleaned]],Price!$A$2:$A$9,Price!$C$2:$C$9)</f>
        <v>14</v>
      </c>
      <c r="O435" s="22">
        <f>ShoeSales[[#This Row],[Sell Price]]*ShoeSales[[#This Row],[Quantity]]</f>
        <v>96</v>
      </c>
      <c r="P435" s="19">
        <f>ShoeSales[[#This Row],[Quantity]]*ShoeSales[[#This Row],[Cost Price]]</f>
        <v>42</v>
      </c>
      <c r="Q435" s="19">
        <f>ShoeSales[[#This Row],[Revenue]]-ShoeSales[[#This Row],[Cost]]</f>
        <v>54</v>
      </c>
      <c r="R435" s="24">
        <f>ShoeSales[[#This Row],[Profit]]/ShoeSales[[#This Row],[Revenue]]</f>
        <v>0.5625</v>
      </c>
      <c r="S435" s="19"/>
      <c r="T435" s="19" t="str">
        <f>UPPER(TEXT(ShoeSales[[#This Row],[Date]], "mmm"))</f>
        <v>FEB</v>
      </c>
    </row>
    <row r="436" spans="1:20" ht="14.25" customHeight="1" x14ac:dyDescent="0.25">
      <c r="A436" s="14">
        <v>46086</v>
      </c>
      <c r="B436" s="6" t="s">
        <v>85</v>
      </c>
      <c r="C436" s="16" t="str">
        <f>TRIM(PROPER(ShoeSales[[#This Row],[Product]]))</f>
        <v>Brogues</v>
      </c>
      <c r="D436" s="6" t="s">
        <v>87</v>
      </c>
      <c r="E436" s="44" t="str">
        <f>UPPER(ShoeSales[[#This Row],[Category]])</f>
        <v>OPEN</v>
      </c>
      <c r="F436" s="6" t="s">
        <v>29</v>
      </c>
      <c r="G436" s="6" t="s">
        <v>94</v>
      </c>
      <c r="H436" s="16" t="str">
        <f>PROPER(ShoeSales[[#This Row],[Brand]])</f>
        <v>Timberland</v>
      </c>
      <c r="I436" s="6" t="s">
        <v>66</v>
      </c>
      <c r="J436" s="7">
        <v>7</v>
      </c>
      <c r="K436" s="6" t="s">
        <v>54</v>
      </c>
      <c r="L436" s="22">
        <f>VLOOKUP(ShoeSales[[#This Row],[Product Cleaned]],Price!$A$2:$C$9,2,FALSE)</f>
        <v>112</v>
      </c>
      <c r="M436" s="19">
        <f>_xlfn.XLOOKUP(ShoeSales[[#This Row],[Product Cleaned]],Price!$A$2:$A$9,Price!$B$2:$B$9)</f>
        <v>112</v>
      </c>
      <c r="N436" s="19">
        <f>_xlfn.XLOOKUP(ShoeSales[[#This Row],[Product Cleaned]],Price!$A$2:$A$9,Price!$C$2:$C$9)</f>
        <v>64</v>
      </c>
      <c r="O436" s="22">
        <f>ShoeSales[[#This Row],[Sell Price]]*ShoeSales[[#This Row],[Quantity]]</f>
        <v>784</v>
      </c>
      <c r="P436" s="19">
        <f>ShoeSales[[#This Row],[Quantity]]*ShoeSales[[#This Row],[Cost Price]]</f>
        <v>448</v>
      </c>
      <c r="Q436" s="19">
        <f>ShoeSales[[#This Row],[Revenue]]-ShoeSales[[#This Row],[Cost]]</f>
        <v>336</v>
      </c>
      <c r="R436" s="24">
        <f>ShoeSales[[#This Row],[Profit]]/ShoeSales[[#This Row],[Revenue]]</f>
        <v>0.42857142857142855</v>
      </c>
      <c r="S436" s="19"/>
      <c r="T436" s="19" t="str">
        <f>UPPER(TEXT(ShoeSales[[#This Row],[Date]], "mmm"))</f>
        <v>MAR</v>
      </c>
    </row>
    <row r="437" spans="1:20" ht="14.25" customHeight="1" x14ac:dyDescent="0.25">
      <c r="A437" s="15">
        <v>46144</v>
      </c>
      <c r="B437" s="9" t="s">
        <v>70</v>
      </c>
      <c r="C437" s="9" t="str">
        <f>TRIM(PROPER(ShoeSales[[#This Row],[Product]]))</f>
        <v>Derby</v>
      </c>
      <c r="D437" s="9" t="s">
        <v>71</v>
      </c>
      <c r="E437" s="45" t="str">
        <f>UPPER(ShoeSales[[#This Row],[Category]])</f>
        <v>CASUAL</v>
      </c>
      <c r="F437" s="9" t="s">
        <v>56</v>
      </c>
      <c r="G437" s="9" t="s">
        <v>46</v>
      </c>
      <c r="H437" s="9" t="str">
        <f>PROPER(ShoeSales[[#This Row],[Brand]])</f>
        <v>Clarks</v>
      </c>
      <c r="I437" s="9" t="s">
        <v>59</v>
      </c>
      <c r="J437" s="10">
        <v>3</v>
      </c>
      <c r="K437" s="9" t="s">
        <v>32</v>
      </c>
      <c r="L437" s="22">
        <f>VLOOKUP(ShoeSales[[#This Row],[Product Cleaned]],Price!$A$2:$C$9,2,FALSE)</f>
        <v>32</v>
      </c>
      <c r="M437" s="19">
        <f>_xlfn.XLOOKUP(ShoeSales[[#This Row],[Product Cleaned]],Price!$A$2:$A$9,Price!$B$2:$B$9)</f>
        <v>32</v>
      </c>
      <c r="N437" s="19">
        <f>_xlfn.XLOOKUP(ShoeSales[[#This Row],[Product Cleaned]],Price!$A$2:$A$9,Price!$C$2:$C$9)</f>
        <v>14</v>
      </c>
      <c r="O437" s="22">
        <f>ShoeSales[[#This Row],[Sell Price]]*ShoeSales[[#This Row],[Quantity]]</f>
        <v>96</v>
      </c>
      <c r="P437" s="19">
        <f>ShoeSales[[#This Row],[Quantity]]*ShoeSales[[#This Row],[Cost Price]]</f>
        <v>42</v>
      </c>
      <c r="Q437" s="19">
        <f>ShoeSales[[#This Row],[Revenue]]-ShoeSales[[#This Row],[Cost]]</f>
        <v>54</v>
      </c>
      <c r="R437" s="24">
        <f>ShoeSales[[#This Row],[Profit]]/ShoeSales[[#This Row],[Revenue]]</f>
        <v>0.5625</v>
      </c>
      <c r="S437" s="19"/>
      <c r="T437" s="19" t="str">
        <f>UPPER(TEXT(ShoeSales[[#This Row],[Date]], "mmm"))</f>
        <v>MAY</v>
      </c>
    </row>
    <row r="438" spans="1:20" ht="14.25" customHeight="1" x14ac:dyDescent="0.25">
      <c r="A438" s="14">
        <v>46162</v>
      </c>
      <c r="B438" s="6" t="s">
        <v>92</v>
      </c>
      <c r="C438" s="16" t="str">
        <f>TRIM(PROPER(ShoeSales[[#This Row],[Product]]))</f>
        <v>Canvas</v>
      </c>
      <c r="D438" s="6" t="s">
        <v>37</v>
      </c>
      <c r="E438" s="44" t="str">
        <f>UPPER(ShoeSales[[#This Row],[Category]])</f>
        <v>FORMAL</v>
      </c>
      <c r="F438" s="6" t="s">
        <v>38</v>
      </c>
      <c r="G438" s="6" t="s">
        <v>63</v>
      </c>
      <c r="H438" s="16" t="str">
        <f>PROPER(ShoeSales[[#This Row],[Brand]])</f>
        <v>Clarks</v>
      </c>
      <c r="I438" s="6" t="s">
        <v>66</v>
      </c>
      <c r="J438" s="7">
        <v>8</v>
      </c>
      <c r="K438" s="6" t="s">
        <v>54</v>
      </c>
      <c r="L438" s="22">
        <f>VLOOKUP(ShoeSales[[#This Row],[Product Cleaned]],Price!$A$2:$C$9,2,FALSE)</f>
        <v>128</v>
      </c>
      <c r="M438" s="19">
        <f>_xlfn.XLOOKUP(ShoeSales[[#This Row],[Product Cleaned]],Price!$A$2:$A$9,Price!$B$2:$B$9)</f>
        <v>128</v>
      </c>
      <c r="N438" s="19">
        <f>_xlfn.XLOOKUP(ShoeSales[[#This Row],[Product Cleaned]],Price!$A$2:$A$9,Price!$C$2:$C$9)</f>
        <v>72</v>
      </c>
      <c r="O438" s="22">
        <f>ShoeSales[[#This Row],[Sell Price]]*ShoeSales[[#This Row],[Quantity]]</f>
        <v>1024</v>
      </c>
      <c r="P438" s="19">
        <f>ShoeSales[[#This Row],[Quantity]]*ShoeSales[[#This Row],[Cost Price]]</f>
        <v>576</v>
      </c>
      <c r="Q438" s="19">
        <f>ShoeSales[[#This Row],[Revenue]]-ShoeSales[[#This Row],[Cost]]</f>
        <v>448</v>
      </c>
      <c r="R438" s="24">
        <f>ShoeSales[[#This Row],[Profit]]/ShoeSales[[#This Row],[Revenue]]</f>
        <v>0.4375</v>
      </c>
      <c r="S438" s="19"/>
      <c r="T438" s="19" t="str">
        <f>UPPER(TEXT(ShoeSales[[#This Row],[Date]], "mmm"))</f>
        <v>MAY</v>
      </c>
    </row>
    <row r="439" spans="1:20" ht="14.25" customHeight="1" x14ac:dyDescent="0.25">
      <c r="A439" s="15">
        <v>46105</v>
      </c>
      <c r="B439" s="9" t="s">
        <v>70</v>
      </c>
      <c r="C439" s="9" t="str">
        <f>TRIM(PROPER(ShoeSales[[#This Row],[Product]]))</f>
        <v>Derby</v>
      </c>
      <c r="D439" s="9" t="s">
        <v>45</v>
      </c>
      <c r="E439" s="45" t="str">
        <f>UPPER(ShoeSales[[#This Row],[Category]])</f>
        <v>CASUAL</v>
      </c>
      <c r="F439" s="9" t="s">
        <v>29</v>
      </c>
      <c r="G439" s="9" t="s">
        <v>82</v>
      </c>
      <c r="H439" s="9" t="str">
        <f>PROPER(ShoeSales[[#This Row],[Brand]])</f>
        <v>Zara</v>
      </c>
      <c r="I439" s="9" t="s">
        <v>73</v>
      </c>
      <c r="J439" s="10">
        <v>3</v>
      </c>
      <c r="K439" s="9" t="s">
        <v>36</v>
      </c>
      <c r="L439" s="22">
        <f>VLOOKUP(ShoeSales[[#This Row],[Product Cleaned]],Price!$A$2:$C$9,2,FALSE)</f>
        <v>32</v>
      </c>
      <c r="M439" s="19">
        <f>_xlfn.XLOOKUP(ShoeSales[[#This Row],[Product Cleaned]],Price!$A$2:$A$9,Price!$B$2:$B$9)</f>
        <v>32</v>
      </c>
      <c r="N439" s="19">
        <f>_xlfn.XLOOKUP(ShoeSales[[#This Row],[Product Cleaned]],Price!$A$2:$A$9,Price!$C$2:$C$9)</f>
        <v>14</v>
      </c>
      <c r="O439" s="22">
        <f>ShoeSales[[#This Row],[Sell Price]]*ShoeSales[[#This Row],[Quantity]]</f>
        <v>96</v>
      </c>
      <c r="P439" s="19">
        <f>ShoeSales[[#This Row],[Quantity]]*ShoeSales[[#This Row],[Cost Price]]</f>
        <v>42</v>
      </c>
      <c r="Q439" s="19">
        <f>ShoeSales[[#This Row],[Revenue]]-ShoeSales[[#This Row],[Cost]]</f>
        <v>54</v>
      </c>
      <c r="R439" s="24">
        <f>ShoeSales[[#This Row],[Profit]]/ShoeSales[[#This Row],[Revenue]]</f>
        <v>0.5625</v>
      </c>
      <c r="S439" s="19"/>
      <c r="T439" s="19" t="str">
        <f>UPPER(TEXT(ShoeSales[[#This Row],[Date]], "mmm"))</f>
        <v>MAR</v>
      </c>
    </row>
    <row r="440" spans="1:20" ht="14.25" customHeight="1" x14ac:dyDescent="0.25">
      <c r="A440" s="14">
        <v>46175</v>
      </c>
      <c r="B440" s="6" t="s">
        <v>68</v>
      </c>
      <c r="C440" s="16" t="str">
        <f>TRIM(PROPER(ShoeSales[[#This Row],[Product]]))</f>
        <v>Slippers</v>
      </c>
      <c r="D440" s="6" t="s">
        <v>42</v>
      </c>
      <c r="E440" s="44" t="str">
        <f>UPPER(ShoeSales[[#This Row],[Category]])</f>
        <v>UTILITY</v>
      </c>
      <c r="F440" s="6" t="s">
        <v>49</v>
      </c>
      <c r="G440" s="6" t="s">
        <v>75</v>
      </c>
      <c r="H440" s="16" t="str">
        <f>PROPER(ShoeSales[[#This Row],[Brand]])</f>
        <v>Steve Madden</v>
      </c>
      <c r="I440" s="6" t="s">
        <v>53</v>
      </c>
      <c r="J440" s="7">
        <v>5</v>
      </c>
      <c r="K440" s="6" t="s">
        <v>54</v>
      </c>
      <c r="L440" s="22">
        <f>VLOOKUP(ShoeSales[[#This Row],[Product Cleaned]],Price!$A$2:$C$9,2,FALSE)</f>
        <v>119</v>
      </c>
      <c r="M440" s="19">
        <f>_xlfn.XLOOKUP(ShoeSales[[#This Row],[Product Cleaned]],Price!$A$2:$A$9,Price!$B$2:$B$9)</f>
        <v>119</v>
      </c>
      <c r="N440" s="19">
        <f>_xlfn.XLOOKUP(ShoeSales[[#This Row],[Product Cleaned]],Price!$A$2:$A$9,Price!$C$2:$C$9)</f>
        <v>67</v>
      </c>
      <c r="O440" s="22">
        <f>ShoeSales[[#This Row],[Sell Price]]*ShoeSales[[#This Row],[Quantity]]</f>
        <v>595</v>
      </c>
      <c r="P440" s="19">
        <f>ShoeSales[[#This Row],[Quantity]]*ShoeSales[[#This Row],[Cost Price]]</f>
        <v>335</v>
      </c>
      <c r="Q440" s="19">
        <f>ShoeSales[[#This Row],[Revenue]]-ShoeSales[[#This Row],[Cost]]</f>
        <v>260</v>
      </c>
      <c r="R440" s="24">
        <f>ShoeSales[[#This Row],[Profit]]/ShoeSales[[#This Row],[Revenue]]</f>
        <v>0.43697478991596639</v>
      </c>
      <c r="S440" s="19"/>
      <c r="T440" s="19" t="str">
        <f>UPPER(TEXT(ShoeSales[[#This Row],[Date]], "mmm"))</f>
        <v>JUN</v>
      </c>
    </row>
    <row r="441" spans="1:20" ht="14.25" customHeight="1" x14ac:dyDescent="0.25">
      <c r="A441" s="15">
        <v>46126</v>
      </c>
      <c r="B441" s="9" t="s">
        <v>27</v>
      </c>
      <c r="C441" s="9" t="str">
        <f>TRIM(PROPER(ShoeSales[[#This Row],[Product]]))</f>
        <v>Monk Straps</v>
      </c>
      <c r="D441" s="9" t="s">
        <v>45</v>
      </c>
      <c r="E441" s="45" t="str">
        <f>UPPER(ShoeSales[[#This Row],[Category]])</f>
        <v>CASUAL</v>
      </c>
      <c r="F441" s="9" t="s">
        <v>29</v>
      </c>
      <c r="G441" s="9" t="s">
        <v>63</v>
      </c>
      <c r="H441" s="9" t="str">
        <f>PROPER(ShoeSales[[#This Row],[Brand]])</f>
        <v>Clarks</v>
      </c>
      <c r="I441" s="9" t="s">
        <v>66</v>
      </c>
      <c r="J441" s="10">
        <v>3</v>
      </c>
      <c r="K441" s="9" t="s">
        <v>62</v>
      </c>
      <c r="L441" s="22">
        <f>VLOOKUP(ShoeSales[[#This Row],[Product Cleaned]],Price!$A$2:$C$9,2,FALSE)</f>
        <v>89</v>
      </c>
      <c r="M441" s="19">
        <f>_xlfn.XLOOKUP(ShoeSales[[#This Row],[Product Cleaned]],Price!$A$2:$A$9,Price!$B$2:$B$9)</f>
        <v>89</v>
      </c>
      <c r="N441" s="19">
        <f>_xlfn.XLOOKUP(ShoeSales[[#This Row],[Product Cleaned]],Price!$A$2:$A$9,Price!$C$2:$C$9)</f>
        <v>47</v>
      </c>
      <c r="O441" s="22">
        <f>ShoeSales[[#This Row],[Sell Price]]*ShoeSales[[#This Row],[Quantity]]</f>
        <v>267</v>
      </c>
      <c r="P441" s="19">
        <f>ShoeSales[[#This Row],[Quantity]]*ShoeSales[[#This Row],[Cost Price]]</f>
        <v>141</v>
      </c>
      <c r="Q441" s="19">
        <f>ShoeSales[[#This Row],[Revenue]]-ShoeSales[[#This Row],[Cost]]</f>
        <v>126</v>
      </c>
      <c r="R441" s="24">
        <f>ShoeSales[[#This Row],[Profit]]/ShoeSales[[#This Row],[Revenue]]</f>
        <v>0.47191011235955055</v>
      </c>
      <c r="S441" s="19"/>
      <c r="T441" s="19" t="str">
        <f>UPPER(TEXT(ShoeSales[[#This Row],[Date]], "mmm"))</f>
        <v>APR</v>
      </c>
    </row>
    <row r="442" spans="1:20" ht="14.25" customHeight="1" x14ac:dyDescent="0.25">
      <c r="A442" s="14">
        <v>46189</v>
      </c>
      <c r="B442" s="6" t="s">
        <v>10</v>
      </c>
      <c r="C442" s="16" t="str">
        <f>TRIM(PROPER(ShoeSales[[#This Row],[Product]]))</f>
        <v>Oxford</v>
      </c>
      <c r="D442" s="6" t="s">
        <v>37</v>
      </c>
      <c r="E442" s="44" t="str">
        <f>UPPER(ShoeSales[[#This Row],[Category]])</f>
        <v>FORMAL</v>
      </c>
      <c r="F442" s="6" t="s">
        <v>34</v>
      </c>
      <c r="G442" s="6" t="s">
        <v>39</v>
      </c>
      <c r="H442" s="16" t="str">
        <f>PROPER(ShoeSales[[#This Row],[Brand]])</f>
        <v>Clarks</v>
      </c>
      <c r="I442" s="6" t="s">
        <v>91</v>
      </c>
      <c r="J442" s="7">
        <v>13</v>
      </c>
      <c r="K442" s="6" t="s">
        <v>36</v>
      </c>
      <c r="L442" s="22">
        <f>VLOOKUP(ShoeSales[[#This Row],[Product Cleaned]],Price!$A$2:$C$9,2,FALSE)</f>
        <v>105</v>
      </c>
      <c r="M442" s="19">
        <f>_xlfn.XLOOKUP(ShoeSales[[#This Row],[Product Cleaned]],Price!$A$2:$A$9,Price!$B$2:$B$9)</f>
        <v>105</v>
      </c>
      <c r="N442" s="19">
        <f>_xlfn.XLOOKUP(ShoeSales[[#This Row],[Product Cleaned]],Price!$A$2:$A$9,Price!$C$2:$C$9)</f>
        <v>58</v>
      </c>
      <c r="O442" s="22">
        <f>ShoeSales[[#This Row],[Sell Price]]*ShoeSales[[#This Row],[Quantity]]</f>
        <v>1365</v>
      </c>
      <c r="P442" s="19">
        <f>ShoeSales[[#This Row],[Quantity]]*ShoeSales[[#This Row],[Cost Price]]</f>
        <v>754</v>
      </c>
      <c r="Q442" s="19">
        <f>ShoeSales[[#This Row],[Revenue]]-ShoeSales[[#This Row],[Cost]]</f>
        <v>611</v>
      </c>
      <c r="R442" s="24">
        <f>ShoeSales[[#This Row],[Profit]]/ShoeSales[[#This Row],[Revenue]]</f>
        <v>0.44761904761904764</v>
      </c>
      <c r="S442" s="19"/>
      <c r="T442" s="19" t="str">
        <f>UPPER(TEXT(ShoeSales[[#This Row],[Date]], "mmm"))</f>
        <v>JUN</v>
      </c>
    </row>
    <row r="443" spans="1:20" ht="14.25" customHeight="1" x14ac:dyDescent="0.25">
      <c r="A443" s="15">
        <v>46023</v>
      </c>
      <c r="B443" s="9" t="s">
        <v>41</v>
      </c>
      <c r="C443" s="9" t="str">
        <f>TRIM(PROPER(ShoeSales[[#This Row],[Product]]))</f>
        <v>Boots</v>
      </c>
      <c r="D443" s="9" t="s">
        <v>71</v>
      </c>
      <c r="E443" s="45" t="str">
        <f>UPPER(ShoeSales[[#This Row],[Category]])</f>
        <v>CASUAL</v>
      </c>
      <c r="F443" s="9" t="s">
        <v>29</v>
      </c>
      <c r="G443" s="9" t="s">
        <v>39</v>
      </c>
      <c r="H443" s="9" t="str">
        <f>PROPER(ShoeSales[[#This Row],[Brand]])</f>
        <v>Clarks</v>
      </c>
      <c r="I443" s="9" t="s">
        <v>64</v>
      </c>
      <c r="J443" s="10">
        <v>12</v>
      </c>
      <c r="K443" s="9" t="s">
        <v>54</v>
      </c>
      <c r="L443" s="22">
        <f>VLOOKUP(ShoeSales[[#This Row],[Product Cleaned]],Price!$A$2:$C$9,2,FALSE)</f>
        <v>76</v>
      </c>
      <c r="M443" s="19">
        <f>_xlfn.XLOOKUP(ShoeSales[[#This Row],[Product Cleaned]],Price!$A$2:$A$9,Price!$B$2:$B$9)</f>
        <v>76</v>
      </c>
      <c r="N443" s="19">
        <f>_xlfn.XLOOKUP(ShoeSales[[#This Row],[Product Cleaned]],Price!$A$2:$A$9,Price!$C$2:$C$9)</f>
        <v>39</v>
      </c>
      <c r="O443" s="22">
        <f>ShoeSales[[#This Row],[Sell Price]]*ShoeSales[[#This Row],[Quantity]]</f>
        <v>912</v>
      </c>
      <c r="P443" s="19">
        <f>ShoeSales[[#This Row],[Quantity]]*ShoeSales[[#This Row],[Cost Price]]</f>
        <v>468</v>
      </c>
      <c r="Q443" s="19">
        <f>ShoeSales[[#This Row],[Revenue]]-ShoeSales[[#This Row],[Cost]]</f>
        <v>444</v>
      </c>
      <c r="R443" s="24">
        <f>ShoeSales[[#This Row],[Profit]]/ShoeSales[[#This Row],[Revenue]]</f>
        <v>0.48684210526315791</v>
      </c>
      <c r="S443" s="19"/>
      <c r="T443" s="19" t="str">
        <f>UPPER(TEXT(ShoeSales[[#This Row],[Date]], "mmm"))</f>
        <v>JAN</v>
      </c>
    </row>
    <row r="444" spans="1:20" ht="14.25" customHeight="1" x14ac:dyDescent="0.25">
      <c r="A444" s="14">
        <v>46207</v>
      </c>
      <c r="B444" s="6" t="s">
        <v>83</v>
      </c>
      <c r="C444" s="16" t="str">
        <f>TRIM(PROPER(ShoeSales[[#This Row],[Product]]))</f>
        <v>Monk Straps</v>
      </c>
      <c r="D444" s="6" t="s">
        <v>77</v>
      </c>
      <c r="E444" s="44" t="str">
        <f>UPPER(ShoeSales[[#This Row],[Category]])</f>
        <v>CASUAL</v>
      </c>
      <c r="F444" s="6" t="s">
        <v>34</v>
      </c>
      <c r="G444" s="6" t="s">
        <v>46</v>
      </c>
      <c r="H444" s="16" t="str">
        <f>PROPER(ShoeSales[[#This Row],[Brand]])</f>
        <v>Clarks</v>
      </c>
      <c r="I444" s="6" t="s">
        <v>53</v>
      </c>
      <c r="J444" s="7">
        <v>3</v>
      </c>
      <c r="K444" s="6" t="s">
        <v>36</v>
      </c>
      <c r="L444" s="22">
        <f>VLOOKUP(ShoeSales[[#This Row],[Product Cleaned]],Price!$A$2:$C$9,2,FALSE)</f>
        <v>89</v>
      </c>
      <c r="M444" s="19">
        <f>_xlfn.XLOOKUP(ShoeSales[[#This Row],[Product Cleaned]],Price!$A$2:$A$9,Price!$B$2:$B$9)</f>
        <v>89</v>
      </c>
      <c r="N444" s="19">
        <f>_xlfn.XLOOKUP(ShoeSales[[#This Row],[Product Cleaned]],Price!$A$2:$A$9,Price!$C$2:$C$9)</f>
        <v>47</v>
      </c>
      <c r="O444" s="22">
        <f>ShoeSales[[#This Row],[Sell Price]]*ShoeSales[[#This Row],[Quantity]]</f>
        <v>267</v>
      </c>
      <c r="P444" s="19">
        <f>ShoeSales[[#This Row],[Quantity]]*ShoeSales[[#This Row],[Cost Price]]</f>
        <v>141</v>
      </c>
      <c r="Q444" s="19">
        <f>ShoeSales[[#This Row],[Revenue]]-ShoeSales[[#This Row],[Cost]]</f>
        <v>126</v>
      </c>
      <c r="R444" s="24">
        <f>ShoeSales[[#This Row],[Profit]]/ShoeSales[[#This Row],[Revenue]]</f>
        <v>0.47191011235955055</v>
      </c>
      <c r="S444" s="19"/>
      <c r="T444" s="19" t="str">
        <f>UPPER(TEXT(ShoeSales[[#This Row],[Date]], "mmm"))</f>
        <v>JUL</v>
      </c>
    </row>
    <row r="445" spans="1:20" ht="14.25" customHeight="1" x14ac:dyDescent="0.25">
      <c r="A445" s="15">
        <v>46188</v>
      </c>
      <c r="B445" s="9" t="s">
        <v>67</v>
      </c>
      <c r="C445" s="9" t="str">
        <f>TRIM(PROPER(ShoeSales[[#This Row],[Product]]))</f>
        <v>Oxford</v>
      </c>
      <c r="D445" s="9" t="s">
        <v>74</v>
      </c>
      <c r="E445" s="45" t="str">
        <f>UPPER(ShoeSales[[#This Row],[Category]])</f>
        <v>OPEN</v>
      </c>
      <c r="F445" s="9" t="s">
        <v>56</v>
      </c>
      <c r="G445" s="9" t="s">
        <v>63</v>
      </c>
      <c r="H445" s="9" t="str">
        <f>PROPER(ShoeSales[[#This Row],[Brand]])</f>
        <v>Clarks</v>
      </c>
      <c r="I445" s="9" t="s">
        <v>43</v>
      </c>
      <c r="J445" s="10">
        <v>2</v>
      </c>
      <c r="K445" s="9" t="s">
        <v>54</v>
      </c>
      <c r="L445" s="22">
        <f>VLOOKUP(ShoeSales[[#This Row],[Product Cleaned]],Price!$A$2:$C$9,2,FALSE)</f>
        <v>105</v>
      </c>
      <c r="M445" s="19">
        <f>_xlfn.XLOOKUP(ShoeSales[[#This Row],[Product Cleaned]],Price!$A$2:$A$9,Price!$B$2:$B$9)</f>
        <v>105</v>
      </c>
      <c r="N445" s="19">
        <f>_xlfn.XLOOKUP(ShoeSales[[#This Row],[Product Cleaned]],Price!$A$2:$A$9,Price!$C$2:$C$9)</f>
        <v>58</v>
      </c>
      <c r="O445" s="22">
        <f>ShoeSales[[#This Row],[Sell Price]]*ShoeSales[[#This Row],[Quantity]]</f>
        <v>210</v>
      </c>
      <c r="P445" s="19">
        <f>ShoeSales[[#This Row],[Quantity]]*ShoeSales[[#This Row],[Cost Price]]</f>
        <v>116</v>
      </c>
      <c r="Q445" s="19">
        <f>ShoeSales[[#This Row],[Revenue]]-ShoeSales[[#This Row],[Cost]]</f>
        <v>94</v>
      </c>
      <c r="R445" s="24">
        <f>ShoeSales[[#This Row],[Profit]]/ShoeSales[[#This Row],[Revenue]]</f>
        <v>0.44761904761904764</v>
      </c>
      <c r="S445" s="19"/>
      <c r="T445" s="19" t="str">
        <f>UPPER(TEXT(ShoeSales[[#This Row],[Date]], "mmm"))</f>
        <v>JUN</v>
      </c>
    </row>
    <row r="446" spans="1:20" ht="14.25" customHeight="1" x14ac:dyDescent="0.25">
      <c r="A446" s="14">
        <v>46178</v>
      </c>
      <c r="B446" s="6" t="s">
        <v>9</v>
      </c>
      <c r="C446" s="16" t="str">
        <f>TRIM(PROPER(ShoeSales[[#This Row],[Product]]))</f>
        <v>Canvas</v>
      </c>
      <c r="D446" s="6" t="s">
        <v>58</v>
      </c>
      <c r="E446" s="44" t="str">
        <f>UPPER(ShoeSales[[#This Row],[Category]])</f>
        <v>FORMAL</v>
      </c>
      <c r="F446" s="6" t="s">
        <v>34</v>
      </c>
      <c r="G446" s="6" t="s">
        <v>82</v>
      </c>
      <c r="H446" s="16" t="str">
        <f>PROPER(ShoeSales[[#This Row],[Brand]])</f>
        <v>Zara</v>
      </c>
      <c r="I446" s="6" t="s">
        <v>61</v>
      </c>
      <c r="J446" s="7">
        <v>14</v>
      </c>
      <c r="K446" s="6" t="s">
        <v>54</v>
      </c>
      <c r="L446" s="22">
        <f>VLOOKUP(ShoeSales[[#This Row],[Product Cleaned]],Price!$A$2:$C$9,2,FALSE)</f>
        <v>128</v>
      </c>
      <c r="M446" s="19">
        <f>_xlfn.XLOOKUP(ShoeSales[[#This Row],[Product Cleaned]],Price!$A$2:$A$9,Price!$B$2:$B$9)</f>
        <v>128</v>
      </c>
      <c r="N446" s="19">
        <f>_xlfn.XLOOKUP(ShoeSales[[#This Row],[Product Cleaned]],Price!$A$2:$A$9,Price!$C$2:$C$9)</f>
        <v>72</v>
      </c>
      <c r="O446" s="22">
        <f>ShoeSales[[#This Row],[Sell Price]]*ShoeSales[[#This Row],[Quantity]]</f>
        <v>1792</v>
      </c>
      <c r="P446" s="19">
        <f>ShoeSales[[#This Row],[Quantity]]*ShoeSales[[#This Row],[Cost Price]]</f>
        <v>1008</v>
      </c>
      <c r="Q446" s="19">
        <f>ShoeSales[[#This Row],[Revenue]]-ShoeSales[[#This Row],[Cost]]</f>
        <v>784</v>
      </c>
      <c r="R446" s="24">
        <f>ShoeSales[[#This Row],[Profit]]/ShoeSales[[#This Row],[Revenue]]</f>
        <v>0.4375</v>
      </c>
      <c r="S446" s="19"/>
      <c r="T446" s="19" t="str">
        <f>UPPER(TEXT(ShoeSales[[#This Row],[Date]], "mmm"))</f>
        <v>JUN</v>
      </c>
    </row>
    <row r="447" spans="1:20" ht="14.25" customHeight="1" x14ac:dyDescent="0.25">
      <c r="A447" s="15">
        <v>46193</v>
      </c>
      <c r="B447" s="9" t="s">
        <v>12</v>
      </c>
      <c r="C447" s="9" t="str">
        <f>TRIM(PROPER(ShoeSales[[#This Row],[Product]]))</f>
        <v>Brogues</v>
      </c>
      <c r="D447" s="9" t="s">
        <v>58</v>
      </c>
      <c r="E447" s="45" t="str">
        <f>UPPER(ShoeSales[[#This Row],[Category]])</f>
        <v>FORMAL</v>
      </c>
      <c r="F447" s="9" t="s">
        <v>29</v>
      </c>
      <c r="G447" s="9" t="s">
        <v>39</v>
      </c>
      <c r="H447" s="9" t="str">
        <f>PROPER(ShoeSales[[#This Row],[Brand]])</f>
        <v>Clarks</v>
      </c>
      <c r="I447" s="9" t="s">
        <v>53</v>
      </c>
      <c r="J447" s="10">
        <v>4</v>
      </c>
      <c r="K447" s="9" t="s">
        <v>62</v>
      </c>
      <c r="L447" s="22">
        <f>VLOOKUP(ShoeSales[[#This Row],[Product Cleaned]],Price!$A$2:$C$9,2,FALSE)</f>
        <v>112</v>
      </c>
      <c r="M447" s="19">
        <f>_xlfn.XLOOKUP(ShoeSales[[#This Row],[Product Cleaned]],Price!$A$2:$A$9,Price!$B$2:$B$9)</f>
        <v>112</v>
      </c>
      <c r="N447" s="19">
        <f>_xlfn.XLOOKUP(ShoeSales[[#This Row],[Product Cleaned]],Price!$A$2:$A$9,Price!$C$2:$C$9)</f>
        <v>64</v>
      </c>
      <c r="O447" s="22">
        <f>ShoeSales[[#This Row],[Sell Price]]*ShoeSales[[#This Row],[Quantity]]</f>
        <v>448</v>
      </c>
      <c r="P447" s="19">
        <f>ShoeSales[[#This Row],[Quantity]]*ShoeSales[[#This Row],[Cost Price]]</f>
        <v>256</v>
      </c>
      <c r="Q447" s="19">
        <f>ShoeSales[[#This Row],[Revenue]]-ShoeSales[[#This Row],[Cost]]</f>
        <v>192</v>
      </c>
      <c r="R447" s="24">
        <f>ShoeSales[[#This Row],[Profit]]/ShoeSales[[#This Row],[Revenue]]</f>
        <v>0.42857142857142855</v>
      </c>
      <c r="S447" s="19"/>
      <c r="T447" s="19" t="str">
        <f>UPPER(TEXT(ShoeSales[[#This Row],[Date]], "mmm"))</f>
        <v>JUN</v>
      </c>
    </row>
    <row r="448" spans="1:20" ht="14.25" customHeight="1" x14ac:dyDescent="0.25">
      <c r="A448" s="14">
        <v>46215</v>
      </c>
      <c r="B448" s="6" t="s">
        <v>33</v>
      </c>
      <c r="C448" s="16" t="str">
        <f>TRIM(PROPER(ShoeSales[[#This Row],[Product]]))</f>
        <v>Loafers</v>
      </c>
      <c r="D448" s="6" t="s">
        <v>58</v>
      </c>
      <c r="E448" s="44" t="str">
        <f>UPPER(ShoeSales[[#This Row],[Category]])</f>
        <v>FORMAL</v>
      </c>
      <c r="F448" s="6" t="s">
        <v>29</v>
      </c>
      <c r="G448" s="6" t="s">
        <v>35</v>
      </c>
      <c r="H448" s="16" t="str">
        <f>PROPER(ShoeSales[[#This Row],[Brand]])</f>
        <v>Nike</v>
      </c>
      <c r="I448" s="6" t="s">
        <v>31</v>
      </c>
      <c r="J448" s="7">
        <v>4</v>
      </c>
      <c r="K448" s="6" t="s">
        <v>54</v>
      </c>
      <c r="L448" s="22">
        <f>VLOOKUP(ShoeSales[[#This Row],[Product Cleaned]],Price!$A$2:$C$9,2,FALSE)</f>
        <v>54</v>
      </c>
      <c r="M448" s="19">
        <f>_xlfn.XLOOKUP(ShoeSales[[#This Row],[Product Cleaned]],Price!$A$2:$A$9,Price!$B$2:$B$9)</f>
        <v>54</v>
      </c>
      <c r="N448" s="19">
        <f>_xlfn.XLOOKUP(ShoeSales[[#This Row],[Product Cleaned]],Price!$A$2:$A$9,Price!$C$2:$C$9)</f>
        <v>28</v>
      </c>
      <c r="O448" s="22">
        <f>ShoeSales[[#This Row],[Sell Price]]*ShoeSales[[#This Row],[Quantity]]</f>
        <v>216</v>
      </c>
      <c r="P448" s="19">
        <f>ShoeSales[[#This Row],[Quantity]]*ShoeSales[[#This Row],[Cost Price]]</f>
        <v>112</v>
      </c>
      <c r="Q448" s="19">
        <f>ShoeSales[[#This Row],[Revenue]]-ShoeSales[[#This Row],[Cost]]</f>
        <v>104</v>
      </c>
      <c r="R448" s="24">
        <f>ShoeSales[[#This Row],[Profit]]/ShoeSales[[#This Row],[Revenue]]</f>
        <v>0.48148148148148145</v>
      </c>
      <c r="S448" s="19"/>
      <c r="T448" s="19" t="str">
        <f>UPPER(TEXT(ShoeSales[[#This Row],[Date]], "mmm"))</f>
        <v>JUL</v>
      </c>
    </row>
    <row r="449" spans="1:20" ht="14.25" customHeight="1" x14ac:dyDescent="0.25">
      <c r="A449" s="15">
        <v>46131</v>
      </c>
      <c r="B449" s="9" t="s">
        <v>41</v>
      </c>
      <c r="C449" s="9" t="str">
        <f>TRIM(PROPER(ShoeSales[[#This Row],[Product]]))</f>
        <v>Boots</v>
      </c>
      <c r="D449" s="9" t="s">
        <v>28</v>
      </c>
      <c r="E449" s="45" t="str">
        <f>UPPER(ShoeSales[[#This Row],[Category]])</f>
        <v>FORMAL</v>
      </c>
      <c r="F449" s="9" t="s">
        <v>56</v>
      </c>
      <c r="G449" s="9" t="s">
        <v>63</v>
      </c>
      <c r="H449" s="9" t="str">
        <f>PROPER(ShoeSales[[#This Row],[Brand]])</f>
        <v>Clarks</v>
      </c>
      <c r="I449" s="9" t="s">
        <v>40</v>
      </c>
      <c r="J449" s="10">
        <v>4</v>
      </c>
      <c r="K449" s="9" t="s">
        <v>36</v>
      </c>
      <c r="L449" s="22">
        <f>VLOOKUP(ShoeSales[[#This Row],[Product Cleaned]],Price!$A$2:$C$9,2,FALSE)</f>
        <v>76</v>
      </c>
      <c r="M449" s="19">
        <f>_xlfn.XLOOKUP(ShoeSales[[#This Row],[Product Cleaned]],Price!$A$2:$A$9,Price!$B$2:$B$9)</f>
        <v>76</v>
      </c>
      <c r="N449" s="19">
        <f>_xlfn.XLOOKUP(ShoeSales[[#This Row],[Product Cleaned]],Price!$A$2:$A$9,Price!$C$2:$C$9)</f>
        <v>39</v>
      </c>
      <c r="O449" s="22">
        <f>ShoeSales[[#This Row],[Sell Price]]*ShoeSales[[#This Row],[Quantity]]</f>
        <v>304</v>
      </c>
      <c r="P449" s="19">
        <f>ShoeSales[[#This Row],[Quantity]]*ShoeSales[[#This Row],[Cost Price]]</f>
        <v>156</v>
      </c>
      <c r="Q449" s="19">
        <f>ShoeSales[[#This Row],[Revenue]]-ShoeSales[[#This Row],[Cost]]</f>
        <v>148</v>
      </c>
      <c r="R449" s="24">
        <f>ShoeSales[[#This Row],[Profit]]/ShoeSales[[#This Row],[Revenue]]</f>
        <v>0.48684210526315791</v>
      </c>
      <c r="S449" s="19"/>
      <c r="T449" s="19" t="str">
        <f>UPPER(TEXT(ShoeSales[[#This Row],[Date]], "mmm"))</f>
        <v>APR</v>
      </c>
    </row>
    <row r="450" spans="1:20" ht="14.25" customHeight="1" x14ac:dyDescent="0.25">
      <c r="A450" s="14">
        <v>46245</v>
      </c>
      <c r="B450" s="6" t="s">
        <v>88</v>
      </c>
      <c r="C450" s="16" t="str">
        <f>TRIM(PROPER(ShoeSales[[#This Row],[Product]]))</f>
        <v>Slippers</v>
      </c>
      <c r="D450" s="6" t="s">
        <v>74</v>
      </c>
      <c r="E450" s="44" t="str">
        <f>UPPER(ShoeSales[[#This Row],[Category]])</f>
        <v>OPEN</v>
      </c>
      <c r="F450" s="6" t="s">
        <v>34</v>
      </c>
      <c r="G450" s="6" t="s">
        <v>50</v>
      </c>
      <c r="H450" s="16" t="str">
        <f>PROPER(ShoeSales[[#This Row],[Brand]])</f>
        <v>Nike</v>
      </c>
      <c r="I450" s="6" t="s">
        <v>31</v>
      </c>
      <c r="J450" s="7">
        <v>1</v>
      </c>
      <c r="K450" s="6" t="s">
        <v>54</v>
      </c>
      <c r="L450" s="22">
        <f>VLOOKUP(ShoeSales[[#This Row],[Product Cleaned]],Price!$A$2:$C$9,2,FALSE)</f>
        <v>119</v>
      </c>
      <c r="M450" s="19">
        <f>_xlfn.XLOOKUP(ShoeSales[[#This Row],[Product Cleaned]],Price!$A$2:$A$9,Price!$B$2:$B$9)</f>
        <v>119</v>
      </c>
      <c r="N450" s="19">
        <f>_xlfn.XLOOKUP(ShoeSales[[#This Row],[Product Cleaned]],Price!$A$2:$A$9,Price!$C$2:$C$9)</f>
        <v>67</v>
      </c>
      <c r="O450" s="22">
        <f>ShoeSales[[#This Row],[Sell Price]]*ShoeSales[[#This Row],[Quantity]]</f>
        <v>119</v>
      </c>
      <c r="P450" s="19">
        <f>ShoeSales[[#This Row],[Quantity]]*ShoeSales[[#This Row],[Cost Price]]</f>
        <v>67</v>
      </c>
      <c r="Q450" s="19">
        <f>ShoeSales[[#This Row],[Revenue]]-ShoeSales[[#This Row],[Cost]]</f>
        <v>52</v>
      </c>
      <c r="R450" s="24">
        <f>ShoeSales[[#This Row],[Profit]]/ShoeSales[[#This Row],[Revenue]]</f>
        <v>0.43697478991596639</v>
      </c>
      <c r="S450" s="19"/>
      <c r="T450" s="19" t="str">
        <f>UPPER(TEXT(ShoeSales[[#This Row],[Date]], "mmm"))</f>
        <v>AUG</v>
      </c>
    </row>
    <row r="451" spans="1:20" ht="14.25" customHeight="1" x14ac:dyDescent="0.25">
      <c r="A451" s="15">
        <v>46238</v>
      </c>
      <c r="B451" s="9" t="s">
        <v>8</v>
      </c>
      <c r="C451" s="9" t="str">
        <f>TRIM(PROPER(ShoeSales[[#This Row],[Product]]))</f>
        <v>Boots</v>
      </c>
      <c r="D451" s="9" t="s">
        <v>58</v>
      </c>
      <c r="E451" s="45" t="str">
        <f>UPPER(ShoeSales[[#This Row],[Category]])</f>
        <v>FORMAL</v>
      </c>
      <c r="F451" s="9" t="s">
        <v>29</v>
      </c>
      <c r="G451" s="9" t="s">
        <v>69</v>
      </c>
      <c r="H451" s="9" t="str">
        <f>PROPER(ShoeSales[[#This Row],[Brand]])</f>
        <v>Zara</v>
      </c>
      <c r="I451" s="9" t="s">
        <v>91</v>
      </c>
      <c r="J451" s="10">
        <v>5</v>
      </c>
      <c r="K451" s="9" t="s">
        <v>54</v>
      </c>
      <c r="L451" s="22">
        <f>VLOOKUP(ShoeSales[[#This Row],[Product Cleaned]],Price!$A$2:$C$9,2,FALSE)</f>
        <v>76</v>
      </c>
      <c r="M451" s="19">
        <f>_xlfn.XLOOKUP(ShoeSales[[#This Row],[Product Cleaned]],Price!$A$2:$A$9,Price!$B$2:$B$9)</f>
        <v>76</v>
      </c>
      <c r="N451" s="19">
        <f>_xlfn.XLOOKUP(ShoeSales[[#This Row],[Product Cleaned]],Price!$A$2:$A$9,Price!$C$2:$C$9)</f>
        <v>39</v>
      </c>
      <c r="O451" s="22">
        <f>ShoeSales[[#This Row],[Sell Price]]*ShoeSales[[#This Row],[Quantity]]</f>
        <v>380</v>
      </c>
      <c r="P451" s="19">
        <f>ShoeSales[[#This Row],[Quantity]]*ShoeSales[[#This Row],[Cost Price]]</f>
        <v>195</v>
      </c>
      <c r="Q451" s="19">
        <f>ShoeSales[[#This Row],[Revenue]]-ShoeSales[[#This Row],[Cost]]</f>
        <v>185</v>
      </c>
      <c r="R451" s="24">
        <f>ShoeSales[[#This Row],[Profit]]/ShoeSales[[#This Row],[Revenue]]</f>
        <v>0.48684210526315791</v>
      </c>
      <c r="S451" s="19"/>
      <c r="T451" s="19" t="str">
        <f>UPPER(TEXT(ShoeSales[[#This Row],[Date]], "mmm"))</f>
        <v>AUG</v>
      </c>
    </row>
    <row r="452" spans="1:20" ht="14.25" customHeight="1" x14ac:dyDescent="0.25">
      <c r="A452" s="14">
        <v>46200</v>
      </c>
      <c r="B452" s="6" t="s">
        <v>79</v>
      </c>
      <c r="C452" s="16" t="str">
        <f>TRIM(PROPER(ShoeSales[[#This Row],[Product]]))</f>
        <v>Brogues</v>
      </c>
      <c r="D452" s="6" t="s">
        <v>28</v>
      </c>
      <c r="E452" s="44" t="str">
        <f>UPPER(ShoeSales[[#This Row],[Category]])</f>
        <v>FORMAL</v>
      </c>
      <c r="F452" s="6" t="s">
        <v>56</v>
      </c>
      <c r="G452" s="6" t="s">
        <v>82</v>
      </c>
      <c r="H452" s="16" t="str">
        <f>PROPER(ShoeSales[[#This Row],[Brand]])</f>
        <v>Zara</v>
      </c>
      <c r="I452" s="6" t="s">
        <v>59</v>
      </c>
      <c r="J452" s="7">
        <v>5</v>
      </c>
      <c r="K452" s="6" t="s">
        <v>54</v>
      </c>
      <c r="L452" s="22">
        <f>VLOOKUP(ShoeSales[[#This Row],[Product Cleaned]],Price!$A$2:$C$9,2,FALSE)</f>
        <v>112</v>
      </c>
      <c r="M452" s="19">
        <f>_xlfn.XLOOKUP(ShoeSales[[#This Row],[Product Cleaned]],Price!$A$2:$A$9,Price!$B$2:$B$9)</f>
        <v>112</v>
      </c>
      <c r="N452" s="19">
        <f>_xlfn.XLOOKUP(ShoeSales[[#This Row],[Product Cleaned]],Price!$A$2:$A$9,Price!$C$2:$C$9)</f>
        <v>64</v>
      </c>
      <c r="O452" s="22">
        <f>ShoeSales[[#This Row],[Sell Price]]*ShoeSales[[#This Row],[Quantity]]</f>
        <v>560</v>
      </c>
      <c r="P452" s="19">
        <f>ShoeSales[[#This Row],[Quantity]]*ShoeSales[[#This Row],[Cost Price]]</f>
        <v>320</v>
      </c>
      <c r="Q452" s="19">
        <f>ShoeSales[[#This Row],[Revenue]]-ShoeSales[[#This Row],[Cost]]</f>
        <v>240</v>
      </c>
      <c r="R452" s="24">
        <f>ShoeSales[[#This Row],[Profit]]/ShoeSales[[#This Row],[Revenue]]</f>
        <v>0.42857142857142855</v>
      </c>
      <c r="S452" s="19"/>
      <c r="T452" s="19" t="str">
        <f>UPPER(TEXT(ShoeSales[[#This Row],[Date]], "mmm"))</f>
        <v>JUN</v>
      </c>
    </row>
    <row r="453" spans="1:20" ht="14.25" customHeight="1" x14ac:dyDescent="0.25">
      <c r="A453" s="15">
        <v>46030</v>
      </c>
      <c r="B453" s="9" t="s">
        <v>85</v>
      </c>
      <c r="C453" s="9" t="str">
        <f>TRIM(PROPER(ShoeSales[[#This Row],[Product]]))</f>
        <v>Brogues</v>
      </c>
      <c r="D453" s="9" t="s">
        <v>58</v>
      </c>
      <c r="E453" s="45" t="str">
        <f>UPPER(ShoeSales[[#This Row],[Category]])</f>
        <v>FORMAL</v>
      </c>
      <c r="F453" s="9" t="s">
        <v>49</v>
      </c>
      <c r="G453" s="9" t="s">
        <v>81</v>
      </c>
      <c r="H453" s="9" t="str">
        <f>PROPER(ShoeSales[[#This Row],[Brand]])</f>
        <v>Steve Madden</v>
      </c>
      <c r="I453" s="9" t="s">
        <v>51</v>
      </c>
      <c r="J453" s="10">
        <v>3</v>
      </c>
      <c r="K453" s="9" t="s">
        <v>54</v>
      </c>
      <c r="L453" s="22">
        <f>VLOOKUP(ShoeSales[[#This Row],[Product Cleaned]],Price!$A$2:$C$9,2,FALSE)</f>
        <v>112</v>
      </c>
      <c r="M453" s="19">
        <f>_xlfn.XLOOKUP(ShoeSales[[#This Row],[Product Cleaned]],Price!$A$2:$A$9,Price!$B$2:$B$9)</f>
        <v>112</v>
      </c>
      <c r="N453" s="19">
        <f>_xlfn.XLOOKUP(ShoeSales[[#This Row],[Product Cleaned]],Price!$A$2:$A$9,Price!$C$2:$C$9)</f>
        <v>64</v>
      </c>
      <c r="O453" s="22">
        <f>ShoeSales[[#This Row],[Sell Price]]*ShoeSales[[#This Row],[Quantity]]</f>
        <v>336</v>
      </c>
      <c r="P453" s="19">
        <f>ShoeSales[[#This Row],[Quantity]]*ShoeSales[[#This Row],[Cost Price]]</f>
        <v>192</v>
      </c>
      <c r="Q453" s="19">
        <f>ShoeSales[[#This Row],[Revenue]]-ShoeSales[[#This Row],[Cost]]</f>
        <v>144</v>
      </c>
      <c r="R453" s="24">
        <f>ShoeSales[[#This Row],[Profit]]/ShoeSales[[#This Row],[Revenue]]</f>
        <v>0.42857142857142855</v>
      </c>
      <c r="S453" s="19"/>
      <c r="T453" s="19" t="str">
        <f>UPPER(TEXT(ShoeSales[[#This Row],[Date]], "mmm"))</f>
        <v>JAN</v>
      </c>
    </row>
    <row r="454" spans="1:20" ht="14.25" customHeight="1" x14ac:dyDescent="0.25">
      <c r="A454" s="14">
        <v>46226</v>
      </c>
      <c r="B454" s="6" t="s">
        <v>12</v>
      </c>
      <c r="C454" s="16" t="str">
        <f>TRIM(PROPER(ShoeSales[[#This Row],[Product]]))</f>
        <v>Brogues</v>
      </c>
      <c r="D454" s="6" t="s">
        <v>37</v>
      </c>
      <c r="E454" s="44" t="str">
        <f>UPPER(ShoeSales[[#This Row],[Category]])</f>
        <v>FORMAL</v>
      </c>
      <c r="F454" s="6" t="s">
        <v>49</v>
      </c>
      <c r="G454" s="6" t="s">
        <v>80</v>
      </c>
      <c r="H454" s="16" t="str">
        <f>PROPER(ShoeSales[[#This Row],[Brand]])</f>
        <v>Steve Madden</v>
      </c>
      <c r="I454" s="6" t="s">
        <v>66</v>
      </c>
      <c r="J454" s="7">
        <v>11</v>
      </c>
      <c r="K454" s="6" t="s">
        <v>32</v>
      </c>
      <c r="L454" s="22">
        <f>VLOOKUP(ShoeSales[[#This Row],[Product Cleaned]],Price!$A$2:$C$9,2,FALSE)</f>
        <v>112</v>
      </c>
      <c r="M454" s="19">
        <f>_xlfn.XLOOKUP(ShoeSales[[#This Row],[Product Cleaned]],Price!$A$2:$A$9,Price!$B$2:$B$9)</f>
        <v>112</v>
      </c>
      <c r="N454" s="19">
        <f>_xlfn.XLOOKUP(ShoeSales[[#This Row],[Product Cleaned]],Price!$A$2:$A$9,Price!$C$2:$C$9)</f>
        <v>64</v>
      </c>
      <c r="O454" s="22">
        <f>ShoeSales[[#This Row],[Sell Price]]*ShoeSales[[#This Row],[Quantity]]</f>
        <v>1232</v>
      </c>
      <c r="P454" s="19">
        <f>ShoeSales[[#This Row],[Quantity]]*ShoeSales[[#This Row],[Cost Price]]</f>
        <v>704</v>
      </c>
      <c r="Q454" s="19">
        <f>ShoeSales[[#This Row],[Revenue]]-ShoeSales[[#This Row],[Cost]]</f>
        <v>528</v>
      </c>
      <c r="R454" s="24">
        <f>ShoeSales[[#This Row],[Profit]]/ShoeSales[[#This Row],[Revenue]]</f>
        <v>0.42857142857142855</v>
      </c>
      <c r="S454" s="19"/>
      <c r="T454" s="19" t="str">
        <f>UPPER(TEXT(ShoeSales[[#This Row],[Date]], "mmm"))</f>
        <v>JUL</v>
      </c>
    </row>
    <row r="455" spans="1:20" ht="14.25" customHeight="1" x14ac:dyDescent="0.25">
      <c r="A455" s="15">
        <v>46235</v>
      </c>
      <c r="B455" s="9" t="s">
        <v>44</v>
      </c>
      <c r="C455" s="9" t="str">
        <f>TRIM(PROPER(ShoeSales[[#This Row],[Product]]))</f>
        <v>Boots</v>
      </c>
      <c r="D455" s="9" t="s">
        <v>77</v>
      </c>
      <c r="E455" s="45" t="str">
        <f>UPPER(ShoeSales[[#This Row],[Category]])</f>
        <v>CASUAL</v>
      </c>
      <c r="F455" s="9" t="s">
        <v>34</v>
      </c>
      <c r="G455" s="9" t="s">
        <v>39</v>
      </c>
      <c r="H455" s="9" t="str">
        <f>PROPER(ShoeSales[[#This Row],[Brand]])</f>
        <v>Clarks</v>
      </c>
      <c r="I455" s="9" t="s">
        <v>91</v>
      </c>
      <c r="J455" s="10">
        <v>9</v>
      </c>
      <c r="K455" s="9" t="s">
        <v>62</v>
      </c>
      <c r="L455" s="22">
        <f>VLOOKUP(ShoeSales[[#This Row],[Product Cleaned]],Price!$A$2:$C$9,2,FALSE)</f>
        <v>76</v>
      </c>
      <c r="M455" s="19">
        <f>_xlfn.XLOOKUP(ShoeSales[[#This Row],[Product Cleaned]],Price!$A$2:$A$9,Price!$B$2:$B$9)</f>
        <v>76</v>
      </c>
      <c r="N455" s="19">
        <f>_xlfn.XLOOKUP(ShoeSales[[#This Row],[Product Cleaned]],Price!$A$2:$A$9,Price!$C$2:$C$9)</f>
        <v>39</v>
      </c>
      <c r="O455" s="22">
        <f>ShoeSales[[#This Row],[Sell Price]]*ShoeSales[[#This Row],[Quantity]]</f>
        <v>684</v>
      </c>
      <c r="P455" s="19">
        <f>ShoeSales[[#This Row],[Quantity]]*ShoeSales[[#This Row],[Cost Price]]</f>
        <v>351</v>
      </c>
      <c r="Q455" s="19">
        <f>ShoeSales[[#This Row],[Revenue]]-ShoeSales[[#This Row],[Cost]]</f>
        <v>333</v>
      </c>
      <c r="R455" s="24">
        <f>ShoeSales[[#This Row],[Profit]]/ShoeSales[[#This Row],[Revenue]]</f>
        <v>0.48684210526315791</v>
      </c>
      <c r="S455" s="19"/>
      <c r="T455" s="19" t="str">
        <f>UPPER(TEXT(ShoeSales[[#This Row],[Date]], "mmm"))</f>
        <v>AUG</v>
      </c>
    </row>
    <row r="456" spans="1:20" ht="14.25" customHeight="1" x14ac:dyDescent="0.25">
      <c r="A456" s="14">
        <v>46223</v>
      </c>
      <c r="B456" s="6" t="s">
        <v>10</v>
      </c>
      <c r="C456" s="16" t="str">
        <f>TRIM(PROPER(ShoeSales[[#This Row],[Product]]))</f>
        <v>Oxford</v>
      </c>
      <c r="D456" s="6" t="s">
        <v>28</v>
      </c>
      <c r="E456" s="44" t="str">
        <f>UPPER(ShoeSales[[#This Row],[Category]])</f>
        <v>FORMAL</v>
      </c>
      <c r="F456" s="6" t="s">
        <v>49</v>
      </c>
      <c r="G456" s="6" t="s">
        <v>82</v>
      </c>
      <c r="H456" s="16" t="str">
        <f>PROPER(ShoeSales[[#This Row],[Brand]])</f>
        <v>Zara</v>
      </c>
      <c r="I456" s="6" t="s">
        <v>53</v>
      </c>
      <c r="J456" s="7">
        <v>15</v>
      </c>
      <c r="K456" s="6" t="s">
        <v>32</v>
      </c>
      <c r="L456" s="22">
        <f>VLOOKUP(ShoeSales[[#This Row],[Product Cleaned]],Price!$A$2:$C$9,2,FALSE)</f>
        <v>105</v>
      </c>
      <c r="M456" s="19">
        <f>_xlfn.XLOOKUP(ShoeSales[[#This Row],[Product Cleaned]],Price!$A$2:$A$9,Price!$B$2:$B$9)</f>
        <v>105</v>
      </c>
      <c r="N456" s="19">
        <f>_xlfn.XLOOKUP(ShoeSales[[#This Row],[Product Cleaned]],Price!$A$2:$A$9,Price!$C$2:$C$9)</f>
        <v>58</v>
      </c>
      <c r="O456" s="22">
        <f>ShoeSales[[#This Row],[Sell Price]]*ShoeSales[[#This Row],[Quantity]]</f>
        <v>1575</v>
      </c>
      <c r="P456" s="19">
        <f>ShoeSales[[#This Row],[Quantity]]*ShoeSales[[#This Row],[Cost Price]]</f>
        <v>870</v>
      </c>
      <c r="Q456" s="19">
        <f>ShoeSales[[#This Row],[Revenue]]-ShoeSales[[#This Row],[Cost]]</f>
        <v>705</v>
      </c>
      <c r="R456" s="24">
        <f>ShoeSales[[#This Row],[Profit]]/ShoeSales[[#This Row],[Revenue]]</f>
        <v>0.44761904761904764</v>
      </c>
      <c r="S456" s="19"/>
      <c r="T456" s="19" t="str">
        <f>UPPER(TEXT(ShoeSales[[#This Row],[Date]], "mmm"))</f>
        <v>JUL</v>
      </c>
    </row>
    <row r="457" spans="1:20" ht="14.25" customHeight="1" x14ac:dyDescent="0.25">
      <c r="A457" s="15">
        <v>46049</v>
      </c>
      <c r="B457" s="9" t="s">
        <v>5</v>
      </c>
      <c r="C457" s="9" t="str">
        <f>TRIM(PROPER(ShoeSales[[#This Row],[Product]]))</f>
        <v>Monk Straps</v>
      </c>
      <c r="D457" s="9" t="s">
        <v>77</v>
      </c>
      <c r="E457" s="45" t="str">
        <f>UPPER(ShoeSales[[#This Row],[Category]])</f>
        <v>CASUAL</v>
      </c>
      <c r="F457" s="9" t="s">
        <v>49</v>
      </c>
      <c r="G457" s="9" t="s">
        <v>82</v>
      </c>
      <c r="H457" s="9" t="str">
        <f>PROPER(ShoeSales[[#This Row],[Brand]])</f>
        <v>Zara</v>
      </c>
      <c r="I457" s="9" t="s">
        <v>47</v>
      </c>
      <c r="J457" s="10">
        <v>10</v>
      </c>
      <c r="K457" s="9" t="s">
        <v>54</v>
      </c>
      <c r="L457" s="22">
        <f>VLOOKUP(ShoeSales[[#This Row],[Product Cleaned]],Price!$A$2:$C$9,2,FALSE)</f>
        <v>89</v>
      </c>
      <c r="M457" s="19">
        <f>_xlfn.XLOOKUP(ShoeSales[[#This Row],[Product Cleaned]],Price!$A$2:$A$9,Price!$B$2:$B$9)</f>
        <v>89</v>
      </c>
      <c r="N457" s="19">
        <f>_xlfn.XLOOKUP(ShoeSales[[#This Row],[Product Cleaned]],Price!$A$2:$A$9,Price!$C$2:$C$9)</f>
        <v>47</v>
      </c>
      <c r="O457" s="22">
        <f>ShoeSales[[#This Row],[Sell Price]]*ShoeSales[[#This Row],[Quantity]]</f>
        <v>890</v>
      </c>
      <c r="P457" s="19">
        <f>ShoeSales[[#This Row],[Quantity]]*ShoeSales[[#This Row],[Cost Price]]</f>
        <v>470</v>
      </c>
      <c r="Q457" s="19">
        <f>ShoeSales[[#This Row],[Revenue]]-ShoeSales[[#This Row],[Cost]]</f>
        <v>420</v>
      </c>
      <c r="R457" s="24">
        <f>ShoeSales[[#This Row],[Profit]]/ShoeSales[[#This Row],[Revenue]]</f>
        <v>0.47191011235955055</v>
      </c>
      <c r="S457" s="19"/>
      <c r="T457" s="19" t="str">
        <f>UPPER(TEXT(ShoeSales[[#This Row],[Date]], "mmm"))</f>
        <v>JAN</v>
      </c>
    </row>
    <row r="458" spans="1:20" ht="14.25" customHeight="1" x14ac:dyDescent="0.25">
      <c r="A458" s="14">
        <v>46083</v>
      </c>
      <c r="B458" s="6" t="s">
        <v>15</v>
      </c>
      <c r="C458" s="16" t="str">
        <f>TRIM(PROPER(ShoeSales[[#This Row],[Product]]))</f>
        <v>Slippers</v>
      </c>
      <c r="D458" s="6" t="s">
        <v>37</v>
      </c>
      <c r="E458" s="44" t="str">
        <f>UPPER(ShoeSales[[#This Row],[Category]])</f>
        <v>FORMAL</v>
      </c>
      <c r="F458" s="6" t="s">
        <v>56</v>
      </c>
      <c r="G458" s="6" t="s">
        <v>82</v>
      </c>
      <c r="H458" s="16" t="str">
        <f>PROPER(ShoeSales[[#This Row],[Brand]])</f>
        <v>Zara</v>
      </c>
      <c r="I458" s="6" t="s">
        <v>61</v>
      </c>
      <c r="J458" s="7">
        <v>5</v>
      </c>
      <c r="K458" s="6" t="s">
        <v>54</v>
      </c>
      <c r="L458" s="22">
        <f>VLOOKUP(ShoeSales[[#This Row],[Product Cleaned]],Price!$A$2:$C$9,2,FALSE)</f>
        <v>119</v>
      </c>
      <c r="M458" s="19">
        <f>_xlfn.XLOOKUP(ShoeSales[[#This Row],[Product Cleaned]],Price!$A$2:$A$9,Price!$B$2:$B$9)</f>
        <v>119</v>
      </c>
      <c r="N458" s="19">
        <f>_xlfn.XLOOKUP(ShoeSales[[#This Row],[Product Cleaned]],Price!$A$2:$A$9,Price!$C$2:$C$9)</f>
        <v>67</v>
      </c>
      <c r="O458" s="22">
        <f>ShoeSales[[#This Row],[Sell Price]]*ShoeSales[[#This Row],[Quantity]]</f>
        <v>595</v>
      </c>
      <c r="P458" s="19">
        <f>ShoeSales[[#This Row],[Quantity]]*ShoeSales[[#This Row],[Cost Price]]</f>
        <v>335</v>
      </c>
      <c r="Q458" s="19">
        <f>ShoeSales[[#This Row],[Revenue]]-ShoeSales[[#This Row],[Cost]]</f>
        <v>260</v>
      </c>
      <c r="R458" s="24">
        <f>ShoeSales[[#This Row],[Profit]]/ShoeSales[[#This Row],[Revenue]]</f>
        <v>0.43697478991596639</v>
      </c>
      <c r="S458" s="19"/>
      <c r="T458" s="19" t="str">
        <f>UPPER(TEXT(ShoeSales[[#This Row],[Date]], "mmm"))</f>
        <v>MAR</v>
      </c>
    </row>
    <row r="459" spans="1:20" ht="14.25" customHeight="1" x14ac:dyDescent="0.25">
      <c r="A459" s="15">
        <v>46160</v>
      </c>
      <c r="B459" s="9" t="s">
        <v>15</v>
      </c>
      <c r="C459" s="9" t="str">
        <f>TRIM(PROPER(ShoeSales[[#This Row],[Product]]))</f>
        <v>Slippers</v>
      </c>
      <c r="D459" s="9" t="s">
        <v>58</v>
      </c>
      <c r="E459" s="45" t="str">
        <f>UPPER(ShoeSales[[#This Row],[Category]])</f>
        <v>FORMAL</v>
      </c>
      <c r="F459" s="9" t="s">
        <v>38</v>
      </c>
      <c r="G459" s="9" t="s">
        <v>63</v>
      </c>
      <c r="H459" s="9" t="str">
        <f>PROPER(ShoeSales[[#This Row],[Brand]])</f>
        <v>Clarks</v>
      </c>
      <c r="I459" s="9" t="s">
        <v>59</v>
      </c>
      <c r="J459" s="10">
        <v>9</v>
      </c>
      <c r="K459" s="9" t="s">
        <v>54</v>
      </c>
      <c r="L459" s="22">
        <f>VLOOKUP(ShoeSales[[#This Row],[Product Cleaned]],Price!$A$2:$C$9,2,FALSE)</f>
        <v>119</v>
      </c>
      <c r="M459" s="19">
        <f>_xlfn.XLOOKUP(ShoeSales[[#This Row],[Product Cleaned]],Price!$A$2:$A$9,Price!$B$2:$B$9)</f>
        <v>119</v>
      </c>
      <c r="N459" s="19">
        <f>_xlfn.XLOOKUP(ShoeSales[[#This Row],[Product Cleaned]],Price!$A$2:$A$9,Price!$C$2:$C$9)</f>
        <v>67</v>
      </c>
      <c r="O459" s="22">
        <f>ShoeSales[[#This Row],[Sell Price]]*ShoeSales[[#This Row],[Quantity]]</f>
        <v>1071</v>
      </c>
      <c r="P459" s="19">
        <f>ShoeSales[[#This Row],[Quantity]]*ShoeSales[[#This Row],[Cost Price]]</f>
        <v>603</v>
      </c>
      <c r="Q459" s="19">
        <f>ShoeSales[[#This Row],[Revenue]]-ShoeSales[[#This Row],[Cost]]</f>
        <v>468</v>
      </c>
      <c r="R459" s="24">
        <f>ShoeSales[[#This Row],[Profit]]/ShoeSales[[#This Row],[Revenue]]</f>
        <v>0.43697478991596639</v>
      </c>
      <c r="S459" s="19"/>
      <c r="T459" s="19" t="str">
        <f>UPPER(TEXT(ShoeSales[[#This Row],[Date]], "mmm"))</f>
        <v>MAY</v>
      </c>
    </row>
    <row r="460" spans="1:20" ht="14.25" customHeight="1" x14ac:dyDescent="0.25">
      <c r="A460" s="14">
        <v>46220</v>
      </c>
      <c r="B460" s="6" t="s">
        <v>83</v>
      </c>
      <c r="C460" s="16" t="str">
        <f>TRIM(PROPER(ShoeSales[[#This Row],[Product]]))</f>
        <v>Monk Straps</v>
      </c>
      <c r="D460" s="6" t="s">
        <v>58</v>
      </c>
      <c r="E460" s="44" t="str">
        <f>UPPER(ShoeSales[[#This Row],[Category]])</f>
        <v>FORMAL</v>
      </c>
      <c r="F460" s="6" t="s">
        <v>34</v>
      </c>
      <c r="G460" s="6" t="s">
        <v>46</v>
      </c>
      <c r="H460" s="16" t="str">
        <f>PROPER(ShoeSales[[#This Row],[Brand]])</f>
        <v>Clarks</v>
      </c>
      <c r="I460" s="6" t="s">
        <v>84</v>
      </c>
      <c r="J460" s="7">
        <v>1</v>
      </c>
      <c r="K460" s="6" t="s">
        <v>54</v>
      </c>
      <c r="L460" s="22">
        <f>VLOOKUP(ShoeSales[[#This Row],[Product Cleaned]],Price!$A$2:$C$9,2,FALSE)</f>
        <v>89</v>
      </c>
      <c r="M460" s="19">
        <f>_xlfn.XLOOKUP(ShoeSales[[#This Row],[Product Cleaned]],Price!$A$2:$A$9,Price!$B$2:$B$9)</f>
        <v>89</v>
      </c>
      <c r="N460" s="19">
        <f>_xlfn.XLOOKUP(ShoeSales[[#This Row],[Product Cleaned]],Price!$A$2:$A$9,Price!$C$2:$C$9)</f>
        <v>47</v>
      </c>
      <c r="O460" s="22">
        <f>ShoeSales[[#This Row],[Sell Price]]*ShoeSales[[#This Row],[Quantity]]</f>
        <v>89</v>
      </c>
      <c r="P460" s="19">
        <f>ShoeSales[[#This Row],[Quantity]]*ShoeSales[[#This Row],[Cost Price]]</f>
        <v>47</v>
      </c>
      <c r="Q460" s="19">
        <f>ShoeSales[[#This Row],[Revenue]]-ShoeSales[[#This Row],[Cost]]</f>
        <v>42</v>
      </c>
      <c r="R460" s="24">
        <f>ShoeSales[[#This Row],[Profit]]/ShoeSales[[#This Row],[Revenue]]</f>
        <v>0.47191011235955055</v>
      </c>
      <c r="S460" s="19"/>
      <c r="T460" s="19" t="str">
        <f>UPPER(TEXT(ShoeSales[[#This Row],[Date]], "mmm"))</f>
        <v>JUL</v>
      </c>
    </row>
    <row r="461" spans="1:20" ht="14.25" customHeight="1" x14ac:dyDescent="0.25">
      <c r="A461" s="15">
        <v>46094</v>
      </c>
      <c r="B461" s="9" t="s">
        <v>44</v>
      </c>
      <c r="C461" s="9" t="str">
        <f>TRIM(PROPER(ShoeSales[[#This Row],[Product]]))</f>
        <v>Boots</v>
      </c>
      <c r="D461" s="9" t="s">
        <v>71</v>
      </c>
      <c r="E461" s="45" t="str">
        <f>UPPER(ShoeSales[[#This Row],[Category]])</f>
        <v>CASUAL</v>
      </c>
      <c r="F461" s="9" t="s">
        <v>49</v>
      </c>
      <c r="G461" s="9" t="s">
        <v>63</v>
      </c>
      <c r="H461" s="9" t="str">
        <f>PROPER(ShoeSales[[#This Row],[Brand]])</f>
        <v>Clarks</v>
      </c>
      <c r="I461" s="9" t="s">
        <v>43</v>
      </c>
      <c r="J461" s="10">
        <v>8</v>
      </c>
      <c r="K461" s="9" t="s">
        <v>36</v>
      </c>
      <c r="L461" s="22">
        <f>VLOOKUP(ShoeSales[[#This Row],[Product Cleaned]],Price!$A$2:$C$9,2,FALSE)</f>
        <v>76</v>
      </c>
      <c r="M461" s="19">
        <f>_xlfn.XLOOKUP(ShoeSales[[#This Row],[Product Cleaned]],Price!$A$2:$A$9,Price!$B$2:$B$9)</f>
        <v>76</v>
      </c>
      <c r="N461" s="19">
        <f>_xlfn.XLOOKUP(ShoeSales[[#This Row],[Product Cleaned]],Price!$A$2:$A$9,Price!$C$2:$C$9)</f>
        <v>39</v>
      </c>
      <c r="O461" s="22">
        <f>ShoeSales[[#This Row],[Sell Price]]*ShoeSales[[#This Row],[Quantity]]</f>
        <v>608</v>
      </c>
      <c r="P461" s="19">
        <f>ShoeSales[[#This Row],[Quantity]]*ShoeSales[[#This Row],[Cost Price]]</f>
        <v>312</v>
      </c>
      <c r="Q461" s="19">
        <f>ShoeSales[[#This Row],[Revenue]]-ShoeSales[[#This Row],[Cost]]</f>
        <v>296</v>
      </c>
      <c r="R461" s="24">
        <f>ShoeSales[[#This Row],[Profit]]/ShoeSales[[#This Row],[Revenue]]</f>
        <v>0.48684210526315791</v>
      </c>
      <c r="S461" s="19"/>
      <c r="T461" s="19" t="str">
        <f>UPPER(TEXT(ShoeSales[[#This Row],[Date]], "mmm"))</f>
        <v>MAR</v>
      </c>
    </row>
    <row r="462" spans="1:20" ht="14.25" customHeight="1" x14ac:dyDescent="0.25">
      <c r="A462" s="14">
        <v>46177</v>
      </c>
      <c r="B462" s="6" t="s">
        <v>10</v>
      </c>
      <c r="C462" s="16" t="str">
        <f>TRIM(PROPER(ShoeSales[[#This Row],[Product]]))</f>
        <v>Oxford</v>
      </c>
      <c r="D462" s="6" t="s">
        <v>89</v>
      </c>
      <c r="E462" s="44" t="str">
        <f>UPPER(ShoeSales[[#This Row],[Category]])</f>
        <v>OPEN</v>
      </c>
      <c r="F462" s="6" t="s">
        <v>38</v>
      </c>
      <c r="G462" s="6" t="s">
        <v>63</v>
      </c>
      <c r="H462" s="16" t="str">
        <f>PROPER(ShoeSales[[#This Row],[Brand]])</f>
        <v>Clarks</v>
      </c>
      <c r="I462" s="6" t="s">
        <v>64</v>
      </c>
      <c r="J462" s="7">
        <v>8</v>
      </c>
      <c r="K462" s="6" t="s">
        <v>62</v>
      </c>
      <c r="L462" s="22">
        <f>VLOOKUP(ShoeSales[[#This Row],[Product Cleaned]],Price!$A$2:$C$9,2,FALSE)</f>
        <v>105</v>
      </c>
      <c r="M462" s="19">
        <f>_xlfn.XLOOKUP(ShoeSales[[#This Row],[Product Cleaned]],Price!$A$2:$A$9,Price!$B$2:$B$9)</f>
        <v>105</v>
      </c>
      <c r="N462" s="19">
        <f>_xlfn.XLOOKUP(ShoeSales[[#This Row],[Product Cleaned]],Price!$A$2:$A$9,Price!$C$2:$C$9)</f>
        <v>58</v>
      </c>
      <c r="O462" s="22">
        <f>ShoeSales[[#This Row],[Sell Price]]*ShoeSales[[#This Row],[Quantity]]</f>
        <v>840</v>
      </c>
      <c r="P462" s="19">
        <f>ShoeSales[[#This Row],[Quantity]]*ShoeSales[[#This Row],[Cost Price]]</f>
        <v>464</v>
      </c>
      <c r="Q462" s="19">
        <f>ShoeSales[[#This Row],[Revenue]]-ShoeSales[[#This Row],[Cost]]</f>
        <v>376</v>
      </c>
      <c r="R462" s="24">
        <f>ShoeSales[[#This Row],[Profit]]/ShoeSales[[#This Row],[Revenue]]</f>
        <v>0.44761904761904764</v>
      </c>
      <c r="S462" s="19"/>
      <c r="T462" s="19" t="str">
        <f>UPPER(TEXT(ShoeSales[[#This Row],[Date]], "mmm"))</f>
        <v>JUN</v>
      </c>
    </row>
    <row r="463" spans="1:20" ht="14.25" customHeight="1" x14ac:dyDescent="0.25">
      <c r="A463" s="15">
        <v>46231</v>
      </c>
      <c r="B463" s="9" t="s">
        <v>7</v>
      </c>
      <c r="C463" s="9" t="str">
        <f>TRIM(PROPER(ShoeSales[[#This Row],[Product]]))</f>
        <v>Derby</v>
      </c>
      <c r="D463" s="9" t="s">
        <v>89</v>
      </c>
      <c r="E463" s="45" t="str">
        <f>UPPER(ShoeSales[[#This Row],[Category]])</f>
        <v>OPEN</v>
      </c>
      <c r="F463" s="9" t="s">
        <v>29</v>
      </c>
      <c r="G463" s="9" t="s">
        <v>46</v>
      </c>
      <c r="H463" s="9" t="str">
        <f>PROPER(ShoeSales[[#This Row],[Brand]])</f>
        <v>Clarks</v>
      </c>
      <c r="I463" s="9" t="s">
        <v>61</v>
      </c>
      <c r="J463" s="10">
        <v>9</v>
      </c>
      <c r="K463" s="9" t="s">
        <v>36</v>
      </c>
      <c r="L463" s="22">
        <f>VLOOKUP(ShoeSales[[#This Row],[Product Cleaned]],Price!$A$2:$C$9,2,FALSE)</f>
        <v>32</v>
      </c>
      <c r="M463" s="19">
        <f>_xlfn.XLOOKUP(ShoeSales[[#This Row],[Product Cleaned]],Price!$A$2:$A$9,Price!$B$2:$B$9)</f>
        <v>32</v>
      </c>
      <c r="N463" s="19">
        <f>_xlfn.XLOOKUP(ShoeSales[[#This Row],[Product Cleaned]],Price!$A$2:$A$9,Price!$C$2:$C$9)</f>
        <v>14</v>
      </c>
      <c r="O463" s="22">
        <f>ShoeSales[[#This Row],[Sell Price]]*ShoeSales[[#This Row],[Quantity]]</f>
        <v>288</v>
      </c>
      <c r="P463" s="19">
        <f>ShoeSales[[#This Row],[Quantity]]*ShoeSales[[#This Row],[Cost Price]]</f>
        <v>126</v>
      </c>
      <c r="Q463" s="19">
        <f>ShoeSales[[#This Row],[Revenue]]-ShoeSales[[#This Row],[Cost]]</f>
        <v>162</v>
      </c>
      <c r="R463" s="24">
        <f>ShoeSales[[#This Row],[Profit]]/ShoeSales[[#This Row],[Revenue]]</f>
        <v>0.5625</v>
      </c>
      <c r="S463" s="19"/>
      <c r="T463" s="19" t="str">
        <f>UPPER(TEXT(ShoeSales[[#This Row],[Date]], "mmm"))</f>
        <v>JUL</v>
      </c>
    </row>
    <row r="464" spans="1:20" ht="14.25" customHeight="1" x14ac:dyDescent="0.25">
      <c r="A464" s="14">
        <v>46203</v>
      </c>
      <c r="B464" s="6" t="s">
        <v>79</v>
      </c>
      <c r="C464" s="16" t="str">
        <f>TRIM(PROPER(ShoeSales[[#This Row],[Product]]))</f>
        <v>Brogues</v>
      </c>
      <c r="D464" s="6" t="s">
        <v>77</v>
      </c>
      <c r="E464" s="44" t="str">
        <f>UPPER(ShoeSales[[#This Row],[Category]])</f>
        <v>CASUAL</v>
      </c>
      <c r="F464" s="6" t="s">
        <v>34</v>
      </c>
      <c r="G464" s="6" t="s">
        <v>50</v>
      </c>
      <c r="H464" s="16" t="str">
        <f>PROPER(ShoeSales[[#This Row],[Brand]])</f>
        <v>Nike</v>
      </c>
      <c r="I464" s="6" t="s">
        <v>73</v>
      </c>
      <c r="J464" s="7">
        <v>10</v>
      </c>
      <c r="K464" s="6" t="s">
        <v>32</v>
      </c>
      <c r="L464" s="22">
        <f>VLOOKUP(ShoeSales[[#This Row],[Product Cleaned]],Price!$A$2:$C$9,2,FALSE)</f>
        <v>112</v>
      </c>
      <c r="M464" s="19">
        <f>_xlfn.XLOOKUP(ShoeSales[[#This Row],[Product Cleaned]],Price!$A$2:$A$9,Price!$B$2:$B$9)</f>
        <v>112</v>
      </c>
      <c r="N464" s="19">
        <f>_xlfn.XLOOKUP(ShoeSales[[#This Row],[Product Cleaned]],Price!$A$2:$A$9,Price!$C$2:$C$9)</f>
        <v>64</v>
      </c>
      <c r="O464" s="22">
        <f>ShoeSales[[#This Row],[Sell Price]]*ShoeSales[[#This Row],[Quantity]]</f>
        <v>1120</v>
      </c>
      <c r="P464" s="19">
        <f>ShoeSales[[#This Row],[Quantity]]*ShoeSales[[#This Row],[Cost Price]]</f>
        <v>640</v>
      </c>
      <c r="Q464" s="19">
        <f>ShoeSales[[#This Row],[Revenue]]-ShoeSales[[#This Row],[Cost]]</f>
        <v>480</v>
      </c>
      <c r="R464" s="24">
        <f>ShoeSales[[#This Row],[Profit]]/ShoeSales[[#This Row],[Revenue]]</f>
        <v>0.42857142857142855</v>
      </c>
      <c r="S464" s="19"/>
      <c r="T464" s="19" t="str">
        <f>UPPER(TEXT(ShoeSales[[#This Row],[Date]], "mmm"))</f>
        <v>JUN</v>
      </c>
    </row>
    <row r="465" spans="1:20" ht="14.25" customHeight="1" x14ac:dyDescent="0.25">
      <c r="A465" s="15">
        <v>46238</v>
      </c>
      <c r="B465" s="9" t="s">
        <v>52</v>
      </c>
      <c r="C465" s="9" t="str">
        <f>TRIM(PROPER(ShoeSales[[#This Row],[Product]]))</f>
        <v>Canvas</v>
      </c>
      <c r="D465" s="9" t="s">
        <v>89</v>
      </c>
      <c r="E465" s="45" t="str">
        <f>UPPER(ShoeSales[[#This Row],[Category]])</f>
        <v>OPEN</v>
      </c>
      <c r="F465" s="9" t="s">
        <v>38</v>
      </c>
      <c r="G465" s="9" t="s">
        <v>63</v>
      </c>
      <c r="H465" s="9" t="str">
        <f>PROPER(ShoeSales[[#This Row],[Brand]])</f>
        <v>Clarks</v>
      </c>
      <c r="I465" s="9" t="s">
        <v>51</v>
      </c>
      <c r="J465" s="10">
        <v>6</v>
      </c>
      <c r="K465" s="9" t="s">
        <v>36</v>
      </c>
      <c r="L465" s="22">
        <f>VLOOKUP(ShoeSales[[#This Row],[Product Cleaned]],Price!$A$2:$C$9,2,FALSE)</f>
        <v>128</v>
      </c>
      <c r="M465" s="19">
        <f>_xlfn.XLOOKUP(ShoeSales[[#This Row],[Product Cleaned]],Price!$A$2:$A$9,Price!$B$2:$B$9)</f>
        <v>128</v>
      </c>
      <c r="N465" s="19">
        <f>_xlfn.XLOOKUP(ShoeSales[[#This Row],[Product Cleaned]],Price!$A$2:$A$9,Price!$C$2:$C$9)</f>
        <v>72</v>
      </c>
      <c r="O465" s="22">
        <f>ShoeSales[[#This Row],[Sell Price]]*ShoeSales[[#This Row],[Quantity]]</f>
        <v>768</v>
      </c>
      <c r="P465" s="19">
        <f>ShoeSales[[#This Row],[Quantity]]*ShoeSales[[#This Row],[Cost Price]]</f>
        <v>432</v>
      </c>
      <c r="Q465" s="19">
        <f>ShoeSales[[#This Row],[Revenue]]-ShoeSales[[#This Row],[Cost]]</f>
        <v>336</v>
      </c>
      <c r="R465" s="24">
        <f>ShoeSales[[#This Row],[Profit]]/ShoeSales[[#This Row],[Revenue]]</f>
        <v>0.4375</v>
      </c>
      <c r="S465" s="19"/>
      <c r="T465" s="19" t="str">
        <f>UPPER(TEXT(ShoeSales[[#This Row],[Date]], "mmm"))</f>
        <v>AUG</v>
      </c>
    </row>
    <row r="466" spans="1:20" ht="14.25" customHeight="1" x14ac:dyDescent="0.25">
      <c r="A466" s="14">
        <v>46177</v>
      </c>
      <c r="B466" s="6" t="s">
        <v>9</v>
      </c>
      <c r="C466" s="16" t="str">
        <f>TRIM(PROPER(ShoeSales[[#This Row],[Product]]))</f>
        <v>Canvas</v>
      </c>
      <c r="D466" s="6" t="s">
        <v>28</v>
      </c>
      <c r="E466" s="44" t="str">
        <f>UPPER(ShoeSales[[#This Row],[Category]])</f>
        <v>FORMAL</v>
      </c>
      <c r="F466" s="6" t="s">
        <v>38</v>
      </c>
      <c r="G466" s="6" t="s">
        <v>50</v>
      </c>
      <c r="H466" s="16" t="str">
        <f>PROPER(ShoeSales[[#This Row],[Brand]])</f>
        <v>Nike</v>
      </c>
      <c r="I466" s="6" t="s">
        <v>51</v>
      </c>
      <c r="J466" s="7">
        <v>4</v>
      </c>
      <c r="K466" s="6" t="s">
        <v>54</v>
      </c>
      <c r="L466" s="22">
        <f>VLOOKUP(ShoeSales[[#This Row],[Product Cleaned]],Price!$A$2:$C$9,2,FALSE)</f>
        <v>128</v>
      </c>
      <c r="M466" s="19">
        <f>_xlfn.XLOOKUP(ShoeSales[[#This Row],[Product Cleaned]],Price!$A$2:$A$9,Price!$B$2:$B$9)</f>
        <v>128</v>
      </c>
      <c r="N466" s="19">
        <f>_xlfn.XLOOKUP(ShoeSales[[#This Row],[Product Cleaned]],Price!$A$2:$A$9,Price!$C$2:$C$9)</f>
        <v>72</v>
      </c>
      <c r="O466" s="22">
        <f>ShoeSales[[#This Row],[Sell Price]]*ShoeSales[[#This Row],[Quantity]]</f>
        <v>512</v>
      </c>
      <c r="P466" s="19">
        <f>ShoeSales[[#This Row],[Quantity]]*ShoeSales[[#This Row],[Cost Price]]</f>
        <v>288</v>
      </c>
      <c r="Q466" s="19">
        <f>ShoeSales[[#This Row],[Revenue]]-ShoeSales[[#This Row],[Cost]]</f>
        <v>224</v>
      </c>
      <c r="R466" s="24">
        <f>ShoeSales[[#This Row],[Profit]]/ShoeSales[[#This Row],[Revenue]]</f>
        <v>0.4375</v>
      </c>
      <c r="S466" s="19"/>
      <c r="T466" s="19" t="str">
        <f>UPPER(TEXT(ShoeSales[[#This Row],[Date]], "mmm"))</f>
        <v>JUN</v>
      </c>
    </row>
    <row r="467" spans="1:20" ht="14.25" customHeight="1" x14ac:dyDescent="0.25">
      <c r="A467" s="15">
        <v>46099</v>
      </c>
      <c r="B467" s="9" t="s">
        <v>83</v>
      </c>
      <c r="C467" s="9" t="str">
        <f>TRIM(PROPER(ShoeSales[[#This Row],[Product]]))</f>
        <v>Monk Straps</v>
      </c>
      <c r="D467" s="9" t="s">
        <v>28</v>
      </c>
      <c r="E467" s="45" t="str">
        <f>UPPER(ShoeSales[[#This Row],[Category]])</f>
        <v>FORMAL</v>
      </c>
      <c r="F467" s="9" t="s">
        <v>34</v>
      </c>
      <c r="G467" s="9" t="s">
        <v>95</v>
      </c>
      <c r="H467" s="9" t="str">
        <f>PROPER(ShoeSales[[#This Row],[Brand]])</f>
        <v>Timberland</v>
      </c>
      <c r="I467" s="9" t="s">
        <v>40</v>
      </c>
      <c r="J467" s="10">
        <v>4</v>
      </c>
      <c r="K467" s="9" t="s">
        <v>32</v>
      </c>
      <c r="L467" s="22">
        <f>VLOOKUP(ShoeSales[[#This Row],[Product Cleaned]],Price!$A$2:$C$9,2,FALSE)</f>
        <v>89</v>
      </c>
      <c r="M467" s="19">
        <f>_xlfn.XLOOKUP(ShoeSales[[#This Row],[Product Cleaned]],Price!$A$2:$A$9,Price!$B$2:$B$9)</f>
        <v>89</v>
      </c>
      <c r="N467" s="19">
        <f>_xlfn.XLOOKUP(ShoeSales[[#This Row],[Product Cleaned]],Price!$A$2:$A$9,Price!$C$2:$C$9)</f>
        <v>47</v>
      </c>
      <c r="O467" s="22">
        <f>ShoeSales[[#This Row],[Sell Price]]*ShoeSales[[#This Row],[Quantity]]</f>
        <v>356</v>
      </c>
      <c r="P467" s="19">
        <f>ShoeSales[[#This Row],[Quantity]]*ShoeSales[[#This Row],[Cost Price]]</f>
        <v>188</v>
      </c>
      <c r="Q467" s="19">
        <f>ShoeSales[[#This Row],[Revenue]]-ShoeSales[[#This Row],[Cost]]</f>
        <v>168</v>
      </c>
      <c r="R467" s="24">
        <f>ShoeSales[[#This Row],[Profit]]/ShoeSales[[#This Row],[Revenue]]</f>
        <v>0.47191011235955055</v>
      </c>
      <c r="S467" s="19"/>
      <c r="T467" s="19" t="str">
        <f>UPPER(TEXT(ShoeSales[[#This Row],[Date]], "mmm"))</f>
        <v>MAR</v>
      </c>
    </row>
    <row r="468" spans="1:20" ht="14.25" customHeight="1" x14ac:dyDescent="0.25">
      <c r="A468" s="14">
        <v>46035</v>
      </c>
      <c r="B468" s="6" t="s">
        <v>41</v>
      </c>
      <c r="C468" s="16" t="str">
        <f>TRIM(PROPER(ShoeSales[[#This Row],[Product]]))</f>
        <v>Boots</v>
      </c>
      <c r="D468" s="6" t="s">
        <v>37</v>
      </c>
      <c r="E468" s="44" t="str">
        <f>UPPER(ShoeSales[[#This Row],[Category]])</f>
        <v>FORMAL</v>
      </c>
      <c r="F468" s="6" t="s">
        <v>29</v>
      </c>
      <c r="G468" s="6" t="s">
        <v>80</v>
      </c>
      <c r="H468" s="16" t="str">
        <f>PROPER(ShoeSales[[#This Row],[Brand]])</f>
        <v>Steve Madden</v>
      </c>
      <c r="I468" s="6" t="s">
        <v>53</v>
      </c>
      <c r="J468" s="7">
        <v>14</v>
      </c>
      <c r="K468" s="6" t="s">
        <v>32</v>
      </c>
      <c r="L468" s="22">
        <f>VLOOKUP(ShoeSales[[#This Row],[Product Cleaned]],Price!$A$2:$C$9,2,FALSE)</f>
        <v>76</v>
      </c>
      <c r="M468" s="19">
        <f>_xlfn.XLOOKUP(ShoeSales[[#This Row],[Product Cleaned]],Price!$A$2:$A$9,Price!$B$2:$B$9)</f>
        <v>76</v>
      </c>
      <c r="N468" s="19">
        <f>_xlfn.XLOOKUP(ShoeSales[[#This Row],[Product Cleaned]],Price!$A$2:$A$9,Price!$C$2:$C$9)</f>
        <v>39</v>
      </c>
      <c r="O468" s="22">
        <f>ShoeSales[[#This Row],[Sell Price]]*ShoeSales[[#This Row],[Quantity]]</f>
        <v>1064</v>
      </c>
      <c r="P468" s="19">
        <f>ShoeSales[[#This Row],[Quantity]]*ShoeSales[[#This Row],[Cost Price]]</f>
        <v>546</v>
      </c>
      <c r="Q468" s="19">
        <f>ShoeSales[[#This Row],[Revenue]]-ShoeSales[[#This Row],[Cost]]</f>
        <v>518</v>
      </c>
      <c r="R468" s="24">
        <f>ShoeSales[[#This Row],[Profit]]/ShoeSales[[#This Row],[Revenue]]</f>
        <v>0.48684210526315791</v>
      </c>
      <c r="S468" s="19"/>
      <c r="T468" s="19" t="str">
        <f>UPPER(TEXT(ShoeSales[[#This Row],[Date]], "mmm"))</f>
        <v>JAN</v>
      </c>
    </row>
    <row r="469" spans="1:20" ht="14.25" customHeight="1" x14ac:dyDescent="0.25">
      <c r="A469" s="15">
        <v>46175</v>
      </c>
      <c r="B469" s="9" t="s">
        <v>12</v>
      </c>
      <c r="C469" s="9" t="str">
        <f>TRIM(PROPER(ShoeSales[[#This Row],[Product]]))</f>
        <v>Brogues</v>
      </c>
      <c r="D469" s="9" t="s">
        <v>28</v>
      </c>
      <c r="E469" s="45" t="str">
        <f>UPPER(ShoeSales[[#This Row],[Category]])</f>
        <v>FORMAL</v>
      </c>
      <c r="F469" s="9" t="s">
        <v>38</v>
      </c>
      <c r="G469" s="9" t="s">
        <v>80</v>
      </c>
      <c r="H469" s="9" t="str">
        <f>PROPER(ShoeSales[[#This Row],[Brand]])</f>
        <v>Steve Madden</v>
      </c>
      <c r="I469" s="9" t="s">
        <v>53</v>
      </c>
      <c r="J469" s="10">
        <v>8</v>
      </c>
      <c r="K469" s="9" t="s">
        <v>36</v>
      </c>
      <c r="L469" s="22">
        <f>VLOOKUP(ShoeSales[[#This Row],[Product Cleaned]],Price!$A$2:$C$9,2,FALSE)</f>
        <v>112</v>
      </c>
      <c r="M469" s="19">
        <f>_xlfn.XLOOKUP(ShoeSales[[#This Row],[Product Cleaned]],Price!$A$2:$A$9,Price!$B$2:$B$9)</f>
        <v>112</v>
      </c>
      <c r="N469" s="19">
        <f>_xlfn.XLOOKUP(ShoeSales[[#This Row],[Product Cleaned]],Price!$A$2:$A$9,Price!$C$2:$C$9)</f>
        <v>64</v>
      </c>
      <c r="O469" s="22">
        <f>ShoeSales[[#This Row],[Sell Price]]*ShoeSales[[#This Row],[Quantity]]</f>
        <v>896</v>
      </c>
      <c r="P469" s="19">
        <f>ShoeSales[[#This Row],[Quantity]]*ShoeSales[[#This Row],[Cost Price]]</f>
        <v>512</v>
      </c>
      <c r="Q469" s="19">
        <f>ShoeSales[[#This Row],[Revenue]]-ShoeSales[[#This Row],[Cost]]</f>
        <v>384</v>
      </c>
      <c r="R469" s="24">
        <f>ShoeSales[[#This Row],[Profit]]/ShoeSales[[#This Row],[Revenue]]</f>
        <v>0.42857142857142855</v>
      </c>
      <c r="S469" s="19"/>
      <c r="T469" s="19" t="str">
        <f>UPPER(TEXT(ShoeSales[[#This Row],[Date]], "mmm"))</f>
        <v>JUN</v>
      </c>
    </row>
    <row r="470" spans="1:20" ht="14.25" customHeight="1" x14ac:dyDescent="0.25">
      <c r="A470" s="14">
        <v>46044</v>
      </c>
      <c r="B470" s="6" t="s">
        <v>44</v>
      </c>
      <c r="C470" s="16" t="str">
        <f>TRIM(PROPER(ShoeSales[[#This Row],[Product]]))</f>
        <v>Boots</v>
      </c>
      <c r="D470" s="6" t="s">
        <v>37</v>
      </c>
      <c r="E470" s="44" t="str">
        <f>UPPER(ShoeSales[[#This Row],[Category]])</f>
        <v>FORMAL</v>
      </c>
      <c r="F470" s="6" t="s">
        <v>34</v>
      </c>
      <c r="G470" s="6" t="s">
        <v>46</v>
      </c>
      <c r="H470" s="16" t="str">
        <f>PROPER(ShoeSales[[#This Row],[Brand]])</f>
        <v>Clarks</v>
      </c>
      <c r="I470" s="6" t="s">
        <v>53</v>
      </c>
      <c r="J470" s="7">
        <v>3</v>
      </c>
      <c r="K470" s="6" t="s">
        <v>36</v>
      </c>
      <c r="L470" s="22">
        <f>VLOOKUP(ShoeSales[[#This Row],[Product Cleaned]],Price!$A$2:$C$9,2,FALSE)</f>
        <v>76</v>
      </c>
      <c r="M470" s="19">
        <f>_xlfn.XLOOKUP(ShoeSales[[#This Row],[Product Cleaned]],Price!$A$2:$A$9,Price!$B$2:$B$9)</f>
        <v>76</v>
      </c>
      <c r="N470" s="19">
        <f>_xlfn.XLOOKUP(ShoeSales[[#This Row],[Product Cleaned]],Price!$A$2:$A$9,Price!$C$2:$C$9)</f>
        <v>39</v>
      </c>
      <c r="O470" s="22">
        <f>ShoeSales[[#This Row],[Sell Price]]*ShoeSales[[#This Row],[Quantity]]</f>
        <v>228</v>
      </c>
      <c r="P470" s="19">
        <f>ShoeSales[[#This Row],[Quantity]]*ShoeSales[[#This Row],[Cost Price]]</f>
        <v>117</v>
      </c>
      <c r="Q470" s="19">
        <f>ShoeSales[[#This Row],[Revenue]]-ShoeSales[[#This Row],[Cost]]</f>
        <v>111</v>
      </c>
      <c r="R470" s="24">
        <f>ShoeSales[[#This Row],[Profit]]/ShoeSales[[#This Row],[Revenue]]</f>
        <v>0.48684210526315791</v>
      </c>
      <c r="S470" s="19"/>
      <c r="T470" s="19" t="str">
        <f>UPPER(TEXT(ShoeSales[[#This Row],[Date]], "mmm"))</f>
        <v>JAN</v>
      </c>
    </row>
    <row r="471" spans="1:20" ht="14.25" customHeight="1" x14ac:dyDescent="0.25">
      <c r="A471" s="15">
        <v>46142</v>
      </c>
      <c r="B471" s="9" t="s">
        <v>92</v>
      </c>
      <c r="C471" s="9" t="str">
        <f>TRIM(PROPER(ShoeSales[[#This Row],[Product]]))</f>
        <v>Canvas</v>
      </c>
      <c r="D471" s="9" t="s">
        <v>77</v>
      </c>
      <c r="E471" s="45" t="str">
        <f>UPPER(ShoeSales[[#This Row],[Category]])</f>
        <v>CASUAL</v>
      </c>
      <c r="F471" s="9" t="s">
        <v>29</v>
      </c>
      <c r="G471" s="9" t="s">
        <v>46</v>
      </c>
      <c r="H471" s="9" t="str">
        <f>PROPER(ShoeSales[[#This Row],[Brand]])</f>
        <v>Clarks</v>
      </c>
      <c r="I471" s="9" t="s">
        <v>61</v>
      </c>
      <c r="J471" s="10">
        <v>10</v>
      </c>
      <c r="K471" s="9" t="s">
        <v>32</v>
      </c>
      <c r="L471" s="22">
        <f>VLOOKUP(ShoeSales[[#This Row],[Product Cleaned]],Price!$A$2:$C$9,2,FALSE)</f>
        <v>128</v>
      </c>
      <c r="M471" s="19">
        <f>_xlfn.XLOOKUP(ShoeSales[[#This Row],[Product Cleaned]],Price!$A$2:$A$9,Price!$B$2:$B$9)</f>
        <v>128</v>
      </c>
      <c r="N471" s="19">
        <f>_xlfn.XLOOKUP(ShoeSales[[#This Row],[Product Cleaned]],Price!$A$2:$A$9,Price!$C$2:$C$9)</f>
        <v>72</v>
      </c>
      <c r="O471" s="22">
        <f>ShoeSales[[#This Row],[Sell Price]]*ShoeSales[[#This Row],[Quantity]]</f>
        <v>1280</v>
      </c>
      <c r="P471" s="19">
        <f>ShoeSales[[#This Row],[Quantity]]*ShoeSales[[#This Row],[Cost Price]]</f>
        <v>720</v>
      </c>
      <c r="Q471" s="19">
        <f>ShoeSales[[#This Row],[Revenue]]-ShoeSales[[#This Row],[Cost]]</f>
        <v>560</v>
      </c>
      <c r="R471" s="24">
        <f>ShoeSales[[#This Row],[Profit]]/ShoeSales[[#This Row],[Revenue]]</f>
        <v>0.4375</v>
      </c>
      <c r="S471" s="19"/>
      <c r="T471" s="19" t="str">
        <f>UPPER(TEXT(ShoeSales[[#This Row],[Date]], "mmm"))</f>
        <v>APR</v>
      </c>
    </row>
    <row r="472" spans="1:20" ht="14.25" customHeight="1" x14ac:dyDescent="0.25">
      <c r="A472" s="14">
        <v>46090</v>
      </c>
      <c r="B472" s="6" t="s">
        <v>33</v>
      </c>
      <c r="C472" s="16" t="str">
        <f>TRIM(PROPER(ShoeSales[[#This Row],[Product]]))</f>
        <v>Loafers</v>
      </c>
      <c r="D472" s="6" t="s">
        <v>42</v>
      </c>
      <c r="E472" s="44" t="str">
        <f>UPPER(ShoeSales[[#This Row],[Category]])</f>
        <v>UTILITY</v>
      </c>
      <c r="F472" s="6" t="s">
        <v>34</v>
      </c>
      <c r="G472" s="6" t="s">
        <v>39</v>
      </c>
      <c r="H472" s="16" t="str">
        <f>PROPER(ShoeSales[[#This Row],[Brand]])</f>
        <v>Clarks</v>
      </c>
      <c r="I472" s="6" t="s">
        <v>51</v>
      </c>
      <c r="J472" s="7">
        <v>7</v>
      </c>
      <c r="K472" s="6" t="s">
        <v>36</v>
      </c>
      <c r="L472" s="22">
        <f>VLOOKUP(ShoeSales[[#This Row],[Product Cleaned]],Price!$A$2:$C$9,2,FALSE)</f>
        <v>54</v>
      </c>
      <c r="M472" s="19">
        <f>_xlfn.XLOOKUP(ShoeSales[[#This Row],[Product Cleaned]],Price!$A$2:$A$9,Price!$B$2:$B$9)</f>
        <v>54</v>
      </c>
      <c r="N472" s="19">
        <f>_xlfn.XLOOKUP(ShoeSales[[#This Row],[Product Cleaned]],Price!$A$2:$A$9,Price!$C$2:$C$9)</f>
        <v>28</v>
      </c>
      <c r="O472" s="22">
        <f>ShoeSales[[#This Row],[Sell Price]]*ShoeSales[[#This Row],[Quantity]]</f>
        <v>378</v>
      </c>
      <c r="P472" s="19">
        <f>ShoeSales[[#This Row],[Quantity]]*ShoeSales[[#This Row],[Cost Price]]</f>
        <v>196</v>
      </c>
      <c r="Q472" s="19">
        <f>ShoeSales[[#This Row],[Revenue]]-ShoeSales[[#This Row],[Cost]]</f>
        <v>182</v>
      </c>
      <c r="R472" s="24">
        <f>ShoeSales[[#This Row],[Profit]]/ShoeSales[[#This Row],[Revenue]]</f>
        <v>0.48148148148148145</v>
      </c>
      <c r="S472" s="19"/>
      <c r="T472" s="19" t="str">
        <f>UPPER(TEXT(ShoeSales[[#This Row],[Date]], "mmm"))</f>
        <v>MAR</v>
      </c>
    </row>
    <row r="473" spans="1:20" ht="14.25" customHeight="1" x14ac:dyDescent="0.25">
      <c r="A473" s="15">
        <v>46211</v>
      </c>
      <c r="B473" s="9" t="s">
        <v>15</v>
      </c>
      <c r="C473" s="9" t="str">
        <f>TRIM(PROPER(ShoeSales[[#This Row],[Product]]))</f>
        <v>Slippers</v>
      </c>
      <c r="D473" s="9" t="s">
        <v>28</v>
      </c>
      <c r="E473" s="45" t="str">
        <f>UPPER(ShoeSales[[#This Row],[Category]])</f>
        <v>FORMAL</v>
      </c>
      <c r="F473" s="9" t="s">
        <v>34</v>
      </c>
      <c r="G473" s="9" t="s">
        <v>30</v>
      </c>
      <c r="H473" s="9" t="str">
        <f>PROPER(ShoeSales[[#This Row],[Brand]])</f>
        <v>Nike</v>
      </c>
      <c r="I473" s="9" t="s">
        <v>53</v>
      </c>
      <c r="J473" s="10">
        <v>6</v>
      </c>
      <c r="K473" s="9" t="s">
        <v>62</v>
      </c>
      <c r="L473" s="22">
        <f>VLOOKUP(ShoeSales[[#This Row],[Product Cleaned]],Price!$A$2:$C$9,2,FALSE)</f>
        <v>119</v>
      </c>
      <c r="M473" s="19">
        <f>_xlfn.XLOOKUP(ShoeSales[[#This Row],[Product Cleaned]],Price!$A$2:$A$9,Price!$B$2:$B$9)</f>
        <v>119</v>
      </c>
      <c r="N473" s="19">
        <f>_xlfn.XLOOKUP(ShoeSales[[#This Row],[Product Cleaned]],Price!$A$2:$A$9,Price!$C$2:$C$9)</f>
        <v>67</v>
      </c>
      <c r="O473" s="22">
        <f>ShoeSales[[#This Row],[Sell Price]]*ShoeSales[[#This Row],[Quantity]]</f>
        <v>714</v>
      </c>
      <c r="P473" s="19">
        <f>ShoeSales[[#This Row],[Quantity]]*ShoeSales[[#This Row],[Cost Price]]</f>
        <v>402</v>
      </c>
      <c r="Q473" s="19">
        <f>ShoeSales[[#This Row],[Revenue]]-ShoeSales[[#This Row],[Cost]]</f>
        <v>312</v>
      </c>
      <c r="R473" s="24">
        <f>ShoeSales[[#This Row],[Profit]]/ShoeSales[[#This Row],[Revenue]]</f>
        <v>0.43697478991596639</v>
      </c>
      <c r="S473" s="19"/>
      <c r="T473" s="19" t="str">
        <f>UPPER(TEXT(ShoeSales[[#This Row],[Date]], "mmm"))</f>
        <v>JUL</v>
      </c>
    </row>
    <row r="474" spans="1:20" ht="14.25" customHeight="1" x14ac:dyDescent="0.25">
      <c r="A474" s="14">
        <v>46060</v>
      </c>
      <c r="B474" s="6" t="s">
        <v>7</v>
      </c>
      <c r="C474" s="16" t="str">
        <f>TRIM(PROPER(ShoeSales[[#This Row],[Product]]))</f>
        <v>Derby</v>
      </c>
      <c r="D474" s="6" t="s">
        <v>37</v>
      </c>
      <c r="E474" s="44" t="str">
        <f>UPPER(ShoeSales[[#This Row],[Category]])</f>
        <v>FORMAL</v>
      </c>
      <c r="F474" s="6" t="s">
        <v>34</v>
      </c>
      <c r="G474" s="6" t="s">
        <v>35</v>
      </c>
      <c r="H474" s="16" t="str">
        <f>PROPER(ShoeSales[[#This Row],[Brand]])</f>
        <v>Nike</v>
      </c>
      <c r="I474" s="6" t="s">
        <v>64</v>
      </c>
      <c r="J474" s="7">
        <v>13</v>
      </c>
      <c r="K474" s="6" t="s">
        <v>62</v>
      </c>
      <c r="L474" s="22">
        <f>VLOOKUP(ShoeSales[[#This Row],[Product Cleaned]],Price!$A$2:$C$9,2,FALSE)</f>
        <v>32</v>
      </c>
      <c r="M474" s="19">
        <f>_xlfn.XLOOKUP(ShoeSales[[#This Row],[Product Cleaned]],Price!$A$2:$A$9,Price!$B$2:$B$9)</f>
        <v>32</v>
      </c>
      <c r="N474" s="19">
        <f>_xlfn.XLOOKUP(ShoeSales[[#This Row],[Product Cleaned]],Price!$A$2:$A$9,Price!$C$2:$C$9)</f>
        <v>14</v>
      </c>
      <c r="O474" s="22">
        <f>ShoeSales[[#This Row],[Sell Price]]*ShoeSales[[#This Row],[Quantity]]</f>
        <v>416</v>
      </c>
      <c r="P474" s="19">
        <f>ShoeSales[[#This Row],[Quantity]]*ShoeSales[[#This Row],[Cost Price]]</f>
        <v>182</v>
      </c>
      <c r="Q474" s="19">
        <f>ShoeSales[[#This Row],[Revenue]]-ShoeSales[[#This Row],[Cost]]</f>
        <v>234</v>
      </c>
      <c r="R474" s="24">
        <f>ShoeSales[[#This Row],[Profit]]/ShoeSales[[#This Row],[Revenue]]</f>
        <v>0.5625</v>
      </c>
      <c r="S474" s="19"/>
      <c r="T474" s="19" t="str">
        <f>UPPER(TEXT(ShoeSales[[#This Row],[Date]], "mmm"))</f>
        <v>FEB</v>
      </c>
    </row>
    <row r="475" spans="1:20" ht="14.25" customHeight="1" x14ac:dyDescent="0.25">
      <c r="A475" s="15">
        <v>46048</v>
      </c>
      <c r="B475" s="9" t="s">
        <v>83</v>
      </c>
      <c r="C475" s="9" t="str">
        <f>TRIM(PROPER(ShoeSales[[#This Row],[Product]]))</f>
        <v>Monk Straps</v>
      </c>
      <c r="D475" s="9" t="s">
        <v>77</v>
      </c>
      <c r="E475" s="45" t="str">
        <f>UPPER(ShoeSales[[#This Row],[Category]])</f>
        <v>CASUAL</v>
      </c>
      <c r="F475" s="9" t="s">
        <v>34</v>
      </c>
      <c r="G475" s="9" t="s">
        <v>63</v>
      </c>
      <c r="H475" s="9" t="str">
        <f>PROPER(ShoeSales[[#This Row],[Brand]])</f>
        <v>Clarks</v>
      </c>
      <c r="I475" s="9" t="s">
        <v>40</v>
      </c>
      <c r="J475" s="10">
        <v>4</v>
      </c>
      <c r="K475" s="9" t="s">
        <v>32</v>
      </c>
      <c r="L475" s="22">
        <f>VLOOKUP(ShoeSales[[#This Row],[Product Cleaned]],Price!$A$2:$C$9,2,FALSE)</f>
        <v>89</v>
      </c>
      <c r="M475" s="19">
        <f>_xlfn.XLOOKUP(ShoeSales[[#This Row],[Product Cleaned]],Price!$A$2:$A$9,Price!$B$2:$B$9)</f>
        <v>89</v>
      </c>
      <c r="N475" s="19">
        <f>_xlfn.XLOOKUP(ShoeSales[[#This Row],[Product Cleaned]],Price!$A$2:$A$9,Price!$C$2:$C$9)</f>
        <v>47</v>
      </c>
      <c r="O475" s="22">
        <f>ShoeSales[[#This Row],[Sell Price]]*ShoeSales[[#This Row],[Quantity]]</f>
        <v>356</v>
      </c>
      <c r="P475" s="19">
        <f>ShoeSales[[#This Row],[Quantity]]*ShoeSales[[#This Row],[Cost Price]]</f>
        <v>188</v>
      </c>
      <c r="Q475" s="19">
        <f>ShoeSales[[#This Row],[Revenue]]-ShoeSales[[#This Row],[Cost]]</f>
        <v>168</v>
      </c>
      <c r="R475" s="24">
        <f>ShoeSales[[#This Row],[Profit]]/ShoeSales[[#This Row],[Revenue]]</f>
        <v>0.47191011235955055</v>
      </c>
      <c r="S475" s="19"/>
      <c r="T475" s="19" t="str">
        <f>UPPER(TEXT(ShoeSales[[#This Row],[Date]], "mmm"))</f>
        <v>JAN</v>
      </c>
    </row>
    <row r="476" spans="1:20" ht="14.25" customHeight="1" x14ac:dyDescent="0.25">
      <c r="A476" s="14">
        <v>46234</v>
      </c>
      <c r="B476" s="6" t="s">
        <v>15</v>
      </c>
      <c r="C476" s="16" t="str">
        <f>TRIM(PROPER(ShoeSales[[#This Row],[Product]]))</f>
        <v>Slippers</v>
      </c>
      <c r="D476" s="6" t="s">
        <v>28</v>
      </c>
      <c r="E476" s="44" t="str">
        <f>UPPER(ShoeSales[[#This Row],[Category]])</f>
        <v>FORMAL</v>
      </c>
      <c r="F476" s="6" t="s">
        <v>56</v>
      </c>
      <c r="G476" s="6" t="s">
        <v>82</v>
      </c>
      <c r="H476" s="16" t="str">
        <f>PROPER(ShoeSales[[#This Row],[Brand]])</f>
        <v>Zara</v>
      </c>
      <c r="I476" s="6" t="s">
        <v>78</v>
      </c>
      <c r="J476" s="7">
        <v>3</v>
      </c>
      <c r="K476" s="6" t="s">
        <v>32</v>
      </c>
      <c r="L476" s="22">
        <f>VLOOKUP(ShoeSales[[#This Row],[Product Cleaned]],Price!$A$2:$C$9,2,FALSE)</f>
        <v>119</v>
      </c>
      <c r="M476" s="19">
        <f>_xlfn.XLOOKUP(ShoeSales[[#This Row],[Product Cleaned]],Price!$A$2:$A$9,Price!$B$2:$B$9)</f>
        <v>119</v>
      </c>
      <c r="N476" s="19">
        <f>_xlfn.XLOOKUP(ShoeSales[[#This Row],[Product Cleaned]],Price!$A$2:$A$9,Price!$C$2:$C$9)</f>
        <v>67</v>
      </c>
      <c r="O476" s="22">
        <f>ShoeSales[[#This Row],[Sell Price]]*ShoeSales[[#This Row],[Quantity]]</f>
        <v>357</v>
      </c>
      <c r="P476" s="19">
        <f>ShoeSales[[#This Row],[Quantity]]*ShoeSales[[#This Row],[Cost Price]]</f>
        <v>201</v>
      </c>
      <c r="Q476" s="19">
        <f>ShoeSales[[#This Row],[Revenue]]-ShoeSales[[#This Row],[Cost]]</f>
        <v>156</v>
      </c>
      <c r="R476" s="24">
        <f>ShoeSales[[#This Row],[Profit]]/ShoeSales[[#This Row],[Revenue]]</f>
        <v>0.43697478991596639</v>
      </c>
      <c r="S476" s="19"/>
      <c r="T476" s="19" t="str">
        <f>UPPER(TEXT(ShoeSales[[#This Row],[Date]], "mmm"))</f>
        <v>JUL</v>
      </c>
    </row>
    <row r="477" spans="1:20" ht="14.25" customHeight="1" x14ac:dyDescent="0.25">
      <c r="A477" s="15">
        <v>46078</v>
      </c>
      <c r="B477" s="9" t="s">
        <v>9</v>
      </c>
      <c r="C477" s="9" t="str">
        <f>TRIM(PROPER(ShoeSales[[#This Row],[Product]]))</f>
        <v>Canvas</v>
      </c>
      <c r="D477" s="9" t="s">
        <v>77</v>
      </c>
      <c r="E477" s="45" t="str">
        <f>UPPER(ShoeSales[[#This Row],[Category]])</f>
        <v>CASUAL</v>
      </c>
      <c r="F477" s="9" t="s">
        <v>56</v>
      </c>
      <c r="G477" s="9" t="s">
        <v>82</v>
      </c>
      <c r="H477" s="9" t="str">
        <f>PROPER(ShoeSales[[#This Row],[Brand]])</f>
        <v>Zara</v>
      </c>
      <c r="I477" s="9" t="s">
        <v>47</v>
      </c>
      <c r="J477" s="10">
        <v>13</v>
      </c>
      <c r="K477" s="9" t="s">
        <v>62</v>
      </c>
      <c r="L477" s="22">
        <f>VLOOKUP(ShoeSales[[#This Row],[Product Cleaned]],Price!$A$2:$C$9,2,FALSE)</f>
        <v>128</v>
      </c>
      <c r="M477" s="19">
        <f>_xlfn.XLOOKUP(ShoeSales[[#This Row],[Product Cleaned]],Price!$A$2:$A$9,Price!$B$2:$B$9)</f>
        <v>128</v>
      </c>
      <c r="N477" s="19">
        <f>_xlfn.XLOOKUP(ShoeSales[[#This Row],[Product Cleaned]],Price!$A$2:$A$9,Price!$C$2:$C$9)</f>
        <v>72</v>
      </c>
      <c r="O477" s="22">
        <f>ShoeSales[[#This Row],[Sell Price]]*ShoeSales[[#This Row],[Quantity]]</f>
        <v>1664</v>
      </c>
      <c r="P477" s="19">
        <f>ShoeSales[[#This Row],[Quantity]]*ShoeSales[[#This Row],[Cost Price]]</f>
        <v>936</v>
      </c>
      <c r="Q477" s="19">
        <f>ShoeSales[[#This Row],[Revenue]]-ShoeSales[[#This Row],[Cost]]</f>
        <v>728</v>
      </c>
      <c r="R477" s="24">
        <f>ShoeSales[[#This Row],[Profit]]/ShoeSales[[#This Row],[Revenue]]</f>
        <v>0.4375</v>
      </c>
      <c r="S477" s="19"/>
      <c r="T477" s="19" t="str">
        <f>UPPER(TEXT(ShoeSales[[#This Row],[Date]], "mmm"))</f>
        <v>FEB</v>
      </c>
    </row>
    <row r="478" spans="1:20" ht="14.25" customHeight="1" x14ac:dyDescent="0.25">
      <c r="A478" s="14">
        <v>46131</v>
      </c>
      <c r="B478" s="6" t="s">
        <v>41</v>
      </c>
      <c r="C478" s="16" t="str">
        <f>TRIM(PROPER(ShoeSales[[#This Row],[Product]]))</f>
        <v>Boots</v>
      </c>
      <c r="D478" s="6" t="s">
        <v>45</v>
      </c>
      <c r="E478" s="44" t="str">
        <f>UPPER(ShoeSales[[#This Row],[Category]])</f>
        <v>CASUAL</v>
      </c>
      <c r="F478" s="6" t="s">
        <v>56</v>
      </c>
      <c r="G478" s="6" t="s">
        <v>30</v>
      </c>
      <c r="H478" s="16" t="str">
        <f>PROPER(ShoeSales[[#This Row],[Brand]])</f>
        <v>Nike</v>
      </c>
      <c r="I478" s="6" t="s">
        <v>91</v>
      </c>
      <c r="J478" s="7">
        <v>9</v>
      </c>
      <c r="K478" s="6" t="s">
        <v>32</v>
      </c>
      <c r="L478" s="22">
        <f>VLOOKUP(ShoeSales[[#This Row],[Product Cleaned]],Price!$A$2:$C$9,2,FALSE)</f>
        <v>76</v>
      </c>
      <c r="M478" s="19">
        <f>_xlfn.XLOOKUP(ShoeSales[[#This Row],[Product Cleaned]],Price!$A$2:$A$9,Price!$B$2:$B$9)</f>
        <v>76</v>
      </c>
      <c r="N478" s="19">
        <f>_xlfn.XLOOKUP(ShoeSales[[#This Row],[Product Cleaned]],Price!$A$2:$A$9,Price!$C$2:$C$9)</f>
        <v>39</v>
      </c>
      <c r="O478" s="22">
        <f>ShoeSales[[#This Row],[Sell Price]]*ShoeSales[[#This Row],[Quantity]]</f>
        <v>684</v>
      </c>
      <c r="P478" s="19">
        <f>ShoeSales[[#This Row],[Quantity]]*ShoeSales[[#This Row],[Cost Price]]</f>
        <v>351</v>
      </c>
      <c r="Q478" s="19">
        <f>ShoeSales[[#This Row],[Revenue]]-ShoeSales[[#This Row],[Cost]]</f>
        <v>333</v>
      </c>
      <c r="R478" s="24">
        <f>ShoeSales[[#This Row],[Profit]]/ShoeSales[[#This Row],[Revenue]]</f>
        <v>0.48684210526315791</v>
      </c>
      <c r="S478" s="19"/>
      <c r="T478" s="19" t="str">
        <f>UPPER(TEXT(ShoeSales[[#This Row],[Date]], "mmm"))</f>
        <v>APR</v>
      </c>
    </row>
    <row r="479" spans="1:20" ht="14.25" customHeight="1" x14ac:dyDescent="0.25">
      <c r="A479" s="15">
        <v>46167</v>
      </c>
      <c r="B479" s="9" t="s">
        <v>33</v>
      </c>
      <c r="C479" s="9" t="str">
        <f>TRIM(PROPER(ShoeSales[[#This Row],[Product]]))</f>
        <v>Loafers</v>
      </c>
      <c r="D479" s="9" t="s">
        <v>71</v>
      </c>
      <c r="E479" s="45" t="str">
        <f>UPPER(ShoeSales[[#This Row],[Category]])</f>
        <v>CASUAL</v>
      </c>
      <c r="F479" s="9" t="s">
        <v>34</v>
      </c>
      <c r="G479" s="9" t="s">
        <v>81</v>
      </c>
      <c r="H479" s="9" t="str">
        <f>PROPER(ShoeSales[[#This Row],[Brand]])</f>
        <v>Steve Madden</v>
      </c>
      <c r="I479" s="9" t="s">
        <v>64</v>
      </c>
      <c r="J479" s="10">
        <v>10</v>
      </c>
      <c r="K479" s="9" t="s">
        <v>32</v>
      </c>
      <c r="L479" s="22">
        <f>VLOOKUP(ShoeSales[[#This Row],[Product Cleaned]],Price!$A$2:$C$9,2,FALSE)</f>
        <v>54</v>
      </c>
      <c r="M479" s="19">
        <f>_xlfn.XLOOKUP(ShoeSales[[#This Row],[Product Cleaned]],Price!$A$2:$A$9,Price!$B$2:$B$9)</f>
        <v>54</v>
      </c>
      <c r="N479" s="19">
        <f>_xlfn.XLOOKUP(ShoeSales[[#This Row],[Product Cleaned]],Price!$A$2:$A$9,Price!$C$2:$C$9)</f>
        <v>28</v>
      </c>
      <c r="O479" s="22">
        <f>ShoeSales[[#This Row],[Sell Price]]*ShoeSales[[#This Row],[Quantity]]</f>
        <v>540</v>
      </c>
      <c r="P479" s="19">
        <f>ShoeSales[[#This Row],[Quantity]]*ShoeSales[[#This Row],[Cost Price]]</f>
        <v>280</v>
      </c>
      <c r="Q479" s="19">
        <f>ShoeSales[[#This Row],[Revenue]]-ShoeSales[[#This Row],[Cost]]</f>
        <v>260</v>
      </c>
      <c r="R479" s="24">
        <f>ShoeSales[[#This Row],[Profit]]/ShoeSales[[#This Row],[Revenue]]</f>
        <v>0.48148148148148145</v>
      </c>
      <c r="S479" s="19"/>
      <c r="T479" s="19" t="str">
        <f>UPPER(TEXT(ShoeSales[[#This Row],[Date]], "mmm"))</f>
        <v>MAY</v>
      </c>
    </row>
    <row r="480" spans="1:20" ht="14.25" customHeight="1" x14ac:dyDescent="0.25">
      <c r="A480" s="14">
        <v>46031</v>
      </c>
      <c r="B480" s="6" t="s">
        <v>15</v>
      </c>
      <c r="C480" s="16" t="str">
        <f>TRIM(PROPER(ShoeSales[[#This Row],[Product]]))</f>
        <v>Slippers</v>
      </c>
      <c r="D480" s="6" t="s">
        <v>77</v>
      </c>
      <c r="E480" s="44" t="str">
        <f>UPPER(ShoeSales[[#This Row],[Category]])</f>
        <v>CASUAL</v>
      </c>
      <c r="F480" s="6" t="s">
        <v>38</v>
      </c>
      <c r="G480" s="6" t="s">
        <v>30</v>
      </c>
      <c r="H480" s="16" t="str">
        <f>PROPER(ShoeSales[[#This Row],[Brand]])</f>
        <v>Nike</v>
      </c>
      <c r="I480" s="6" t="s">
        <v>53</v>
      </c>
      <c r="J480" s="7">
        <v>6</v>
      </c>
      <c r="K480" s="6" t="s">
        <v>54</v>
      </c>
      <c r="L480" s="22">
        <f>VLOOKUP(ShoeSales[[#This Row],[Product Cleaned]],Price!$A$2:$C$9,2,FALSE)</f>
        <v>119</v>
      </c>
      <c r="M480" s="19">
        <f>_xlfn.XLOOKUP(ShoeSales[[#This Row],[Product Cleaned]],Price!$A$2:$A$9,Price!$B$2:$B$9)</f>
        <v>119</v>
      </c>
      <c r="N480" s="19">
        <f>_xlfn.XLOOKUP(ShoeSales[[#This Row],[Product Cleaned]],Price!$A$2:$A$9,Price!$C$2:$C$9)</f>
        <v>67</v>
      </c>
      <c r="O480" s="22">
        <f>ShoeSales[[#This Row],[Sell Price]]*ShoeSales[[#This Row],[Quantity]]</f>
        <v>714</v>
      </c>
      <c r="P480" s="19">
        <f>ShoeSales[[#This Row],[Quantity]]*ShoeSales[[#This Row],[Cost Price]]</f>
        <v>402</v>
      </c>
      <c r="Q480" s="19">
        <f>ShoeSales[[#This Row],[Revenue]]-ShoeSales[[#This Row],[Cost]]</f>
        <v>312</v>
      </c>
      <c r="R480" s="24">
        <f>ShoeSales[[#This Row],[Profit]]/ShoeSales[[#This Row],[Revenue]]</f>
        <v>0.43697478991596639</v>
      </c>
      <c r="S480" s="19"/>
      <c r="T480" s="19" t="str">
        <f>UPPER(TEXT(ShoeSales[[#This Row],[Date]], "mmm"))</f>
        <v>JAN</v>
      </c>
    </row>
    <row r="481" spans="1:20" ht="14.25" customHeight="1" x14ac:dyDescent="0.25">
      <c r="A481" s="15">
        <v>46214</v>
      </c>
      <c r="B481" s="9" t="s">
        <v>7</v>
      </c>
      <c r="C481" s="9" t="str">
        <f>TRIM(PROPER(ShoeSales[[#This Row],[Product]]))</f>
        <v>Derby</v>
      </c>
      <c r="D481" s="9" t="s">
        <v>71</v>
      </c>
      <c r="E481" s="45" t="str">
        <f>UPPER(ShoeSales[[#This Row],[Category]])</f>
        <v>CASUAL</v>
      </c>
      <c r="F481" s="9" t="s">
        <v>34</v>
      </c>
      <c r="G481" s="9" t="s">
        <v>63</v>
      </c>
      <c r="H481" s="9" t="str">
        <f>PROPER(ShoeSales[[#This Row],[Brand]])</f>
        <v>Clarks</v>
      </c>
      <c r="I481" s="9" t="s">
        <v>53</v>
      </c>
      <c r="J481" s="10">
        <v>15</v>
      </c>
      <c r="K481" s="9" t="s">
        <v>36</v>
      </c>
      <c r="L481" s="22">
        <f>VLOOKUP(ShoeSales[[#This Row],[Product Cleaned]],Price!$A$2:$C$9,2,FALSE)</f>
        <v>32</v>
      </c>
      <c r="M481" s="19">
        <f>_xlfn.XLOOKUP(ShoeSales[[#This Row],[Product Cleaned]],Price!$A$2:$A$9,Price!$B$2:$B$9)</f>
        <v>32</v>
      </c>
      <c r="N481" s="19">
        <f>_xlfn.XLOOKUP(ShoeSales[[#This Row],[Product Cleaned]],Price!$A$2:$A$9,Price!$C$2:$C$9)</f>
        <v>14</v>
      </c>
      <c r="O481" s="22">
        <f>ShoeSales[[#This Row],[Sell Price]]*ShoeSales[[#This Row],[Quantity]]</f>
        <v>480</v>
      </c>
      <c r="P481" s="19">
        <f>ShoeSales[[#This Row],[Quantity]]*ShoeSales[[#This Row],[Cost Price]]</f>
        <v>210</v>
      </c>
      <c r="Q481" s="19">
        <f>ShoeSales[[#This Row],[Revenue]]-ShoeSales[[#This Row],[Cost]]</f>
        <v>270</v>
      </c>
      <c r="R481" s="24">
        <f>ShoeSales[[#This Row],[Profit]]/ShoeSales[[#This Row],[Revenue]]</f>
        <v>0.5625</v>
      </c>
      <c r="S481" s="19"/>
      <c r="T481" s="19" t="str">
        <f>UPPER(TEXT(ShoeSales[[#This Row],[Date]], "mmm"))</f>
        <v>JUL</v>
      </c>
    </row>
    <row r="482" spans="1:20" ht="14.25" customHeight="1" x14ac:dyDescent="0.25">
      <c r="A482" s="14">
        <v>46219</v>
      </c>
      <c r="B482" s="6" t="s">
        <v>15</v>
      </c>
      <c r="C482" s="16" t="str">
        <f>TRIM(PROPER(ShoeSales[[#This Row],[Product]]))</f>
        <v>Slippers</v>
      </c>
      <c r="D482" s="6" t="s">
        <v>37</v>
      </c>
      <c r="E482" s="44" t="str">
        <f>UPPER(ShoeSales[[#This Row],[Category]])</f>
        <v>FORMAL</v>
      </c>
      <c r="F482" s="6" t="s">
        <v>56</v>
      </c>
      <c r="G482" s="6" t="s">
        <v>39</v>
      </c>
      <c r="H482" s="16" t="str">
        <f>PROPER(ShoeSales[[#This Row],[Brand]])</f>
        <v>Clarks</v>
      </c>
      <c r="I482" s="6" t="s">
        <v>43</v>
      </c>
      <c r="J482" s="7">
        <v>11</v>
      </c>
      <c r="K482" s="6" t="s">
        <v>36</v>
      </c>
      <c r="L482" s="22">
        <f>VLOOKUP(ShoeSales[[#This Row],[Product Cleaned]],Price!$A$2:$C$9,2,FALSE)</f>
        <v>119</v>
      </c>
      <c r="M482" s="19">
        <f>_xlfn.XLOOKUP(ShoeSales[[#This Row],[Product Cleaned]],Price!$A$2:$A$9,Price!$B$2:$B$9)</f>
        <v>119</v>
      </c>
      <c r="N482" s="19">
        <f>_xlfn.XLOOKUP(ShoeSales[[#This Row],[Product Cleaned]],Price!$A$2:$A$9,Price!$C$2:$C$9)</f>
        <v>67</v>
      </c>
      <c r="O482" s="22">
        <f>ShoeSales[[#This Row],[Sell Price]]*ShoeSales[[#This Row],[Quantity]]</f>
        <v>1309</v>
      </c>
      <c r="P482" s="19">
        <f>ShoeSales[[#This Row],[Quantity]]*ShoeSales[[#This Row],[Cost Price]]</f>
        <v>737</v>
      </c>
      <c r="Q482" s="19">
        <f>ShoeSales[[#This Row],[Revenue]]-ShoeSales[[#This Row],[Cost]]</f>
        <v>572</v>
      </c>
      <c r="R482" s="24">
        <f>ShoeSales[[#This Row],[Profit]]/ShoeSales[[#This Row],[Revenue]]</f>
        <v>0.43697478991596639</v>
      </c>
      <c r="S482" s="19"/>
      <c r="T482" s="19" t="str">
        <f>UPPER(TEXT(ShoeSales[[#This Row],[Date]], "mmm"))</f>
        <v>JUL</v>
      </c>
    </row>
    <row r="483" spans="1:20" ht="14.25" customHeight="1" x14ac:dyDescent="0.25">
      <c r="A483" s="15">
        <v>46080</v>
      </c>
      <c r="B483" s="9" t="s">
        <v>83</v>
      </c>
      <c r="C483" s="9" t="str">
        <f>TRIM(PROPER(ShoeSales[[#This Row],[Product]]))</f>
        <v>Monk Straps</v>
      </c>
      <c r="D483" s="9" t="s">
        <v>45</v>
      </c>
      <c r="E483" s="45" t="str">
        <f>UPPER(ShoeSales[[#This Row],[Category]])</f>
        <v>CASUAL</v>
      </c>
      <c r="F483" s="9" t="s">
        <v>56</v>
      </c>
      <c r="G483" s="9" t="s">
        <v>69</v>
      </c>
      <c r="H483" s="9" t="str">
        <f>PROPER(ShoeSales[[#This Row],[Brand]])</f>
        <v>Zara</v>
      </c>
      <c r="I483" s="9" t="s">
        <v>84</v>
      </c>
      <c r="J483" s="10">
        <v>9</v>
      </c>
      <c r="K483" s="9" t="s">
        <v>54</v>
      </c>
      <c r="L483" s="22">
        <f>VLOOKUP(ShoeSales[[#This Row],[Product Cleaned]],Price!$A$2:$C$9,2,FALSE)</f>
        <v>89</v>
      </c>
      <c r="M483" s="19">
        <f>_xlfn.XLOOKUP(ShoeSales[[#This Row],[Product Cleaned]],Price!$A$2:$A$9,Price!$B$2:$B$9)</f>
        <v>89</v>
      </c>
      <c r="N483" s="19">
        <f>_xlfn.XLOOKUP(ShoeSales[[#This Row],[Product Cleaned]],Price!$A$2:$A$9,Price!$C$2:$C$9)</f>
        <v>47</v>
      </c>
      <c r="O483" s="22">
        <f>ShoeSales[[#This Row],[Sell Price]]*ShoeSales[[#This Row],[Quantity]]</f>
        <v>801</v>
      </c>
      <c r="P483" s="19">
        <f>ShoeSales[[#This Row],[Quantity]]*ShoeSales[[#This Row],[Cost Price]]</f>
        <v>423</v>
      </c>
      <c r="Q483" s="19">
        <f>ShoeSales[[#This Row],[Revenue]]-ShoeSales[[#This Row],[Cost]]</f>
        <v>378</v>
      </c>
      <c r="R483" s="24">
        <f>ShoeSales[[#This Row],[Profit]]/ShoeSales[[#This Row],[Revenue]]</f>
        <v>0.47191011235955055</v>
      </c>
      <c r="S483" s="19"/>
      <c r="T483" s="19" t="str">
        <f>UPPER(TEXT(ShoeSales[[#This Row],[Date]], "mmm"))</f>
        <v>FEB</v>
      </c>
    </row>
    <row r="484" spans="1:20" ht="14.25" customHeight="1" x14ac:dyDescent="0.25">
      <c r="A484" s="14">
        <v>46173</v>
      </c>
      <c r="B484" s="6" t="s">
        <v>70</v>
      </c>
      <c r="C484" s="16" t="str">
        <f>TRIM(PROPER(ShoeSales[[#This Row],[Product]]))</f>
        <v>Derby</v>
      </c>
      <c r="D484" s="6" t="s">
        <v>28</v>
      </c>
      <c r="E484" s="44" t="str">
        <f>UPPER(ShoeSales[[#This Row],[Category]])</f>
        <v>FORMAL</v>
      </c>
      <c r="F484" s="6" t="s">
        <v>56</v>
      </c>
      <c r="G484" s="6" t="s">
        <v>69</v>
      </c>
      <c r="H484" s="16" t="str">
        <f>PROPER(ShoeSales[[#This Row],[Brand]])</f>
        <v>Zara</v>
      </c>
      <c r="I484" s="6" t="s">
        <v>73</v>
      </c>
      <c r="J484" s="7">
        <v>8</v>
      </c>
      <c r="K484" s="6" t="s">
        <v>62</v>
      </c>
      <c r="L484" s="22">
        <f>VLOOKUP(ShoeSales[[#This Row],[Product Cleaned]],Price!$A$2:$C$9,2,FALSE)</f>
        <v>32</v>
      </c>
      <c r="M484" s="19">
        <f>_xlfn.XLOOKUP(ShoeSales[[#This Row],[Product Cleaned]],Price!$A$2:$A$9,Price!$B$2:$B$9)</f>
        <v>32</v>
      </c>
      <c r="N484" s="19">
        <f>_xlfn.XLOOKUP(ShoeSales[[#This Row],[Product Cleaned]],Price!$A$2:$A$9,Price!$C$2:$C$9)</f>
        <v>14</v>
      </c>
      <c r="O484" s="22">
        <f>ShoeSales[[#This Row],[Sell Price]]*ShoeSales[[#This Row],[Quantity]]</f>
        <v>256</v>
      </c>
      <c r="P484" s="19">
        <f>ShoeSales[[#This Row],[Quantity]]*ShoeSales[[#This Row],[Cost Price]]</f>
        <v>112</v>
      </c>
      <c r="Q484" s="19">
        <f>ShoeSales[[#This Row],[Revenue]]-ShoeSales[[#This Row],[Cost]]</f>
        <v>144</v>
      </c>
      <c r="R484" s="24">
        <f>ShoeSales[[#This Row],[Profit]]/ShoeSales[[#This Row],[Revenue]]</f>
        <v>0.5625</v>
      </c>
      <c r="S484" s="19"/>
      <c r="T484" s="19" t="str">
        <f>UPPER(TEXT(ShoeSales[[#This Row],[Date]], "mmm"))</f>
        <v>MAY</v>
      </c>
    </row>
    <row r="485" spans="1:20" ht="14.25" customHeight="1" x14ac:dyDescent="0.25">
      <c r="A485" s="15">
        <v>46145</v>
      </c>
      <c r="B485" s="9" t="s">
        <v>41</v>
      </c>
      <c r="C485" s="9" t="str">
        <f>TRIM(PROPER(ShoeSales[[#This Row],[Product]]))</f>
        <v>Boots</v>
      </c>
      <c r="D485" s="9" t="s">
        <v>37</v>
      </c>
      <c r="E485" s="45" t="str">
        <f>UPPER(ShoeSales[[#This Row],[Category]])</f>
        <v>FORMAL</v>
      </c>
      <c r="F485" s="9" t="s">
        <v>29</v>
      </c>
      <c r="G485" s="9" t="s">
        <v>63</v>
      </c>
      <c r="H485" s="9" t="str">
        <f>PROPER(ShoeSales[[#This Row],[Brand]])</f>
        <v>Clarks</v>
      </c>
      <c r="I485" s="9" t="s">
        <v>40</v>
      </c>
      <c r="J485" s="10">
        <v>13</v>
      </c>
      <c r="K485" s="9" t="s">
        <v>62</v>
      </c>
      <c r="L485" s="22">
        <f>VLOOKUP(ShoeSales[[#This Row],[Product Cleaned]],Price!$A$2:$C$9,2,FALSE)</f>
        <v>76</v>
      </c>
      <c r="M485" s="19">
        <f>_xlfn.XLOOKUP(ShoeSales[[#This Row],[Product Cleaned]],Price!$A$2:$A$9,Price!$B$2:$B$9)</f>
        <v>76</v>
      </c>
      <c r="N485" s="19">
        <f>_xlfn.XLOOKUP(ShoeSales[[#This Row],[Product Cleaned]],Price!$A$2:$A$9,Price!$C$2:$C$9)</f>
        <v>39</v>
      </c>
      <c r="O485" s="22">
        <f>ShoeSales[[#This Row],[Sell Price]]*ShoeSales[[#This Row],[Quantity]]</f>
        <v>988</v>
      </c>
      <c r="P485" s="19">
        <f>ShoeSales[[#This Row],[Quantity]]*ShoeSales[[#This Row],[Cost Price]]</f>
        <v>507</v>
      </c>
      <c r="Q485" s="19">
        <f>ShoeSales[[#This Row],[Revenue]]-ShoeSales[[#This Row],[Cost]]</f>
        <v>481</v>
      </c>
      <c r="R485" s="24">
        <f>ShoeSales[[#This Row],[Profit]]/ShoeSales[[#This Row],[Revenue]]</f>
        <v>0.48684210526315791</v>
      </c>
      <c r="S485" s="19"/>
      <c r="T485" s="19" t="str">
        <f>UPPER(TEXT(ShoeSales[[#This Row],[Date]], "mmm"))</f>
        <v>MAY</v>
      </c>
    </row>
    <row r="486" spans="1:20" ht="14.25" customHeight="1" x14ac:dyDescent="0.25">
      <c r="A486" s="14">
        <v>46215</v>
      </c>
      <c r="B486" s="6" t="s">
        <v>9</v>
      </c>
      <c r="C486" s="16" t="str">
        <f>TRIM(PROPER(ShoeSales[[#This Row],[Product]]))</f>
        <v>Canvas</v>
      </c>
      <c r="D486" s="6" t="s">
        <v>77</v>
      </c>
      <c r="E486" s="44" t="str">
        <f>UPPER(ShoeSales[[#This Row],[Category]])</f>
        <v>CASUAL</v>
      </c>
      <c r="F486" s="6" t="s">
        <v>29</v>
      </c>
      <c r="G486" s="6" t="s">
        <v>69</v>
      </c>
      <c r="H486" s="16" t="str">
        <f>PROPER(ShoeSales[[#This Row],[Brand]])</f>
        <v>Zara</v>
      </c>
      <c r="I486" s="6" t="s">
        <v>61</v>
      </c>
      <c r="J486" s="7">
        <v>6</v>
      </c>
      <c r="K486" s="6" t="s">
        <v>54</v>
      </c>
      <c r="L486" s="22">
        <f>VLOOKUP(ShoeSales[[#This Row],[Product Cleaned]],Price!$A$2:$C$9,2,FALSE)</f>
        <v>128</v>
      </c>
      <c r="M486" s="19">
        <f>_xlfn.XLOOKUP(ShoeSales[[#This Row],[Product Cleaned]],Price!$A$2:$A$9,Price!$B$2:$B$9)</f>
        <v>128</v>
      </c>
      <c r="N486" s="19">
        <f>_xlfn.XLOOKUP(ShoeSales[[#This Row],[Product Cleaned]],Price!$A$2:$A$9,Price!$C$2:$C$9)</f>
        <v>72</v>
      </c>
      <c r="O486" s="22">
        <f>ShoeSales[[#This Row],[Sell Price]]*ShoeSales[[#This Row],[Quantity]]</f>
        <v>768</v>
      </c>
      <c r="P486" s="19">
        <f>ShoeSales[[#This Row],[Quantity]]*ShoeSales[[#This Row],[Cost Price]]</f>
        <v>432</v>
      </c>
      <c r="Q486" s="19">
        <f>ShoeSales[[#This Row],[Revenue]]-ShoeSales[[#This Row],[Cost]]</f>
        <v>336</v>
      </c>
      <c r="R486" s="24">
        <f>ShoeSales[[#This Row],[Profit]]/ShoeSales[[#This Row],[Revenue]]</f>
        <v>0.4375</v>
      </c>
      <c r="S486" s="19"/>
      <c r="T486" s="19" t="str">
        <f>UPPER(TEXT(ShoeSales[[#This Row],[Date]], "mmm"))</f>
        <v>JUL</v>
      </c>
    </row>
    <row r="487" spans="1:20" ht="14.25" customHeight="1" x14ac:dyDescent="0.25">
      <c r="A487" s="15">
        <v>46026</v>
      </c>
      <c r="B487" s="9" t="s">
        <v>60</v>
      </c>
      <c r="C487" s="9" t="str">
        <f>TRIM(PROPER(ShoeSales[[#This Row],[Product]]))</f>
        <v>Oxford</v>
      </c>
      <c r="D487" s="9" t="s">
        <v>71</v>
      </c>
      <c r="E487" s="45" t="str">
        <f>UPPER(ShoeSales[[#This Row],[Category]])</f>
        <v>CASUAL</v>
      </c>
      <c r="F487" s="9" t="s">
        <v>56</v>
      </c>
      <c r="G487" s="9" t="s">
        <v>94</v>
      </c>
      <c r="H487" s="9" t="str">
        <f>PROPER(ShoeSales[[#This Row],[Brand]])</f>
        <v>Timberland</v>
      </c>
      <c r="I487" s="9" t="s">
        <v>64</v>
      </c>
      <c r="J487" s="10">
        <v>3</v>
      </c>
      <c r="K487" s="9" t="s">
        <v>62</v>
      </c>
      <c r="L487" s="22">
        <f>VLOOKUP(ShoeSales[[#This Row],[Product Cleaned]],Price!$A$2:$C$9,2,FALSE)</f>
        <v>105</v>
      </c>
      <c r="M487" s="19">
        <f>_xlfn.XLOOKUP(ShoeSales[[#This Row],[Product Cleaned]],Price!$A$2:$A$9,Price!$B$2:$B$9)</f>
        <v>105</v>
      </c>
      <c r="N487" s="19">
        <f>_xlfn.XLOOKUP(ShoeSales[[#This Row],[Product Cleaned]],Price!$A$2:$A$9,Price!$C$2:$C$9)</f>
        <v>58</v>
      </c>
      <c r="O487" s="22">
        <f>ShoeSales[[#This Row],[Sell Price]]*ShoeSales[[#This Row],[Quantity]]</f>
        <v>315</v>
      </c>
      <c r="P487" s="19">
        <f>ShoeSales[[#This Row],[Quantity]]*ShoeSales[[#This Row],[Cost Price]]</f>
        <v>174</v>
      </c>
      <c r="Q487" s="19">
        <f>ShoeSales[[#This Row],[Revenue]]-ShoeSales[[#This Row],[Cost]]</f>
        <v>141</v>
      </c>
      <c r="R487" s="24">
        <f>ShoeSales[[#This Row],[Profit]]/ShoeSales[[#This Row],[Revenue]]</f>
        <v>0.44761904761904764</v>
      </c>
      <c r="S487" s="19"/>
      <c r="T487" s="19" t="str">
        <f>UPPER(TEXT(ShoeSales[[#This Row],[Date]], "mmm"))</f>
        <v>JAN</v>
      </c>
    </row>
    <row r="488" spans="1:20" ht="14.25" customHeight="1" x14ac:dyDescent="0.25">
      <c r="A488" s="14">
        <v>46078</v>
      </c>
      <c r="B488" s="6" t="s">
        <v>76</v>
      </c>
      <c r="C488" s="16" t="str">
        <f>TRIM(PROPER(ShoeSales[[#This Row],[Product]]))</f>
        <v>Derby</v>
      </c>
      <c r="D488" s="6" t="s">
        <v>28</v>
      </c>
      <c r="E488" s="44" t="str">
        <f>UPPER(ShoeSales[[#This Row],[Category]])</f>
        <v>FORMAL</v>
      </c>
      <c r="F488" s="6" t="s">
        <v>56</v>
      </c>
      <c r="G488" s="6" t="s">
        <v>63</v>
      </c>
      <c r="H488" s="16" t="str">
        <f>PROPER(ShoeSales[[#This Row],[Brand]])</f>
        <v>Clarks</v>
      </c>
      <c r="I488" s="6" t="s">
        <v>66</v>
      </c>
      <c r="J488" s="7">
        <v>8</v>
      </c>
      <c r="K488" s="6" t="s">
        <v>32</v>
      </c>
      <c r="L488" s="22">
        <f>VLOOKUP(ShoeSales[[#This Row],[Product Cleaned]],Price!$A$2:$C$9,2,FALSE)</f>
        <v>32</v>
      </c>
      <c r="M488" s="19">
        <f>_xlfn.XLOOKUP(ShoeSales[[#This Row],[Product Cleaned]],Price!$A$2:$A$9,Price!$B$2:$B$9)</f>
        <v>32</v>
      </c>
      <c r="N488" s="19">
        <f>_xlfn.XLOOKUP(ShoeSales[[#This Row],[Product Cleaned]],Price!$A$2:$A$9,Price!$C$2:$C$9)</f>
        <v>14</v>
      </c>
      <c r="O488" s="22">
        <f>ShoeSales[[#This Row],[Sell Price]]*ShoeSales[[#This Row],[Quantity]]</f>
        <v>256</v>
      </c>
      <c r="P488" s="19">
        <f>ShoeSales[[#This Row],[Quantity]]*ShoeSales[[#This Row],[Cost Price]]</f>
        <v>112</v>
      </c>
      <c r="Q488" s="19">
        <f>ShoeSales[[#This Row],[Revenue]]-ShoeSales[[#This Row],[Cost]]</f>
        <v>144</v>
      </c>
      <c r="R488" s="24">
        <f>ShoeSales[[#This Row],[Profit]]/ShoeSales[[#This Row],[Revenue]]</f>
        <v>0.5625</v>
      </c>
      <c r="S488" s="19"/>
      <c r="T488" s="19" t="str">
        <f>UPPER(TEXT(ShoeSales[[#This Row],[Date]], "mmm"))</f>
        <v>FEB</v>
      </c>
    </row>
    <row r="489" spans="1:20" ht="14.25" customHeight="1" x14ac:dyDescent="0.25">
      <c r="A489" s="15">
        <v>46065</v>
      </c>
      <c r="B489" s="9" t="s">
        <v>5</v>
      </c>
      <c r="C489" s="9" t="str">
        <f>TRIM(PROPER(ShoeSales[[#This Row],[Product]]))</f>
        <v>Monk Straps</v>
      </c>
      <c r="D489" s="9" t="s">
        <v>58</v>
      </c>
      <c r="E489" s="45" t="str">
        <f>UPPER(ShoeSales[[#This Row],[Category]])</f>
        <v>FORMAL</v>
      </c>
      <c r="F489" s="9" t="s">
        <v>34</v>
      </c>
      <c r="G489" s="9" t="s">
        <v>82</v>
      </c>
      <c r="H489" s="9" t="str">
        <f>PROPER(ShoeSales[[#This Row],[Brand]])</f>
        <v>Zara</v>
      </c>
      <c r="I489" s="9" t="s">
        <v>84</v>
      </c>
      <c r="J489" s="10">
        <v>15</v>
      </c>
      <c r="K489" s="9" t="s">
        <v>62</v>
      </c>
      <c r="L489" s="22">
        <f>VLOOKUP(ShoeSales[[#This Row],[Product Cleaned]],Price!$A$2:$C$9,2,FALSE)</f>
        <v>89</v>
      </c>
      <c r="M489" s="19">
        <f>_xlfn.XLOOKUP(ShoeSales[[#This Row],[Product Cleaned]],Price!$A$2:$A$9,Price!$B$2:$B$9)</f>
        <v>89</v>
      </c>
      <c r="N489" s="19">
        <f>_xlfn.XLOOKUP(ShoeSales[[#This Row],[Product Cleaned]],Price!$A$2:$A$9,Price!$C$2:$C$9)</f>
        <v>47</v>
      </c>
      <c r="O489" s="22">
        <f>ShoeSales[[#This Row],[Sell Price]]*ShoeSales[[#This Row],[Quantity]]</f>
        <v>1335</v>
      </c>
      <c r="P489" s="19">
        <f>ShoeSales[[#This Row],[Quantity]]*ShoeSales[[#This Row],[Cost Price]]</f>
        <v>705</v>
      </c>
      <c r="Q489" s="19">
        <f>ShoeSales[[#This Row],[Revenue]]-ShoeSales[[#This Row],[Cost]]</f>
        <v>630</v>
      </c>
      <c r="R489" s="24">
        <f>ShoeSales[[#This Row],[Profit]]/ShoeSales[[#This Row],[Revenue]]</f>
        <v>0.47191011235955055</v>
      </c>
      <c r="S489" s="19"/>
      <c r="T489" s="19" t="str">
        <f>UPPER(TEXT(ShoeSales[[#This Row],[Date]], "mmm"))</f>
        <v>FEB</v>
      </c>
    </row>
    <row r="490" spans="1:20" ht="14.25" customHeight="1" x14ac:dyDescent="0.25">
      <c r="A490" s="14">
        <v>46218</v>
      </c>
      <c r="B490" s="6" t="s">
        <v>27</v>
      </c>
      <c r="C490" s="16" t="str">
        <f>TRIM(PROPER(ShoeSales[[#This Row],[Product]]))</f>
        <v>Monk Straps</v>
      </c>
      <c r="D490" s="6" t="s">
        <v>37</v>
      </c>
      <c r="E490" s="44" t="str">
        <f>UPPER(ShoeSales[[#This Row],[Category]])</f>
        <v>FORMAL</v>
      </c>
      <c r="F490" s="6" t="s">
        <v>29</v>
      </c>
      <c r="G490" s="6" t="s">
        <v>63</v>
      </c>
      <c r="H490" s="16" t="str">
        <f>PROPER(ShoeSales[[#This Row],[Brand]])</f>
        <v>Clarks</v>
      </c>
      <c r="I490" s="6" t="s">
        <v>47</v>
      </c>
      <c r="J490" s="7">
        <v>2</v>
      </c>
      <c r="K490" s="6" t="s">
        <v>32</v>
      </c>
      <c r="L490" s="22">
        <f>VLOOKUP(ShoeSales[[#This Row],[Product Cleaned]],Price!$A$2:$C$9,2,FALSE)</f>
        <v>89</v>
      </c>
      <c r="M490" s="19">
        <f>_xlfn.XLOOKUP(ShoeSales[[#This Row],[Product Cleaned]],Price!$A$2:$A$9,Price!$B$2:$B$9)</f>
        <v>89</v>
      </c>
      <c r="N490" s="19">
        <f>_xlfn.XLOOKUP(ShoeSales[[#This Row],[Product Cleaned]],Price!$A$2:$A$9,Price!$C$2:$C$9)</f>
        <v>47</v>
      </c>
      <c r="O490" s="22">
        <f>ShoeSales[[#This Row],[Sell Price]]*ShoeSales[[#This Row],[Quantity]]</f>
        <v>178</v>
      </c>
      <c r="P490" s="19">
        <f>ShoeSales[[#This Row],[Quantity]]*ShoeSales[[#This Row],[Cost Price]]</f>
        <v>94</v>
      </c>
      <c r="Q490" s="19">
        <f>ShoeSales[[#This Row],[Revenue]]-ShoeSales[[#This Row],[Cost]]</f>
        <v>84</v>
      </c>
      <c r="R490" s="24">
        <f>ShoeSales[[#This Row],[Profit]]/ShoeSales[[#This Row],[Revenue]]</f>
        <v>0.47191011235955055</v>
      </c>
      <c r="S490" s="19"/>
      <c r="T490" s="19" t="str">
        <f>UPPER(TEXT(ShoeSales[[#This Row],[Date]], "mmm"))</f>
        <v>JUL</v>
      </c>
    </row>
    <row r="491" spans="1:20" ht="14.25" customHeight="1" x14ac:dyDescent="0.25">
      <c r="A491" s="15">
        <v>46137</v>
      </c>
      <c r="B491" s="9" t="s">
        <v>85</v>
      </c>
      <c r="C491" s="9" t="str">
        <f>TRIM(PROPER(ShoeSales[[#This Row],[Product]]))</f>
        <v>Brogues</v>
      </c>
      <c r="D491" s="9" t="s">
        <v>28</v>
      </c>
      <c r="E491" s="45" t="str">
        <f>UPPER(ShoeSales[[#This Row],[Category]])</f>
        <v>FORMAL</v>
      </c>
      <c r="F491" s="9" t="s">
        <v>29</v>
      </c>
      <c r="G491" s="9" t="s">
        <v>39</v>
      </c>
      <c r="H491" s="9" t="str">
        <f>PROPER(ShoeSales[[#This Row],[Brand]])</f>
        <v>Clarks</v>
      </c>
      <c r="I491" s="9" t="s">
        <v>66</v>
      </c>
      <c r="J491" s="10">
        <v>10</v>
      </c>
      <c r="K491" s="9" t="s">
        <v>62</v>
      </c>
      <c r="L491" s="22">
        <f>VLOOKUP(ShoeSales[[#This Row],[Product Cleaned]],Price!$A$2:$C$9,2,FALSE)</f>
        <v>112</v>
      </c>
      <c r="M491" s="19">
        <f>_xlfn.XLOOKUP(ShoeSales[[#This Row],[Product Cleaned]],Price!$A$2:$A$9,Price!$B$2:$B$9)</f>
        <v>112</v>
      </c>
      <c r="N491" s="19">
        <f>_xlfn.XLOOKUP(ShoeSales[[#This Row],[Product Cleaned]],Price!$A$2:$A$9,Price!$C$2:$C$9)</f>
        <v>64</v>
      </c>
      <c r="O491" s="22">
        <f>ShoeSales[[#This Row],[Sell Price]]*ShoeSales[[#This Row],[Quantity]]</f>
        <v>1120</v>
      </c>
      <c r="P491" s="19">
        <f>ShoeSales[[#This Row],[Quantity]]*ShoeSales[[#This Row],[Cost Price]]</f>
        <v>640</v>
      </c>
      <c r="Q491" s="19">
        <f>ShoeSales[[#This Row],[Revenue]]-ShoeSales[[#This Row],[Cost]]</f>
        <v>480</v>
      </c>
      <c r="R491" s="24">
        <f>ShoeSales[[#This Row],[Profit]]/ShoeSales[[#This Row],[Revenue]]</f>
        <v>0.42857142857142855</v>
      </c>
      <c r="S491" s="19"/>
      <c r="T491" s="19" t="str">
        <f>UPPER(TEXT(ShoeSales[[#This Row],[Date]], "mmm"))</f>
        <v>APR</v>
      </c>
    </row>
    <row r="492" spans="1:20" ht="14.25" customHeight="1" x14ac:dyDescent="0.25">
      <c r="A492" s="14">
        <v>46045</v>
      </c>
      <c r="B492" s="6" t="s">
        <v>6</v>
      </c>
      <c r="C492" s="16" t="str">
        <f>TRIM(PROPER(ShoeSales[[#This Row],[Product]]))</f>
        <v>Loafers</v>
      </c>
      <c r="D492" s="6" t="s">
        <v>28</v>
      </c>
      <c r="E492" s="44" t="str">
        <f>UPPER(ShoeSales[[#This Row],[Category]])</f>
        <v>FORMAL</v>
      </c>
      <c r="F492" s="6" t="s">
        <v>29</v>
      </c>
      <c r="G492" s="6" t="s">
        <v>50</v>
      </c>
      <c r="H492" s="16" t="str">
        <f>PROPER(ShoeSales[[#This Row],[Brand]])</f>
        <v>Nike</v>
      </c>
      <c r="I492" s="6" t="s">
        <v>64</v>
      </c>
      <c r="J492" s="7">
        <v>5</v>
      </c>
      <c r="K492" s="6" t="s">
        <v>32</v>
      </c>
      <c r="L492" s="22">
        <f>VLOOKUP(ShoeSales[[#This Row],[Product Cleaned]],Price!$A$2:$C$9,2,FALSE)</f>
        <v>54</v>
      </c>
      <c r="M492" s="19">
        <f>_xlfn.XLOOKUP(ShoeSales[[#This Row],[Product Cleaned]],Price!$A$2:$A$9,Price!$B$2:$B$9)</f>
        <v>54</v>
      </c>
      <c r="N492" s="19">
        <f>_xlfn.XLOOKUP(ShoeSales[[#This Row],[Product Cleaned]],Price!$A$2:$A$9,Price!$C$2:$C$9)</f>
        <v>28</v>
      </c>
      <c r="O492" s="22">
        <f>ShoeSales[[#This Row],[Sell Price]]*ShoeSales[[#This Row],[Quantity]]</f>
        <v>270</v>
      </c>
      <c r="P492" s="19">
        <f>ShoeSales[[#This Row],[Quantity]]*ShoeSales[[#This Row],[Cost Price]]</f>
        <v>140</v>
      </c>
      <c r="Q492" s="19">
        <f>ShoeSales[[#This Row],[Revenue]]-ShoeSales[[#This Row],[Cost]]</f>
        <v>130</v>
      </c>
      <c r="R492" s="24">
        <f>ShoeSales[[#This Row],[Profit]]/ShoeSales[[#This Row],[Revenue]]</f>
        <v>0.48148148148148145</v>
      </c>
      <c r="S492" s="19"/>
      <c r="T492" s="19" t="str">
        <f>UPPER(TEXT(ShoeSales[[#This Row],[Date]], "mmm"))</f>
        <v>JAN</v>
      </c>
    </row>
    <row r="493" spans="1:20" ht="14.25" customHeight="1" x14ac:dyDescent="0.25">
      <c r="A493" s="15">
        <v>46095</v>
      </c>
      <c r="B493" s="9" t="s">
        <v>76</v>
      </c>
      <c r="C493" s="9" t="str">
        <f>TRIM(PROPER(ShoeSales[[#This Row],[Product]]))</f>
        <v>Derby</v>
      </c>
      <c r="D493" s="9" t="s">
        <v>28</v>
      </c>
      <c r="E493" s="45" t="str">
        <f>UPPER(ShoeSales[[#This Row],[Category]])</f>
        <v>FORMAL</v>
      </c>
      <c r="F493" s="9" t="s">
        <v>56</v>
      </c>
      <c r="G493" s="9" t="s">
        <v>72</v>
      </c>
      <c r="H493" s="9" t="str">
        <f>PROPER(ShoeSales[[#This Row],[Brand]])</f>
        <v>Zara</v>
      </c>
      <c r="I493" s="9" t="s">
        <v>43</v>
      </c>
      <c r="J493" s="10">
        <v>15</v>
      </c>
      <c r="K493" s="9" t="s">
        <v>54</v>
      </c>
      <c r="L493" s="22">
        <f>VLOOKUP(ShoeSales[[#This Row],[Product Cleaned]],Price!$A$2:$C$9,2,FALSE)</f>
        <v>32</v>
      </c>
      <c r="M493" s="19">
        <f>_xlfn.XLOOKUP(ShoeSales[[#This Row],[Product Cleaned]],Price!$A$2:$A$9,Price!$B$2:$B$9)</f>
        <v>32</v>
      </c>
      <c r="N493" s="19">
        <f>_xlfn.XLOOKUP(ShoeSales[[#This Row],[Product Cleaned]],Price!$A$2:$A$9,Price!$C$2:$C$9)</f>
        <v>14</v>
      </c>
      <c r="O493" s="22">
        <f>ShoeSales[[#This Row],[Sell Price]]*ShoeSales[[#This Row],[Quantity]]</f>
        <v>480</v>
      </c>
      <c r="P493" s="19">
        <f>ShoeSales[[#This Row],[Quantity]]*ShoeSales[[#This Row],[Cost Price]]</f>
        <v>210</v>
      </c>
      <c r="Q493" s="19">
        <f>ShoeSales[[#This Row],[Revenue]]-ShoeSales[[#This Row],[Cost]]</f>
        <v>270</v>
      </c>
      <c r="R493" s="24">
        <f>ShoeSales[[#This Row],[Profit]]/ShoeSales[[#This Row],[Revenue]]</f>
        <v>0.5625</v>
      </c>
      <c r="S493" s="19"/>
      <c r="T493" s="19" t="str">
        <f>UPPER(TEXT(ShoeSales[[#This Row],[Date]], "mmm"))</f>
        <v>MAR</v>
      </c>
    </row>
    <row r="494" spans="1:20" ht="14.25" customHeight="1" x14ac:dyDescent="0.25">
      <c r="A494" s="14">
        <v>46064</v>
      </c>
      <c r="B494" s="6" t="s">
        <v>9</v>
      </c>
      <c r="C494" s="16" t="str">
        <f>TRIM(PROPER(ShoeSales[[#This Row],[Product]]))</f>
        <v>Canvas</v>
      </c>
      <c r="D494" s="6" t="s">
        <v>58</v>
      </c>
      <c r="E494" s="44" t="str">
        <f>UPPER(ShoeSales[[#This Row],[Category]])</f>
        <v>FORMAL</v>
      </c>
      <c r="F494" s="6" t="s">
        <v>34</v>
      </c>
      <c r="G494" s="6" t="s">
        <v>81</v>
      </c>
      <c r="H494" s="16" t="str">
        <f>PROPER(ShoeSales[[#This Row],[Brand]])</f>
        <v>Steve Madden</v>
      </c>
      <c r="I494" s="6" t="s">
        <v>78</v>
      </c>
      <c r="J494" s="7">
        <v>15</v>
      </c>
      <c r="K494" s="6" t="s">
        <v>54</v>
      </c>
      <c r="L494" s="22">
        <f>VLOOKUP(ShoeSales[[#This Row],[Product Cleaned]],Price!$A$2:$C$9,2,FALSE)</f>
        <v>128</v>
      </c>
      <c r="M494" s="19">
        <f>_xlfn.XLOOKUP(ShoeSales[[#This Row],[Product Cleaned]],Price!$A$2:$A$9,Price!$B$2:$B$9)</f>
        <v>128</v>
      </c>
      <c r="N494" s="19">
        <f>_xlfn.XLOOKUP(ShoeSales[[#This Row],[Product Cleaned]],Price!$A$2:$A$9,Price!$C$2:$C$9)</f>
        <v>72</v>
      </c>
      <c r="O494" s="22">
        <f>ShoeSales[[#This Row],[Sell Price]]*ShoeSales[[#This Row],[Quantity]]</f>
        <v>1920</v>
      </c>
      <c r="P494" s="19">
        <f>ShoeSales[[#This Row],[Quantity]]*ShoeSales[[#This Row],[Cost Price]]</f>
        <v>1080</v>
      </c>
      <c r="Q494" s="19">
        <f>ShoeSales[[#This Row],[Revenue]]-ShoeSales[[#This Row],[Cost]]</f>
        <v>840</v>
      </c>
      <c r="R494" s="24">
        <f>ShoeSales[[#This Row],[Profit]]/ShoeSales[[#This Row],[Revenue]]</f>
        <v>0.4375</v>
      </c>
      <c r="S494" s="19"/>
      <c r="T494" s="19" t="str">
        <f>UPPER(TEXT(ShoeSales[[#This Row],[Date]], "mmm"))</f>
        <v>FEB</v>
      </c>
    </row>
    <row r="495" spans="1:20" ht="14.25" customHeight="1" x14ac:dyDescent="0.25">
      <c r="A495" s="15">
        <v>46154</v>
      </c>
      <c r="B495" s="9" t="s">
        <v>44</v>
      </c>
      <c r="C495" s="9" t="str">
        <f>TRIM(PROPER(ShoeSales[[#This Row],[Product]]))</f>
        <v>Boots</v>
      </c>
      <c r="D495" s="9" t="s">
        <v>87</v>
      </c>
      <c r="E495" s="45" t="str">
        <f>UPPER(ShoeSales[[#This Row],[Category]])</f>
        <v>OPEN</v>
      </c>
      <c r="F495" s="9" t="s">
        <v>29</v>
      </c>
      <c r="G495" s="9" t="s">
        <v>63</v>
      </c>
      <c r="H495" s="9" t="str">
        <f>PROPER(ShoeSales[[#This Row],[Brand]])</f>
        <v>Clarks</v>
      </c>
      <c r="I495" s="9" t="s">
        <v>40</v>
      </c>
      <c r="J495" s="10">
        <v>10</v>
      </c>
      <c r="K495" s="9" t="s">
        <v>36</v>
      </c>
      <c r="L495" s="22">
        <f>VLOOKUP(ShoeSales[[#This Row],[Product Cleaned]],Price!$A$2:$C$9,2,FALSE)</f>
        <v>76</v>
      </c>
      <c r="M495" s="19">
        <f>_xlfn.XLOOKUP(ShoeSales[[#This Row],[Product Cleaned]],Price!$A$2:$A$9,Price!$B$2:$B$9)</f>
        <v>76</v>
      </c>
      <c r="N495" s="19">
        <f>_xlfn.XLOOKUP(ShoeSales[[#This Row],[Product Cleaned]],Price!$A$2:$A$9,Price!$C$2:$C$9)</f>
        <v>39</v>
      </c>
      <c r="O495" s="22">
        <f>ShoeSales[[#This Row],[Sell Price]]*ShoeSales[[#This Row],[Quantity]]</f>
        <v>760</v>
      </c>
      <c r="P495" s="19">
        <f>ShoeSales[[#This Row],[Quantity]]*ShoeSales[[#This Row],[Cost Price]]</f>
        <v>390</v>
      </c>
      <c r="Q495" s="19">
        <f>ShoeSales[[#This Row],[Revenue]]-ShoeSales[[#This Row],[Cost]]</f>
        <v>370</v>
      </c>
      <c r="R495" s="24">
        <f>ShoeSales[[#This Row],[Profit]]/ShoeSales[[#This Row],[Revenue]]</f>
        <v>0.48684210526315791</v>
      </c>
      <c r="S495" s="19"/>
      <c r="T495" s="19" t="str">
        <f>UPPER(TEXT(ShoeSales[[#This Row],[Date]], "mmm"))</f>
        <v>MAY</v>
      </c>
    </row>
    <row r="496" spans="1:20" ht="14.25" customHeight="1" x14ac:dyDescent="0.25">
      <c r="A496" s="14">
        <v>46079</v>
      </c>
      <c r="B496" s="6" t="s">
        <v>9</v>
      </c>
      <c r="C496" s="16" t="str">
        <f>TRIM(PROPER(ShoeSales[[#This Row],[Product]]))</f>
        <v>Canvas</v>
      </c>
      <c r="D496" s="6" t="s">
        <v>87</v>
      </c>
      <c r="E496" s="44" t="str">
        <f>UPPER(ShoeSales[[#This Row],[Category]])</f>
        <v>OPEN</v>
      </c>
      <c r="F496" s="6" t="s">
        <v>29</v>
      </c>
      <c r="G496" s="6" t="s">
        <v>46</v>
      </c>
      <c r="H496" s="16" t="str">
        <f>PROPER(ShoeSales[[#This Row],[Brand]])</f>
        <v>Clarks</v>
      </c>
      <c r="I496" s="6" t="s">
        <v>43</v>
      </c>
      <c r="J496" s="7">
        <v>5</v>
      </c>
      <c r="K496" s="6" t="s">
        <v>32</v>
      </c>
      <c r="L496" s="22">
        <f>VLOOKUP(ShoeSales[[#This Row],[Product Cleaned]],Price!$A$2:$C$9,2,FALSE)</f>
        <v>128</v>
      </c>
      <c r="M496" s="19">
        <f>_xlfn.XLOOKUP(ShoeSales[[#This Row],[Product Cleaned]],Price!$A$2:$A$9,Price!$B$2:$B$9)</f>
        <v>128</v>
      </c>
      <c r="N496" s="19">
        <f>_xlfn.XLOOKUP(ShoeSales[[#This Row],[Product Cleaned]],Price!$A$2:$A$9,Price!$C$2:$C$9)</f>
        <v>72</v>
      </c>
      <c r="O496" s="22">
        <f>ShoeSales[[#This Row],[Sell Price]]*ShoeSales[[#This Row],[Quantity]]</f>
        <v>640</v>
      </c>
      <c r="P496" s="19">
        <f>ShoeSales[[#This Row],[Quantity]]*ShoeSales[[#This Row],[Cost Price]]</f>
        <v>360</v>
      </c>
      <c r="Q496" s="19">
        <f>ShoeSales[[#This Row],[Revenue]]-ShoeSales[[#This Row],[Cost]]</f>
        <v>280</v>
      </c>
      <c r="R496" s="24">
        <f>ShoeSales[[#This Row],[Profit]]/ShoeSales[[#This Row],[Revenue]]</f>
        <v>0.4375</v>
      </c>
      <c r="S496" s="19"/>
      <c r="T496" s="19" t="str">
        <f>UPPER(TEXT(ShoeSales[[#This Row],[Date]], "mmm"))</f>
        <v>FEB</v>
      </c>
    </row>
    <row r="497" spans="1:20" ht="14.25" customHeight="1" x14ac:dyDescent="0.25">
      <c r="A497" s="15">
        <v>46133</v>
      </c>
      <c r="B497" s="9" t="s">
        <v>7</v>
      </c>
      <c r="C497" s="9" t="str">
        <f>TRIM(PROPER(ShoeSales[[#This Row],[Product]]))</f>
        <v>Derby</v>
      </c>
      <c r="D497" s="9" t="s">
        <v>74</v>
      </c>
      <c r="E497" s="45" t="str">
        <f>UPPER(ShoeSales[[#This Row],[Category]])</f>
        <v>OPEN</v>
      </c>
      <c r="F497" s="9" t="s">
        <v>56</v>
      </c>
      <c r="G497" s="9" t="s">
        <v>94</v>
      </c>
      <c r="H497" s="9" t="str">
        <f>PROPER(ShoeSales[[#This Row],[Brand]])</f>
        <v>Timberland</v>
      </c>
      <c r="I497" s="9" t="s">
        <v>64</v>
      </c>
      <c r="J497" s="10">
        <v>5</v>
      </c>
      <c r="K497" s="9" t="s">
        <v>54</v>
      </c>
      <c r="L497" s="22">
        <f>VLOOKUP(ShoeSales[[#This Row],[Product Cleaned]],Price!$A$2:$C$9,2,FALSE)</f>
        <v>32</v>
      </c>
      <c r="M497" s="19">
        <f>_xlfn.XLOOKUP(ShoeSales[[#This Row],[Product Cleaned]],Price!$A$2:$A$9,Price!$B$2:$B$9)</f>
        <v>32</v>
      </c>
      <c r="N497" s="19">
        <f>_xlfn.XLOOKUP(ShoeSales[[#This Row],[Product Cleaned]],Price!$A$2:$A$9,Price!$C$2:$C$9)</f>
        <v>14</v>
      </c>
      <c r="O497" s="22">
        <f>ShoeSales[[#This Row],[Sell Price]]*ShoeSales[[#This Row],[Quantity]]</f>
        <v>160</v>
      </c>
      <c r="P497" s="19">
        <f>ShoeSales[[#This Row],[Quantity]]*ShoeSales[[#This Row],[Cost Price]]</f>
        <v>70</v>
      </c>
      <c r="Q497" s="19">
        <f>ShoeSales[[#This Row],[Revenue]]-ShoeSales[[#This Row],[Cost]]</f>
        <v>90</v>
      </c>
      <c r="R497" s="24">
        <f>ShoeSales[[#This Row],[Profit]]/ShoeSales[[#This Row],[Revenue]]</f>
        <v>0.5625</v>
      </c>
      <c r="S497" s="19"/>
      <c r="T497" s="19" t="str">
        <f>UPPER(TEXT(ShoeSales[[#This Row],[Date]], "mmm"))</f>
        <v>APR</v>
      </c>
    </row>
    <row r="498" spans="1:20" ht="14.25" customHeight="1" x14ac:dyDescent="0.25">
      <c r="A498" s="14">
        <v>46198</v>
      </c>
      <c r="B498" s="6" t="s">
        <v>33</v>
      </c>
      <c r="C498" s="16" t="str">
        <f>TRIM(PROPER(ShoeSales[[#This Row],[Product]]))</f>
        <v>Loafers</v>
      </c>
      <c r="D498" s="6" t="s">
        <v>89</v>
      </c>
      <c r="E498" s="44" t="str">
        <f>UPPER(ShoeSales[[#This Row],[Category]])</f>
        <v>OPEN</v>
      </c>
      <c r="F498" s="6" t="s">
        <v>34</v>
      </c>
      <c r="G498" s="6" t="s">
        <v>72</v>
      </c>
      <c r="H498" s="16" t="str">
        <f>PROPER(ShoeSales[[#This Row],[Brand]])</f>
        <v>Zara</v>
      </c>
      <c r="I498" s="6" t="s">
        <v>31</v>
      </c>
      <c r="J498" s="7">
        <v>8</v>
      </c>
      <c r="K498" s="6" t="s">
        <v>32</v>
      </c>
      <c r="L498" s="22">
        <f>VLOOKUP(ShoeSales[[#This Row],[Product Cleaned]],Price!$A$2:$C$9,2,FALSE)</f>
        <v>54</v>
      </c>
      <c r="M498" s="19">
        <f>_xlfn.XLOOKUP(ShoeSales[[#This Row],[Product Cleaned]],Price!$A$2:$A$9,Price!$B$2:$B$9)</f>
        <v>54</v>
      </c>
      <c r="N498" s="19">
        <f>_xlfn.XLOOKUP(ShoeSales[[#This Row],[Product Cleaned]],Price!$A$2:$A$9,Price!$C$2:$C$9)</f>
        <v>28</v>
      </c>
      <c r="O498" s="22">
        <f>ShoeSales[[#This Row],[Sell Price]]*ShoeSales[[#This Row],[Quantity]]</f>
        <v>432</v>
      </c>
      <c r="P498" s="19">
        <f>ShoeSales[[#This Row],[Quantity]]*ShoeSales[[#This Row],[Cost Price]]</f>
        <v>224</v>
      </c>
      <c r="Q498" s="19">
        <f>ShoeSales[[#This Row],[Revenue]]-ShoeSales[[#This Row],[Cost]]</f>
        <v>208</v>
      </c>
      <c r="R498" s="24">
        <f>ShoeSales[[#This Row],[Profit]]/ShoeSales[[#This Row],[Revenue]]</f>
        <v>0.48148148148148145</v>
      </c>
      <c r="S498" s="19"/>
      <c r="T498" s="19" t="str">
        <f>UPPER(TEXT(ShoeSales[[#This Row],[Date]], "mmm"))</f>
        <v>JUN</v>
      </c>
    </row>
    <row r="499" spans="1:20" ht="14.25" customHeight="1" x14ac:dyDescent="0.25">
      <c r="A499" s="15">
        <v>46175</v>
      </c>
      <c r="B499" s="9" t="s">
        <v>67</v>
      </c>
      <c r="C499" s="9" t="str">
        <f>TRIM(PROPER(ShoeSales[[#This Row],[Product]]))</f>
        <v>Oxford</v>
      </c>
      <c r="D499" s="9" t="s">
        <v>37</v>
      </c>
      <c r="E499" s="45" t="str">
        <f>UPPER(ShoeSales[[#This Row],[Category]])</f>
        <v>FORMAL</v>
      </c>
      <c r="F499" s="9" t="s">
        <v>38</v>
      </c>
      <c r="G499" s="9" t="s">
        <v>81</v>
      </c>
      <c r="H499" s="9" t="str">
        <f>PROPER(ShoeSales[[#This Row],[Brand]])</f>
        <v>Steve Madden</v>
      </c>
      <c r="I499" s="9" t="s">
        <v>91</v>
      </c>
      <c r="J499" s="10">
        <v>3</v>
      </c>
      <c r="K499" s="9" t="s">
        <v>32</v>
      </c>
      <c r="L499" s="22">
        <f>VLOOKUP(ShoeSales[[#This Row],[Product Cleaned]],Price!$A$2:$C$9,2,FALSE)</f>
        <v>105</v>
      </c>
      <c r="M499" s="19">
        <f>_xlfn.XLOOKUP(ShoeSales[[#This Row],[Product Cleaned]],Price!$A$2:$A$9,Price!$B$2:$B$9)</f>
        <v>105</v>
      </c>
      <c r="N499" s="19">
        <f>_xlfn.XLOOKUP(ShoeSales[[#This Row],[Product Cleaned]],Price!$A$2:$A$9,Price!$C$2:$C$9)</f>
        <v>58</v>
      </c>
      <c r="O499" s="22">
        <f>ShoeSales[[#This Row],[Sell Price]]*ShoeSales[[#This Row],[Quantity]]</f>
        <v>315</v>
      </c>
      <c r="P499" s="19">
        <f>ShoeSales[[#This Row],[Quantity]]*ShoeSales[[#This Row],[Cost Price]]</f>
        <v>174</v>
      </c>
      <c r="Q499" s="19">
        <f>ShoeSales[[#This Row],[Revenue]]-ShoeSales[[#This Row],[Cost]]</f>
        <v>141</v>
      </c>
      <c r="R499" s="24">
        <f>ShoeSales[[#This Row],[Profit]]/ShoeSales[[#This Row],[Revenue]]</f>
        <v>0.44761904761904764</v>
      </c>
      <c r="S499" s="19"/>
      <c r="T499" s="19" t="str">
        <f>UPPER(TEXT(ShoeSales[[#This Row],[Date]], "mmm"))</f>
        <v>JUN</v>
      </c>
    </row>
    <row r="500" spans="1:20" ht="14.25" customHeight="1" x14ac:dyDescent="0.25">
      <c r="A500" s="14">
        <v>46184</v>
      </c>
      <c r="B500" s="6" t="s">
        <v>52</v>
      </c>
      <c r="C500" s="16" t="str">
        <f>TRIM(PROPER(ShoeSales[[#This Row],[Product]]))</f>
        <v>Canvas</v>
      </c>
      <c r="D500" s="6" t="s">
        <v>77</v>
      </c>
      <c r="E500" s="44" t="str">
        <f>UPPER(ShoeSales[[#This Row],[Category]])</f>
        <v>CASUAL</v>
      </c>
      <c r="F500" s="6" t="s">
        <v>38</v>
      </c>
      <c r="G500" s="6" t="s">
        <v>46</v>
      </c>
      <c r="H500" s="16" t="str">
        <f>PROPER(ShoeSales[[#This Row],[Brand]])</f>
        <v>Clarks</v>
      </c>
      <c r="I500" s="6" t="s">
        <v>40</v>
      </c>
      <c r="J500" s="7">
        <v>5</v>
      </c>
      <c r="K500" s="6" t="s">
        <v>62</v>
      </c>
      <c r="L500" s="22">
        <f>VLOOKUP(ShoeSales[[#This Row],[Product Cleaned]],Price!$A$2:$C$9,2,FALSE)</f>
        <v>128</v>
      </c>
      <c r="M500" s="19">
        <f>_xlfn.XLOOKUP(ShoeSales[[#This Row],[Product Cleaned]],Price!$A$2:$A$9,Price!$B$2:$B$9)</f>
        <v>128</v>
      </c>
      <c r="N500" s="19">
        <f>_xlfn.XLOOKUP(ShoeSales[[#This Row],[Product Cleaned]],Price!$A$2:$A$9,Price!$C$2:$C$9)</f>
        <v>72</v>
      </c>
      <c r="O500" s="22">
        <f>ShoeSales[[#This Row],[Sell Price]]*ShoeSales[[#This Row],[Quantity]]</f>
        <v>640</v>
      </c>
      <c r="P500" s="19">
        <f>ShoeSales[[#This Row],[Quantity]]*ShoeSales[[#This Row],[Cost Price]]</f>
        <v>360</v>
      </c>
      <c r="Q500" s="19">
        <f>ShoeSales[[#This Row],[Revenue]]-ShoeSales[[#This Row],[Cost]]</f>
        <v>280</v>
      </c>
      <c r="R500" s="24">
        <f>ShoeSales[[#This Row],[Profit]]/ShoeSales[[#This Row],[Revenue]]</f>
        <v>0.4375</v>
      </c>
      <c r="S500" s="19"/>
      <c r="T500" s="19" t="str">
        <f>UPPER(TEXT(ShoeSales[[#This Row],[Date]], "mmm"))</f>
        <v>JUN</v>
      </c>
    </row>
    <row r="501" spans="1:20" ht="14.25" customHeight="1" x14ac:dyDescent="0.25">
      <c r="A501" s="15">
        <v>46218</v>
      </c>
      <c r="B501" s="9" t="s">
        <v>7</v>
      </c>
      <c r="C501" s="9" t="str">
        <f>TRIM(PROPER(ShoeSales[[#This Row],[Product]]))</f>
        <v>Derby</v>
      </c>
      <c r="D501" s="9" t="s">
        <v>45</v>
      </c>
      <c r="E501" s="45" t="str">
        <f>UPPER(ShoeSales[[#This Row],[Category]])</f>
        <v>CASUAL</v>
      </c>
      <c r="F501" s="9" t="s">
        <v>29</v>
      </c>
      <c r="G501" s="9" t="s">
        <v>46</v>
      </c>
      <c r="H501" s="9" t="str">
        <f>PROPER(ShoeSales[[#This Row],[Brand]])</f>
        <v>Clarks</v>
      </c>
      <c r="I501" s="9" t="s">
        <v>66</v>
      </c>
      <c r="J501" s="10">
        <v>4</v>
      </c>
      <c r="K501" s="9" t="s">
        <v>32</v>
      </c>
      <c r="L501" s="22">
        <f>VLOOKUP(ShoeSales[[#This Row],[Product Cleaned]],Price!$A$2:$C$9,2,FALSE)</f>
        <v>32</v>
      </c>
      <c r="M501" s="19">
        <f>_xlfn.XLOOKUP(ShoeSales[[#This Row],[Product Cleaned]],Price!$A$2:$A$9,Price!$B$2:$B$9)</f>
        <v>32</v>
      </c>
      <c r="N501" s="19">
        <f>_xlfn.XLOOKUP(ShoeSales[[#This Row],[Product Cleaned]],Price!$A$2:$A$9,Price!$C$2:$C$9)</f>
        <v>14</v>
      </c>
      <c r="O501" s="22">
        <f>ShoeSales[[#This Row],[Sell Price]]*ShoeSales[[#This Row],[Quantity]]</f>
        <v>128</v>
      </c>
      <c r="P501" s="19">
        <f>ShoeSales[[#This Row],[Quantity]]*ShoeSales[[#This Row],[Cost Price]]</f>
        <v>56</v>
      </c>
      <c r="Q501" s="19">
        <f>ShoeSales[[#This Row],[Revenue]]-ShoeSales[[#This Row],[Cost]]</f>
        <v>72</v>
      </c>
      <c r="R501" s="24">
        <f>ShoeSales[[#This Row],[Profit]]/ShoeSales[[#This Row],[Revenue]]</f>
        <v>0.5625</v>
      </c>
      <c r="S501" s="19"/>
      <c r="T501" s="19" t="str">
        <f>UPPER(TEXT(ShoeSales[[#This Row],[Date]], "mmm"))</f>
        <v>JUL</v>
      </c>
    </row>
    <row r="502" spans="1:20" ht="14.25" customHeight="1" x14ac:dyDescent="0.25"/>
    <row r="503" spans="1:20" ht="14.25" customHeight="1" x14ac:dyDescent="0.25"/>
    <row r="504" spans="1:20" ht="14.25" customHeight="1" x14ac:dyDescent="0.25"/>
    <row r="505" spans="1:20" ht="14.25" customHeight="1" x14ac:dyDescent="0.25"/>
    <row r="506" spans="1:20" ht="14.25" customHeight="1" x14ac:dyDescent="0.25"/>
    <row r="507" spans="1:20" ht="14.25" customHeight="1" x14ac:dyDescent="0.25"/>
    <row r="508" spans="1:20" ht="14.25" customHeight="1" x14ac:dyDescent="0.25"/>
    <row r="509" spans="1:20" ht="14.25" customHeight="1" x14ac:dyDescent="0.25"/>
    <row r="510" spans="1:20" ht="14.25" customHeight="1" x14ac:dyDescent="0.25"/>
    <row r="511" spans="1:20" ht="14.25" customHeight="1" x14ac:dyDescent="0.25"/>
    <row r="512" spans="1:20"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347D-A53D-4EB9-B8D0-201C806AF61B}">
  <dimension ref="B2:O99"/>
  <sheetViews>
    <sheetView showGridLines="0" topLeftCell="A82" workbookViewId="0">
      <selection activeCell="D26" sqref="D26"/>
    </sheetView>
  </sheetViews>
  <sheetFormatPr defaultRowHeight="15" x14ac:dyDescent="0.25"/>
  <cols>
    <col min="2" max="2" width="11.28515625" bestFit="1" customWidth="1"/>
    <col min="3" max="3" width="9" bestFit="1" customWidth="1"/>
    <col min="4" max="4" width="9.28515625" bestFit="1" customWidth="1"/>
    <col min="5" max="5" width="7.5703125" bestFit="1" customWidth="1"/>
    <col min="6" max="6" width="10.28515625" bestFit="1" customWidth="1"/>
    <col min="7" max="9" width="7.5703125" bestFit="1" customWidth="1"/>
    <col min="10" max="10" width="7.7109375" bestFit="1" customWidth="1"/>
    <col min="11" max="11" width="11" bestFit="1" customWidth="1"/>
    <col min="12" max="12" width="13.140625" bestFit="1" customWidth="1"/>
    <col min="13" max="13" width="15.5703125" bestFit="1" customWidth="1"/>
    <col min="14" max="14" width="8.85546875" bestFit="1" customWidth="1"/>
    <col min="15" max="15" width="7.5703125" bestFit="1" customWidth="1"/>
    <col min="16" max="16" width="7.7109375" bestFit="1" customWidth="1"/>
    <col min="17" max="19" width="7.5703125" bestFit="1" customWidth="1"/>
    <col min="20" max="20" width="10.28515625" bestFit="1" customWidth="1"/>
    <col min="21" max="23" width="7.5703125" bestFit="1" customWidth="1"/>
    <col min="24" max="24" width="7.7109375" bestFit="1" customWidth="1"/>
    <col min="25" max="25" width="11" bestFit="1" customWidth="1"/>
    <col min="26" max="26" width="7.42578125" bestFit="1" customWidth="1"/>
    <col min="28" max="28" width="8.85546875" bestFit="1" customWidth="1"/>
    <col min="29" max="29" width="7.42578125" bestFit="1" customWidth="1"/>
    <col min="30" max="30" width="7.7109375" bestFit="1" customWidth="1"/>
    <col min="31" max="31" width="14.28515625" bestFit="1" customWidth="1"/>
    <col min="32" max="32" width="11.28515625" bestFit="1" customWidth="1"/>
  </cols>
  <sheetData>
    <row r="2" spans="2:13" x14ac:dyDescent="0.25">
      <c r="B2" s="35"/>
    </row>
    <row r="3" spans="2:13" s="35" customFormat="1" x14ac:dyDescent="0.25">
      <c r="B3" s="34" t="s">
        <v>109</v>
      </c>
      <c r="C3" s="34" t="s">
        <v>107</v>
      </c>
      <c r="D3" s="34" t="s">
        <v>108</v>
      </c>
      <c r="E3" s="34" t="s">
        <v>110</v>
      </c>
      <c r="F3" s="34" t="s">
        <v>111</v>
      </c>
      <c r="G3" s="42" t="s">
        <v>126</v>
      </c>
      <c r="H3"/>
    </row>
    <row r="4" spans="2:13" x14ac:dyDescent="0.25">
      <c r="B4" s="29">
        <v>355048</v>
      </c>
      <c r="C4" s="29">
        <v>192713</v>
      </c>
      <c r="D4" s="29">
        <v>162335</v>
      </c>
      <c r="E4" s="30">
        <v>0.47075624043493502</v>
      </c>
      <c r="F4" s="31">
        <v>4012</v>
      </c>
      <c r="G4" s="42">
        <v>5</v>
      </c>
    </row>
    <row r="5" spans="2:13" x14ac:dyDescent="0.25">
      <c r="B5" s="33">
        <f>GETPIVOTDATA("Total Revenue",$B$3)</f>
        <v>355048</v>
      </c>
      <c r="C5" s="33">
        <f>GETPIVOTDATA("Total Cost",$B$3)</f>
        <v>192713</v>
      </c>
      <c r="D5" s="33">
        <f>GETPIVOTDATA("Total Profit",$B$3)</f>
        <v>162335</v>
      </c>
      <c r="E5" s="39">
        <f>GETPIVOTDATA("Avg Profit Margin",$B$3)</f>
        <v>0.47075624043493502</v>
      </c>
      <c r="F5" s="40">
        <f>GETPIVOTDATA("Quantity Sold",$B$3)</f>
        <v>4012</v>
      </c>
      <c r="G5">
        <f>GETPIVOTDATA("No of Brands",$B$3)</f>
        <v>5</v>
      </c>
    </row>
    <row r="7" spans="2:13" x14ac:dyDescent="0.25">
      <c r="B7" s="32" t="s">
        <v>121</v>
      </c>
      <c r="C7" s="37" t="s">
        <v>124</v>
      </c>
      <c r="L7" s="32" t="s">
        <v>136</v>
      </c>
      <c r="M7" t="s">
        <v>135</v>
      </c>
    </row>
    <row r="8" spans="2:13" x14ac:dyDescent="0.25">
      <c r="B8" s="18" t="s">
        <v>113</v>
      </c>
      <c r="C8" s="48">
        <v>43801</v>
      </c>
      <c r="L8" s="18" t="s">
        <v>128</v>
      </c>
      <c r="M8" s="43">
        <v>43801</v>
      </c>
    </row>
    <row r="9" spans="2:13" x14ac:dyDescent="0.25">
      <c r="B9" s="18" t="s">
        <v>114</v>
      </c>
      <c r="C9" s="48">
        <v>40664</v>
      </c>
      <c r="L9" s="18" t="s">
        <v>129</v>
      </c>
      <c r="M9" s="43">
        <v>40664</v>
      </c>
    </row>
    <row r="10" spans="2:13" x14ac:dyDescent="0.25">
      <c r="B10" s="18" t="s">
        <v>115</v>
      </c>
      <c r="C10" s="48">
        <v>45492</v>
      </c>
      <c r="L10" s="18" t="s">
        <v>130</v>
      </c>
      <c r="M10" s="43">
        <v>45492</v>
      </c>
    </row>
    <row r="11" spans="2:13" x14ac:dyDescent="0.25">
      <c r="B11" s="18" t="s">
        <v>116</v>
      </c>
      <c r="C11" s="48">
        <v>44204</v>
      </c>
      <c r="L11" s="18" t="s">
        <v>131</v>
      </c>
      <c r="M11" s="43">
        <v>44204</v>
      </c>
    </row>
    <row r="12" spans="2:13" x14ac:dyDescent="0.25">
      <c r="B12" s="18" t="s">
        <v>117</v>
      </c>
      <c r="C12" s="48">
        <v>44578</v>
      </c>
      <c r="L12" s="18" t="s">
        <v>117</v>
      </c>
      <c r="M12" s="43">
        <v>44578</v>
      </c>
    </row>
    <row r="13" spans="2:13" x14ac:dyDescent="0.25">
      <c r="B13" s="18" t="s">
        <v>118</v>
      </c>
      <c r="C13" s="48">
        <v>70771</v>
      </c>
      <c r="L13" s="18" t="s">
        <v>132</v>
      </c>
      <c r="M13" s="43">
        <v>70771</v>
      </c>
    </row>
    <row r="14" spans="2:13" x14ac:dyDescent="0.25">
      <c r="B14" s="18" t="s">
        <v>119</v>
      </c>
      <c r="C14" s="48">
        <v>49497</v>
      </c>
      <c r="L14" s="18" t="s">
        <v>133</v>
      </c>
      <c r="M14" s="43">
        <v>49497</v>
      </c>
    </row>
    <row r="15" spans="2:13" x14ac:dyDescent="0.25">
      <c r="B15" s="18" t="s">
        <v>120</v>
      </c>
      <c r="C15" s="48">
        <v>16041</v>
      </c>
      <c r="G15" s="28"/>
      <c r="L15" s="18" t="s">
        <v>134</v>
      </c>
      <c r="M15" s="43">
        <v>16041</v>
      </c>
    </row>
    <row r="16" spans="2:13" x14ac:dyDescent="0.25">
      <c r="B16" s="18" t="s">
        <v>112</v>
      </c>
      <c r="C16" s="48">
        <v>355048</v>
      </c>
      <c r="L16" s="18" t="s">
        <v>112</v>
      </c>
      <c r="M16" s="36">
        <v>355048</v>
      </c>
    </row>
    <row r="24" spans="2:3" x14ac:dyDescent="0.25">
      <c r="B24" s="32" t="s">
        <v>122</v>
      </c>
      <c r="C24" s="37" t="s">
        <v>124</v>
      </c>
    </row>
    <row r="25" spans="2:3" x14ac:dyDescent="0.25">
      <c r="B25" s="18" t="s">
        <v>8</v>
      </c>
      <c r="C25" s="33">
        <v>41040</v>
      </c>
    </row>
    <row r="26" spans="2:3" x14ac:dyDescent="0.25">
      <c r="B26" s="18" t="s">
        <v>12</v>
      </c>
      <c r="C26" s="33">
        <v>58576</v>
      </c>
    </row>
    <row r="27" spans="2:3" x14ac:dyDescent="0.25">
      <c r="B27" s="18" t="s">
        <v>9</v>
      </c>
      <c r="C27" s="33">
        <v>63488</v>
      </c>
    </row>
    <row r="28" spans="2:3" x14ac:dyDescent="0.25">
      <c r="B28" s="18" t="s">
        <v>7</v>
      </c>
      <c r="C28" s="33">
        <v>16704</v>
      </c>
    </row>
    <row r="29" spans="2:3" x14ac:dyDescent="0.25">
      <c r="B29" s="18" t="s">
        <v>6</v>
      </c>
      <c r="C29" s="33">
        <v>24462</v>
      </c>
    </row>
    <row r="30" spans="2:3" x14ac:dyDescent="0.25">
      <c r="B30" s="18" t="s">
        <v>5</v>
      </c>
      <c r="C30" s="33">
        <v>51175</v>
      </c>
    </row>
    <row r="31" spans="2:3" x14ac:dyDescent="0.25">
      <c r="B31" s="18" t="s">
        <v>10</v>
      </c>
      <c r="C31" s="33">
        <v>58905</v>
      </c>
    </row>
    <row r="32" spans="2:3" x14ac:dyDescent="0.25">
      <c r="B32" s="18" t="s">
        <v>15</v>
      </c>
      <c r="C32" s="33">
        <v>40698</v>
      </c>
    </row>
    <row r="33" spans="2:3" x14ac:dyDescent="0.25">
      <c r="B33" s="18" t="s">
        <v>112</v>
      </c>
      <c r="C33" s="33">
        <v>355048</v>
      </c>
    </row>
    <row r="41" spans="2:3" x14ac:dyDescent="0.25">
      <c r="B41" s="32" t="s">
        <v>20</v>
      </c>
      <c r="C41" s="37" t="s">
        <v>124</v>
      </c>
    </row>
    <row r="42" spans="2:3" x14ac:dyDescent="0.25">
      <c r="B42" s="18" t="s">
        <v>77</v>
      </c>
      <c r="C42" s="33">
        <v>82917</v>
      </c>
    </row>
    <row r="43" spans="2:3" x14ac:dyDescent="0.25">
      <c r="B43" s="18" t="s">
        <v>37</v>
      </c>
      <c r="C43" s="33">
        <v>179935</v>
      </c>
    </row>
    <row r="44" spans="2:3" x14ac:dyDescent="0.25">
      <c r="B44" s="18" t="s">
        <v>74</v>
      </c>
      <c r="C44" s="33">
        <v>53035</v>
      </c>
    </row>
    <row r="45" spans="2:3" x14ac:dyDescent="0.25">
      <c r="B45" s="18" t="s">
        <v>42</v>
      </c>
      <c r="C45" s="33">
        <v>39161</v>
      </c>
    </row>
    <row r="46" spans="2:3" x14ac:dyDescent="0.25">
      <c r="B46" s="18" t="s">
        <v>112</v>
      </c>
      <c r="C46" s="33">
        <v>355048</v>
      </c>
    </row>
    <row r="58" spans="2:3" x14ac:dyDescent="0.25">
      <c r="B58" s="32" t="s">
        <v>23</v>
      </c>
      <c r="C58" s="37" t="s">
        <v>124</v>
      </c>
    </row>
    <row r="59" spans="2:3" x14ac:dyDescent="0.25">
      <c r="B59" s="18" t="s">
        <v>63</v>
      </c>
      <c r="C59" s="43">
        <v>123543</v>
      </c>
    </row>
    <row r="60" spans="2:3" x14ac:dyDescent="0.25">
      <c r="B60" s="18" t="s">
        <v>30</v>
      </c>
      <c r="C60" s="43">
        <v>54029</v>
      </c>
    </row>
    <row r="61" spans="2:3" x14ac:dyDescent="0.25">
      <c r="B61" s="18" t="s">
        <v>75</v>
      </c>
      <c r="C61" s="43">
        <v>43855</v>
      </c>
    </row>
    <row r="62" spans="2:3" x14ac:dyDescent="0.25">
      <c r="B62" s="18" t="s">
        <v>95</v>
      </c>
      <c r="C62" s="43">
        <v>38824</v>
      </c>
    </row>
    <row r="63" spans="2:3" x14ac:dyDescent="0.25">
      <c r="B63" s="18" t="s">
        <v>72</v>
      </c>
      <c r="C63" s="43">
        <v>94797</v>
      </c>
    </row>
    <row r="64" spans="2:3" x14ac:dyDescent="0.25">
      <c r="B64" s="18" t="s">
        <v>112</v>
      </c>
      <c r="C64" s="33">
        <v>355048</v>
      </c>
    </row>
    <row r="74" spans="2:15" x14ac:dyDescent="0.25">
      <c r="C74" s="18"/>
      <c r="D74" s="18"/>
      <c r="E74" s="18"/>
      <c r="F74" s="18"/>
      <c r="G74" s="18"/>
      <c r="H74" s="18"/>
    </row>
    <row r="75" spans="2:15" x14ac:dyDescent="0.25">
      <c r="B75" s="32" t="s">
        <v>24</v>
      </c>
      <c r="C75" s="37" t="s">
        <v>123</v>
      </c>
      <c r="D75" s="37" t="s">
        <v>124</v>
      </c>
      <c r="E75" s="36"/>
      <c r="F75" s="36"/>
      <c r="G75" s="36"/>
      <c r="H75" s="36"/>
    </row>
    <row r="76" spans="2:15" x14ac:dyDescent="0.25">
      <c r="B76" s="18" t="s">
        <v>53</v>
      </c>
      <c r="C76" s="50">
        <v>17892</v>
      </c>
      <c r="D76" s="50">
        <v>39127</v>
      </c>
      <c r="M76" t="str">
        <f>B76</f>
        <v>USA</v>
      </c>
      <c r="N76" s="47">
        <f>C76</f>
        <v>17892</v>
      </c>
      <c r="O76" s="43">
        <f>D76</f>
        <v>39127</v>
      </c>
    </row>
    <row r="77" spans="2:15" x14ac:dyDescent="0.25">
      <c r="B77" s="18" t="s">
        <v>47</v>
      </c>
      <c r="C77" s="50">
        <v>15393</v>
      </c>
      <c r="D77" s="50">
        <v>32871</v>
      </c>
    </row>
    <row r="78" spans="2:15" x14ac:dyDescent="0.25">
      <c r="B78" s="18" t="s">
        <v>51</v>
      </c>
      <c r="C78" s="50">
        <v>14468</v>
      </c>
      <c r="D78" s="50">
        <v>32026</v>
      </c>
    </row>
    <row r="79" spans="2:15" x14ac:dyDescent="0.25">
      <c r="B79" s="18" t="s">
        <v>78</v>
      </c>
      <c r="C79" s="50">
        <v>13584</v>
      </c>
      <c r="D79" s="50">
        <v>30124</v>
      </c>
    </row>
    <row r="80" spans="2:15" x14ac:dyDescent="0.25">
      <c r="B80" s="18" t="s">
        <v>64</v>
      </c>
      <c r="C80" s="50">
        <v>13441</v>
      </c>
      <c r="D80" s="50">
        <v>29392</v>
      </c>
    </row>
    <row r="81" spans="2:4" x14ac:dyDescent="0.25">
      <c r="B81" s="18" t="s">
        <v>91</v>
      </c>
      <c r="C81" s="50">
        <v>11974</v>
      </c>
      <c r="D81" s="50">
        <v>26595</v>
      </c>
    </row>
    <row r="82" spans="2:4" x14ac:dyDescent="0.25">
      <c r="B82" s="18" t="s">
        <v>61</v>
      </c>
      <c r="C82" s="50">
        <v>12210</v>
      </c>
      <c r="D82" s="50">
        <v>26531</v>
      </c>
    </row>
    <row r="83" spans="2:4" x14ac:dyDescent="0.25">
      <c r="B83" s="18" t="s">
        <v>31</v>
      </c>
      <c r="C83" s="50">
        <v>11798</v>
      </c>
      <c r="D83" s="50">
        <v>25851</v>
      </c>
    </row>
    <row r="84" spans="2:4" x14ac:dyDescent="0.25">
      <c r="B84" s="18" t="s">
        <v>73</v>
      </c>
      <c r="C84" s="50">
        <v>9548</v>
      </c>
      <c r="D84" s="50">
        <v>20810</v>
      </c>
    </row>
    <row r="85" spans="2:4" x14ac:dyDescent="0.25">
      <c r="B85" s="18" t="s">
        <v>40</v>
      </c>
      <c r="C85" s="50">
        <v>9638</v>
      </c>
      <c r="D85" s="50">
        <v>20798</v>
      </c>
    </row>
    <row r="86" spans="2:4" x14ac:dyDescent="0.25">
      <c r="B86" s="18" t="s">
        <v>66</v>
      </c>
      <c r="C86" s="50">
        <v>9010</v>
      </c>
      <c r="D86" s="50">
        <v>20204</v>
      </c>
    </row>
    <row r="87" spans="2:4" x14ac:dyDescent="0.25">
      <c r="B87" s="18" t="s">
        <v>59</v>
      </c>
      <c r="C87" s="50">
        <v>8476</v>
      </c>
      <c r="D87" s="50">
        <v>18562</v>
      </c>
    </row>
    <row r="88" spans="2:4" x14ac:dyDescent="0.25">
      <c r="B88" s="18" t="s">
        <v>43</v>
      </c>
      <c r="C88" s="50">
        <v>8102</v>
      </c>
      <c r="D88" s="50">
        <v>17565</v>
      </c>
    </row>
    <row r="89" spans="2:4" x14ac:dyDescent="0.25">
      <c r="B89" s="18" t="s">
        <v>84</v>
      </c>
      <c r="C89" s="50">
        <v>6801</v>
      </c>
      <c r="D89" s="50">
        <v>14592</v>
      </c>
    </row>
    <row r="90" spans="2:4" x14ac:dyDescent="0.25">
      <c r="B90" s="18" t="s">
        <v>112</v>
      </c>
      <c r="C90" s="49">
        <v>162335</v>
      </c>
      <c r="D90" s="49">
        <v>355048</v>
      </c>
    </row>
    <row r="94" spans="2:4" x14ac:dyDescent="0.25">
      <c r="B94" s="32" t="s">
        <v>26</v>
      </c>
      <c r="C94" s="18" t="s">
        <v>127</v>
      </c>
    </row>
    <row r="95" spans="2:4" x14ac:dyDescent="0.25">
      <c r="B95" s="18" t="s">
        <v>32</v>
      </c>
      <c r="C95">
        <v>135</v>
      </c>
    </row>
    <row r="96" spans="2:4" x14ac:dyDescent="0.25">
      <c r="B96" s="18" t="s">
        <v>36</v>
      </c>
      <c r="C96">
        <v>137</v>
      </c>
    </row>
    <row r="97" spans="2:3" x14ac:dyDescent="0.25">
      <c r="B97" s="18" t="s">
        <v>54</v>
      </c>
      <c r="C97">
        <v>125</v>
      </c>
    </row>
    <row r="98" spans="2:3" x14ac:dyDescent="0.25">
      <c r="B98" s="18" t="s">
        <v>62</v>
      </c>
      <c r="C98">
        <v>103</v>
      </c>
    </row>
    <row r="99" spans="2:3" x14ac:dyDescent="0.25">
      <c r="B99" s="18" t="s">
        <v>112</v>
      </c>
      <c r="C99" s="33">
        <v>500</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12"/>
  <sheetViews>
    <sheetView showGridLines="0" workbookViewId="0">
      <selection activeCell="D26" sqref="D26"/>
    </sheetView>
  </sheetViews>
  <sheetFormatPr defaultColWidth="14.42578125" defaultRowHeight="15" customHeight="1" x14ac:dyDescent="0.25"/>
  <cols>
    <col min="1" max="4" width="137.5703125" customWidth="1"/>
  </cols>
  <sheetData>
    <row r="2" spans="1:1" x14ac:dyDescent="0.25">
      <c r="A2" s="27" t="s">
        <v>2</v>
      </c>
    </row>
    <row r="3" spans="1:1" ht="15" customHeight="1" x14ac:dyDescent="0.25">
      <c r="A3" s="1" t="s">
        <v>11</v>
      </c>
    </row>
    <row r="4" spans="1:1" ht="15" customHeight="1" x14ac:dyDescent="0.25">
      <c r="A4" s="1" t="s">
        <v>13</v>
      </c>
    </row>
    <row r="5" spans="1:1" x14ac:dyDescent="0.25">
      <c r="A5" s="1" t="s">
        <v>14</v>
      </c>
    </row>
    <row r="6" spans="1:1" x14ac:dyDescent="0.25">
      <c r="A6" s="1" t="s">
        <v>16</v>
      </c>
    </row>
    <row r="7" spans="1:1" x14ac:dyDescent="0.25">
      <c r="A7" s="1" t="s">
        <v>17</v>
      </c>
    </row>
    <row r="8" spans="1:1" x14ac:dyDescent="0.25">
      <c r="A8" s="1" t="s">
        <v>18</v>
      </c>
    </row>
    <row r="9" spans="1:1" x14ac:dyDescent="0.25">
      <c r="A9" s="1" t="s">
        <v>19</v>
      </c>
    </row>
    <row r="10" spans="1:1" x14ac:dyDescent="0.25">
      <c r="A10" s="1" t="s">
        <v>21</v>
      </c>
    </row>
    <row r="11" spans="1:1" x14ac:dyDescent="0.25"/>
    <row r="12" spans="1: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7516-98D4-4FAB-B013-23195F08B04F}">
  <dimension ref="A1:H501"/>
  <sheetViews>
    <sheetView workbookViewId="0">
      <selection activeCell="D26" sqref="D26"/>
    </sheetView>
  </sheetViews>
  <sheetFormatPr defaultRowHeight="15" x14ac:dyDescent="0.25"/>
  <cols>
    <col min="1" max="1" width="15.85546875" bestFit="1" customWidth="1"/>
    <col min="2" max="2" width="12.28515625" bestFit="1" customWidth="1"/>
    <col min="3" max="3" width="11.140625" bestFit="1" customWidth="1"/>
    <col min="4" max="4" width="8" bestFit="1" customWidth="1"/>
    <col min="5" max="5" width="13.85546875" bestFit="1" customWidth="1"/>
    <col min="6" max="7" width="11" bestFit="1" customWidth="1"/>
    <col min="8" max="8" width="16" bestFit="1" customWidth="1"/>
  </cols>
  <sheetData>
    <row r="1" spans="1:8" x14ac:dyDescent="0.25">
      <c r="A1" t="s">
        <v>1</v>
      </c>
      <c r="B1" t="s">
        <v>0</v>
      </c>
      <c r="C1" t="s">
        <v>20</v>
      </c>
      <c r="D1" t="s">
        <v>22</v>
      </c>
      <c r="E1" t="s">
        <v>23</v>
      </c>
      <c r="F1" t="s">
        <v>24</v>
      </c>
      <c r="G1" t="s">
        <v>25</v>
      </c>
      <c r="H1" t="s">
        <v>26</v>
      </c>
    </row>
    <row r="2" spans="1:8" x14ac:dyDescent="0.25">
      <c r="A2" s="26">
        <v>46161</v>
      </c>
      <c r="B2" t="s">
        <v>5</v>
      </c>
      <c r="C2" t="s">
        <v>28</v>
      </c>
      <c r="D2" t="s">
        <v>29</v>
      </c>
      <c r="E2" t="s">
        <v>30</v>
      </c>
      <c r="F2" t="s">
        <v>31</v>
      </c>
      <c r="G2">
        <v>7</v>
      </c>
      <c r="H2" t="s">
        <v>32</v>
      </c>
    </row>
    <row r="3" spans="1:8" x14ac:dyDescent="0.25">
      <c r="A3" s="26">
        <v>46199</v>
      </c>
      <c r="B3" t="s">
        <v>6</v>
      </c>
      <c r="C3" t="s">
        <v>28</v>
      </c>
      <c r="D3" t="s">
        <v>34</v>
      </c>
      <c r="E3" t="s">
        <v>30</v>
      </c>
      <c r="F3" t="s">
        <v>31</v>
      </c>
      <c r="G3">
        <v>1</v>
      </c>
      <c r="H3" t="s">
        <v>36</v>
      </c>
    </row>
    <row r="4" spans="1:8" x14ac:dyDescent="0.25">
      <c r="A4" s="26">
        <v>46172</v>
      </c>
      <c r="B4" t="s">
        <v>7</v>
      </c>
      <c r="C4" t="s">
        <v>28</v>
      </c>
      <c r="D4" t="s">
        <v>38</v>
      </c>
      <c r="E4" t="s">
        <v>63</v>
      </c>
      <c r="F4" t="s">
        <v>40</v>
      </c>
      <c r="G4">
        <v>7</v>
      </c>
      <c r="H4" t="s">
        <v>32</v>
      </c>
    </row>
    <row r="5" spans="1:8" x14ac:dyDescent="0.25">
      <c r="A5" s="26">
        <v>46214</v>
      </c>
      <c r="B5" t="s">
        <v>8</v>
      </c>
      <c r="C5" t="s">
        <v>48</v>
      </c>
      <c r="D5" t="s">
        <v>34</v>
      </c>
      <c r="E5" t="s">
        <v>30</v>
      </c>
      <c r="F5" t="s">
        <v>43</v>
      </c>
      <c r="G5">
        <v>6</v>
      </c>
      <c r="H5" t="s">
        <v>32</v>
      </c>
    </row>
    <row r="6" spans="1:8" x14ac:dyDescent="0.25">
      <c r="A6" s="26">
        <v>46130</v>
      </c>
      <c r="B6" t="s">
        <v>8</v>
      </c>
      <c r="C6" t="s">
        <v>71</v>
      </c>
      <c r="D6" t="s">
        <v>29</v>
      </c>
      <c r="E6" t="s">
        <v>63</v>
      </c>
      <c r="F6" t="s">
        <v>47</v>
      </c>
      <c r="G6">
        <v>6</v>
      </c>
      <c r="H6" t="s">
        <v>32</v>
      </c>
    </row>
    <row r="7" spans="1:8" x14ac:dyDescent="0.25">
      <c r="A7" s="26">
        <v>46093</v>
      </c>
      <c r="B7" t="s">
        <v>9</v>
      </c>
      <c r="C7" t="s">
        <v>48</v>
      </c>
      <c r="D7" t="s">
        <v>49</v>
      </c>
      <c r="E7" t="s">
        <v>30</v>
      </c>
      <c r="F7" t="s">
        <v>51</v>
      </c>
      <c r="G7">
        <v>6</v>
      </c>
      <c r="H7" t="s">
        <v>36</v>
      </c>
    </row>
    <row r="8" spans="1:8" x14ac:dyDescent="0.25">
      <c r="A8" s="26">
        <v>46191</v>
      </c>
      <c r="B8" t="s">
        <v>9</v>
      </c>
      <c r="C8" t="s">
        <v>28</v>
      </c>
      <c r="D8" t="s">
        <v>38</v>
      </c>
      <c r="E8" t="s">
        <v>63</v>
      </c>
      <c r="F8" t="s">
        <v>53</v>
      </c>
      <c r="G8">
        <v>13</v>
      </c>
      <c r="H8" t="s">
        <v>54</v>
      </c>
    </row>
    <row r="9" spans="1:8" x14ac:dyDescent="0.25">
      <c r="A9" s="26">
        <v>46212</v>
      </c>
      <c r="B9" t="s">
        <v>105</v>
      </c>
      <c r="C9" t="s">
        <v>28</v>
      </c>
      <c r="D9" t="s">
        <v>56</v>
      </c>
      <c r="E9" t="s">
        <v>95</v>
      </c>
      <c r="F9" t="s">
        <v>53</v>
      </c>
      <c r="G9">
        <v>12</v>
      </c>
      <c r="H9" t="s">
        <v>54</v>
      </c>
    </row>
    <row r="10" spans="1:8" x14ac:dyDescent="0.25">
      <c r="A10" s="26">
        <v>46038</v>
      </c>
      <c r="B10" t="s">
        <v>7</v>
      </c>
      <c r="C10" t="s">
        <v>28</v>
      </c>
      <c r="D10" t="s">
        <v>38</v>
      </c>
      <c r="E10" t="s">
        <v>63</v>
      </c>
      <c r="F10" t="s">
        <v>59</v>
      </c>
      <c r="G10">
        <v>10</v>
      </c>
      <c r="H10" t="s">
        <v>54</v>
      </c>
    </row>
    <row r="11" spans="1:8" x14ac:dyDescent="0.25">
      <c r="A11" s="26">
        <v>46182</v>
      </c>
      <c r="B11" t="s">
        <v>10</v>
      </c>
      <c r="C11" t="s">
        <v>28</v>
      </c>
      <c r="D11" t="s">
        <v>34</v>
      </c>
      <c r="E11" t="s">
        <v>63</v>
      </c>
      <c r="F11" t="s">
        <v>61</v>
      </c>
      <c r="G11">
        <v>15</v>
      </c>
      <c r="H11" t="s">
        <v>62</v>
      </c>
    </row>
    <row r="12" spans="1:8" x14ac:dyDescent="0.25">
      <c r="A12" s="26">
        <v>46132</v>
      </c>
      <c r="B12" t="s">
        <v>8</v>
      </c>
      <c r="C12" t="s">
        <v>28</v>
      </c>
      <c r="D12" t="s">
        <v>56</v>
      </c>
      <c r="E12" t="s">
        <v>63</v>
      </c>
      <c r="F12" t="s">
        <v>64</v>
      </c>
      <c r="G12">
        <v>8</v>
      </c>
      <c r="H12" t="s">
        <v>32</v>
      </c>
    </row>
    <row r="13" spans="1:8" x14ac:dyDescent="0.25">
      <c r="A13" s="26">
        <v>46097</v>
      </c>
      <c r="B13" t="s">
        <v>6</v>
      </c>
      <c r="C13" t="s">
        <v>71</v>
      </c>
      <c r="D13" t="s">
        <v>38</v>
      </c>
      <c r="E13" t="s">
        <v>63</v>
      </c>
      <c r="F13" t="s">
        <v>59</v>
      </c>
      <c r="G13">
        <v>9</v>
      </c>
      <c r="H13" t="s">
        <v>54</v>
      </c>
    </row>
    <row r="14" spans="1:8" x14ac:dyDescent="0.25">
      <c r="A14" s="26">
        <v>46146</v>
      </c>
      <c r="B14" t="s">
        <v>106</v>
      </c>
      <c r="C14" t="s">
        <v>48</v>
      </c>
      <c r="D14" t="s">
        <v>38</v>
      </c>
      <c r="E14" t="s">
        <v>30</v>
      </c>
      <c r="F14" t="s">
        <v>66</v>
      </c>
      <c r="G14">
        <v>14</v>
      </c>
      <c r="H14" t="s">
        <v>32</v>
      </c>
    </row>
    <row r="15" spans="1:8" x14ac:dyDescent="0.25">
      <c r="A15" s="26">
        <v>46031</v>
      </c>
      <c r="B15" t="s">
        <v>10</v>
      </c>
      <c r="C15" t="s">
        <v>28</v>
      </c>
      <c r="D15" t="s">
        <v>38</v>
      </c>
      <c r="E15" t="s">
        <v>95</v>
      </c>
      <c r="F15" t="s">
        <v>40</v>
      </c>
      <c r="G15">
        <v>4</v>
      </c>
      <c r="H15" t="s">
        <v>36</v>
      </c>
    </row>
    <row r="16" spans="1:8" x14ac:dyDescent="0.25">
      <c r="A16" s="26">
        <v>46199</v>
      </c>
      <c r="B16" t="s">
        <v>15</v>
      </c>
      <c r="C16" t="s">
        <v>28</v>
      </c>
      <c r="D16" t="s">
        <v>29</v>
      </c>
      <c r="E16" t="s">
        <v>72</v>
      </c>
      <c r="F16" t="s">
        <v>31</v>
      </c>
      <c r="G16">
        <v>6</v>
      </c>
      <c r="H16" t="s">
        <v>36</v>
      </c>
    </row>
    <row r="17" spans="1:8" x14ac:dyDescent="0.25">
      <c r="A17" s="26">
        <v>46226</v>
      </c>
      <c r="B17" t="s">
        <v>7</v>
      </c>
      <c r="C17" t="s">
        <v>71</v>
      </c>
      <c r="D17" t="s">
        <v>38</v>
      </c>
      <c r="E17" t="s">
        <v>72</v>
      </c>
      <c r="F17" t="s">
        <v>73</v>
      </c>
      <c r="G17">
        <v>10</v>
      </c>
      <c r="H17" t="s">
        <v>54</v>
      </c>
    </row>
    <row r="18" spans="1:8" x14ac:dyDescent="0.25">
      <c r="A18" s="26">
        <v>46125</v>
      </c>
      <c r="B18" t="s">
        <v>8</v>
      </c>
      <c r="C18" t="s">
        <v>87</v>
      </c>
      <c r="D18" t="s">
        <v>29</v>
      </c>
      <c r="E18" t="s">
        <v>75</v>
      </c>
      <c r="F18" t="s">
        <v>40</v>
      </c>
      <c r="G18">
        <v>7</v>
      </c>
      <c r="H18" t="s">
        <v>32</v>
      </c>
    </row>
    <row r="19" spans="1:8" x14ac:dyDescent="0.25">
      <c r="A19" s="26">
        <v>46162</v>
      </c>
      <c r="B19" t="s">
        <v>7</v>
      </c>
      <c r="C19" t="s">
        <v>71</v>
      </c>
      <c r="D19" t="s">
        <v>49</v>
      </c>
      <c r="E19" t="s">
        <v>63</v>
      </c>
      <c r="F19" t="s">
        <v>47</v>
      </c>
      <c r="G19">
        <v>7</v>
      </c>
      <c r="H19" t="s">
        <v>62</v>
      </c>
    </row>
    <row r="20" spans="1:8" x14ac:dyDescent="0.25">
      <c r="A20" s="26">
        <v>46112</v>
      </c>
      <c r="B20" t="s">
        <v>10</v>
      </c>
      <c r="C20" t="s">
        <v>87</v>
      </c>
      <c r="D20" t="s">
        <v>34</v>
      </c>
      <c r="E20" t="s">
        <v>63</v>
      </c>
      <c r="F20" t="s">
        <v>47</v>
      </c>
      <c r="G20">
        <v>11</v>
      </c>
      <c r="H20" t="s">
        <v>54</v>
      </c>
    </row>
    <row r="21" spans="1:8" x14ac:dyDescent="0.25">
      <c r="A21" s="26">
        <v>46147</v>
      </c>
      <c r="B21" t="s">
        <v>8</v>
      </c>
      <c r="C21" t="s">
        <v>48</v>
      </c>
      <c r="D21" t="s">
        <v>29</v>
      </c>
      <c r="E21" t="s">
        <v>30</v>
      </c>
      <c r="F21" t="s">
        <v>78</v>
      </c>
      <c r="G21">
        <v>6</v>
      </c>
      <c r="H21" t="s">
        <v>54</v>
      </c>
    </row>
    <row r="22" spans="1:8" x14ac:dyDescent="0.25">
      <c r="A22" s="26">
        <v>46241</v>
      </c>
      <c r="B22" t="s">
        <v>5</v>
      </c>
      <c r="C22" t="s">
        <v>28</v>
      </c>
      <c r="D22" t="s">
        <v>29</v>
      </c>
      <c r="E22" t="s">
        <v>63</v>
      </c>
      <c r="F22" t="s">
        <v>66</v>
      </c>
      <c r="G22">
        <v>8</v>
      </c>
      <c r="H22" t="s">
        <v>36</v>
      </c>
    </row>
    <row r="23" spans="1:8" x14ac:dyDescent="0.25">
      <c r="A23" s="26">
        <v>46217</v>
      </c>
      <c r="B23" t="s">
        <v>12</v>
      </c>
      <c r="C23" t="s">
        <v>71</v>
      </c>
      <c r="D23" t="s">
        <v>38</v>
      </c>
      <c r="E23" t="s">
        <v>75</v>
      </c>
      <c r="F23" t="s">
        <v>59</v>
      </c>
      <c r="G23">
        <v>5</v>
      </c>
      <c r="H23" t="s">
        <v>62</v>
      </c>
    </row>
    <row r="24" spans="1:8" x14ac:dyDescent="0.25">
      <c r="A24" s="26">
        <v>46034</v>
      </c>
      <c r="B24" t="s">
        <v>10</v>
      </c>
      <c r="C24" t="s">
        <v>28</v>
      </c>
      <c r="D24" t="s">
        <v>38</v>
      </c>
      <c r="E24" t="s">
        <v>75</v>
      </c>
      <c r="F24" t="s">
        <v>78</v>
      </c>
      <c r="G24">
        <v>15</v>
      </c>
      <c r="H24" t="s">
        <v>36</v>
      </c>
    </row>
    <row r="25" spans="1:8" x14ac:dyDescent="0.25">
      <c r="A25" s="26">
        <v>46050</v>
      </c>
      <c r="B25" t="s">
        <v>9</v>
      </c>
      <c r="C25" t="s">
        <v>28</v>
      </c>
      <c r="D25" t="s">
        <v>38</v>
      </c>
      <c r="E25" t="s">
        <v>75</v>
      </c>
      <c r="F25" t="s">
        <v>61</v>
      </c>
      <c r="G25">
        <v>1</v>
      </c>
      <c r="H25" t="s">
        <v>36</v>
      </c>
    </row>
    <row r="26" spans="1:8" x14ac:dyDescent="0.25">
      <c r="A26" s="26">
        <v>46035</v>
      </c>
      <c r="B26" t="s">
        <v>8</v>
      </c>
      <c r="C26" t="s">
        <v>71</v>
      </c>
      <c r="D26" t="s">
        <v>49</v>
      </c>
      <c r="E26" t="s">
        <v>63</v>
      </c>
      <c r="F26" t="s">
        <v>51</v>
      </c>
      <c r="G26">
        <v>12</v>
      </c>
      <c r="H26" t="s">
        <v>54</v>
      </c>
    </row>
    <row r="27" spans="1:8" x14ac:dyDescent="0.25">
      <c r="A27" s="26">
        <v>46094</v>
      </c>
      <c r="B27" t="s">
        <v>6</v>
      </c>
      <c r="C27" t="s">
        <v>48</v>
      </c>
      <c r="D27" t="s">
        <v>38</v>
      </c>
      <c r="E27" t="s">
        <v>75</v>
      </c>
      <c r="F27" t="s">
        <v>64</v>
      </c>
      <c r="G27">
        <v>9</v>
      </c>
      <c r="H27" t="s">
        <v>62</v>
      </c>
    </row>
    <row r="28" spans="1:8" x14ac:dyDescent="0.25">
      <c r="A28" s="26">
        <v>46214</v>
      </c>
      <c r="B28" t="s">
        <v>10</v>
      </c>
      <c r="C28" t="s">
        <v>28</v>
      </c>
      <c r="D28" t="s">
        <v>38</v>
      </c>
      <c r="E28" t="s">
        <v>63</v>
      </c>
      <c r="F28" t="s">
        <v>51</v>
      </c>
      <c r="G28">
        <v>5</v>
      </c>
      <c r="H28" t="s">
        <v>62</v>
      </c>
    </row>
    <row r="29" spans="1:8" x14ac:dyDescent="0.25">
      <c r="A29" s="26">
        <v>46091</v>
      </c>
      <c r="B29" t="s">
        <v>6</v>
      </c>
      <c r="C29" t="s">
        <v>71</v>
      </c>
      <c r="D29" t="s">
        <v>38</v>
      </c>
      <c r="E29" t="s">
        <v>63</v>
      </c>
      <c r="F29" t="s">
        <v>78</v>
      </c>
      <c r="G29">
        <v>8</v>
      </c>
      <c r="H29" t="s">
        <v>32</v>
      </c>
    </row>
    <row r="30" spans="1:8" x14ac:dyDescent="0.25">
      <c r="A30" s="26">
        <v>46142</v>
      </c>
      <c r="B30" t="s">
        <v>10</v>
      </c>
      <c r="C30" t="s">
        <v>28</v>
      </c>
      <c r="D30" t="s">
        <v>29</v>
      </c>
      <c r="E30" t="s">
        <v>72</v>
      </c>
      <c r="F30" t="s">
        <v>40</v>
      </c>
      <c r="G30">
        <v>2</v>
      </c>
      <c r="H30" t="s">
        <v>32</v>
      </c>
    </row>
    <row r="31" spans="1:8" x14ac:dyDescent="0.25">
      <c r="A31" s="26">
        <v>46068</v>
      </c>
      <c r="B31" t="s">
        <v>5</v>
      </c>
      <c r="C31" t="s">
        <v>28</v>
      </c>
      <c r="D31" t="s">
        <v>49</v>
      </c>
      <c r="E31" t="s">
        <v>72</v>
      </c>
      <c r="F31" t="s">
        <v>84</v>
      </c>
      <c r="G31">
        <v>7</v>
      </c>
      <c r="H31" t="s">
        <v>54</v>
      </c>
    </row>
    <row r="32" spans="1:8" x14ac:dyDescent="0.25">
      <c r="A32" s="26">
        <v>46219</v>
      </c>
      <c r="B32" t="s">
        <v>12</v>
      </c>
      <c r="C32" t="s">
        <v>28</v>
      </c>
      <c r="D32" t="s">
        <v>29</v>
      </c>
      <c r="E32" t="s">
        <v>75</v>
      </c>
      <c r="F32" t="s">
        <v>66</v>
      </c>
      <c r="G32">
        <v>12</v>
      </c>
      <c r="H32" t="s">
        <v>62</v>
      </c>
    </row>
    <row r="33" spans="1:8" x14ac:dyDescent="0.25">
      <c r="A33" s="26">
        <v>46185</v>
      </c>
      <c r="B33" t="s">
        <v>86</v>
      </c>
      <c r="C33" t="s">
        <v>28</v>
      </c>
      <c r="D33" t="s">
        <v>49</v>
      </c>
      <c r="E33" t="s">
        <v>63</v>
      </c>
      <c r="F33" t="s">
        <v>78</v>
      </c>
      <c r="G33">
        <v>15</v>
      </c>
      <c r="H33" t="s">
        <v>36</v>
      </c>
    </row>
    <row r="34" spans="1:8" x14ac:dyDescent="0.25">
      <c r="A34" s="26">
        <v>46236</v>
      </c>
      <c r="B34" t="s">
        <v>8</v>
      </c>
      <c r="C34" t="s">
        <v>28</v>
      </c>
      <c r="D34" t="s">
        <v>29</v>
      </c>
      <c r="E34" t="s">
        <v>72</v>
      </c>
      <c r="F34" t="s">
        <v>31</v>
      </c>
      <c r="G34">
        <v>7</v>
      </c>
      <c r="H34" t="s">
        <v>62</v>
      </c>
    </row>
    <row r="35" spans="1:8" x14ac:dyDescent="0.25">
      <c r="A35" s="26">
        <v>46111</v>
      </c>
      <c r="B35" t="s">
        <v>12</v>
      </c>
      <c r="C35" t="s">
        <v>28</v>
      </c>
      <c r="D35" t="s">
        <v>34</v>
      </c>
      <c r="E35" t="s">
        <v>30</v>
      </c>
      <c r="F35" t="s">
        <v>61</v>
      </c>
      <c r="G35">
        <v>10</v>
      </c>
      <c r="H35" t="s">
        <v>32</v>
      </c>
    </row>
    <row r="36" spans="1:8" x14ac:dyDescent="0.25">
      <c r="A36" s="26">
        <v>46132</v>
      </c>
      <c r="B36" t="s">
        <v>5</v>
      </c>
      <c r="C36" t="s">
        <v>87</v>
      </c>
      <c r="D36" t="s">
        <v>38</v>
      </c>
      <c r="E36" t="s">
        <v>30</v>
      </c>
      <c r="F36" t="s">
        <v>73</v>
      </c>
      <c r="G36">
        <v>7</v>
      </c>
      <c r="H36" t="s">
        <v>32</v>
      </c>
    </row>
    <row r="37" spans="1:8" x14ac:dyDescent="0.25">
      <c r="A37" s="26">
        <v>46228</v>
      </c>
      <c r="B37" t="s">
        <v>8</v>
      </c>
      <c r="C37" t="s">
        <v>28</v>
      </c>
      <c r="D37" t="s">
        <v>29</v>
      </c>
      <c r="E37" t="s">
        <v>95</v>
      </c>
      <c r="F37" t="s">
        <v>43</v>
      </c>
      <c r="G37">
        <v>5</v>
      </c>
      <c r="H37" t="s">
        <v>36</v>
      </c>
    </row>
    <row r="38" spans="1:8" x14ac:dyDescent="0.25">
      <c r="A38" s="26">
        <v>46176</v>
      </c>
      <c r="B38" t="s">
        <v>8</v>
      </c>
      <c r="C38" t="s">
        <v>28</v>
      </c>
      <c r="D38" t="s">
        <v>29</v>
      </c>
      <c r="E38" t="s">
        <v>63</v>
      </c>
      <c r="F38" t="s">
        <v>64</v>
      </c>
      <c r="G38">
        <v>11</v>
      </c>
      <c r="H38" t="s">
        <v>32</v>
      </c>
    </row>
    <row r="39" spans="1:8" x14ac:dyDescent="0.25">
      <c r="A39" s="26">
        <v>46226</v>
      </c>
      <c r="B39" t="s">
        <v>15</v>
      </c>
      <c r="C39" t="s">
        <v>71</v>
      </c>
      <c r="D39" t="s">
        <v>29</v>
      </c>
      <c r="E39" t="s">
        <v>72</v>
      </c>
      <c r="F39" t="s">
        <v>78</v>
      </c>
      <c r="G39">
        <v>10</v>
      </c>
      <c r="H39" t="s">
        <v>32</v>
      </c>
    </row>
    <row r="40" spans="1:8" x14ac:dyDescent="0.25">
      <c r="A40" s="26">
        <v>46228</v>
      </c>
      <c r="B40" t="s">
        <v>6</v>
      </c>
      <c r="C40" t="s">
        <v>87</v>
      </c>
      <c r="D40" t="s">
        <v>38</v>
      </c>
      <c r="E40" t="s">
        <v>63</v>
      </c>
      <c r="F40" t="s">
        <v>53</v>
      </c>
      <c r="G40">
        <v>10</v>
      </c>
      <c r="H40" t="s">
        <v>62</v>
      </c>
    </row>
    <row r="41" spans="1:8" x14ac:dyDescent="0.25">
      <c r="A41" s="26">
        <v>46176</v>
      </c>
      <c r="B41" t="s">
        <v>10</v>
      </c>
      <c r="C41" t="s">
        <v>28</v>
      </c>
      <c r="D41" t="s">
        <v>29</v>
      </c>
      <c r="E41" t="s">
        <v>75</v>
      </c>
      <c r="F41" t="s">
        <v>66</v>
      </c>
      <c r="G41">
        <v>13</v>
      </c>
      <c r="H41" t="s">
        <v>32</v>
      </c>
    </row>
    <row r="42" spans="1:8" x14ac:dyDescent="0.25">
      <c r="A42" s="26">
        <v>46090</v>
      </c>
      <c r="B42" t="s">
        <v>12</v>
      </c>
      <c r="C42" t="s">
        <v>28</v>
      </c>
      <c r="D42" t="s">
        <v>49</v>
      </c>
      <c r="E42" t="s">
        <v>63</v>
      </c>
      <c r="F42" t="s">
        <v>53</v>
      </c>
      <c r="G42">
        <v>7</v>
      </c>
      <c r="H42" t="s">
        <v>54</v>
      </c>
    </row>
    <row r="43" spans="1:8" x14ac:dyDescent="0.25">
      <c r="A43" s="26">
        <v>46072</v>
      </c>
      <c r="B43" t="s">
        <v>8</v>
      </c>
      <c r="C43" t="s">
        <v>87</v>
      </c>
      <c r="D43" t="s">
        <v>38</v>
      </c>
      <c r="E43" t="s">
        <v>30</v>
      </c>
      <c r="F43" t="s">
        <v>40</v>
      </c>
      <c r="G43">
        <v>14</v>
      </c>
      <c r="H43" t="s">
        <v>54</v>
      </c>
    </row>
    <row r="44" spans="1:8" x14ac:dyDescent="0.25">
      <c r="A44" s="26">
        <v>46220</v>
      </c>
      <c r="B44" t="s">
        <v>10</v>
      </c>
      <c r="C44" t="s">
        <v>87</v>
      </c>
      <c r="D44" t="s">
        <v>38</v>
      </c>
      <c r="E44" t="s">
        <v>63</v>
      </c>
      <c r="F44" t="s">
        <v>51</v>
      </c>
      <c r="G44">
        <v>13</v>
      </c>
      <c r="H44" t="s">
        <v>62</v>
      </c>
    </row>
    <row r="45" spans="1:8" x14ac:dyDescent="0.25">
      <c r="A45" s="26">
        <v>46127</v>
      </c>
      <c r="B45" t="s">
        <v>6</v>
      </c>
      <c r="C45" t="s">
        <v>87</v>
      </c>
      <c r="D45" t="s">
        <v>29</v>
      </c>
      <c r="E45" t="s">
        <v>30</v>
      </c>
      <c r="F45" t="s">
        <v>73</v>
      </c>
      <c r="G45">
        <v>3</v>
      </c>
      <c r="H45" t="s">
        <v>36</v>
      </c>
    </row>
    <row r="46" spans="1:8" x14ac:dyDescent="0.25">
      <c r="A46" s="26">
        <v>46131</v>
      </c>
      <c r="B46" t="s">
        <v>8</v>
      </c>
      <c r="C46" t="s">
        <v>28</v>
      </c>
      <c r="D46" t="s">
        <v>38</v>
      </c>
      <c r="E46" t="s">
        <v>75</v>
      </c>
      <c r="F46" t="s">
        <v>47</v>
      </c>
      <c r="G46">
        <v>1</v>
      </c>
      <c r="H46" t="s">
        <v>32</v>
      </c>
    </row>
    <row r="47" spans="1:8" x14ac:dyDescent="0.25">
      <c r="A47" s="26">
        <v>46165</v>
      </c>
      <c r="B47" t="s">
        <v>12</v>
      </c>
      <c r="C47" t="s">
        <v>28</v>
      </c>
      <c r="D47" t="s">
        <v>29</v>
      </c>
      <c r="E47" t="s">
        <v>63</v>
      </c>
      <c r="F47" t="s">
        <v>66</v>
      </c>
      <c r="G47">
        <v>9</v>
      </c>
      <c r="H47" t="s">
        <v>62</v>
      </c>
    </row>
    <row r="48" spans="1:8" x14ac:dyDescent="0.25">
      <c r="A48" s="26">
        <v>46237</v>
      </c>
      <c r="B48" t="s">
        <v>8</v>
      </c>
      <c r="C48" t="s">
        <v>28</v>
      </c>
      <c r="D48" t="s">
        <v>38</v>
      </c>
      <c r="E48" t="s">
        <v>72</v>
      </c>
      <c r="F48" t="s">
        <v>84</v>
      </c>
      <c r="G48">
        <v>5</v>
      </c>
      <c r="H48" t="s">
        <v>62</v>
      </c>
    </row>
    <row r="49" spans="1:8" x14ac:dyDescent="0.25">
      <c r="A49" s="26">
        <v>46086</v>
      </c>
      <c r="B49" t="s">
        <v>10</v>
      </c>
      <c r="C49" t="s">
        <v>71</v>
      </c>
      <c r="D49" t="s">
        <v>34</v>
      </c>
      <c r="E49" t="s">
        <v>30</v>
      </c>
      <c r="F49" t="s">
        <v>53</v>
      </c>
      <c r="G49">
        <v>11</v>
      </c>
      <c r="H49" t="s">
        <v>62</v>
      </c>
    </row>
    <row r="50" spans="1:8" x14ac:dyDescent="0.25">
      <c r="A50" s="26">
        <v>46110</v>
      </c>
      <c r="B50" t="s">
        <v>6</v>
      </c>
      <c r="C50" t="s">
        <v>28</v>
      </c>
      <c r="D50" t="s">
        <v>34</v>
      </c>
      <c r="E50" t="s">
        <v>72</v>
      </c>
      <c r="F50" t="s">
        <v>53</v>
      </c>
      <c r="G50">
        <v>6</v>
      </c>
      <c r="H50" t="s">
        <v>36</v>
      </c>
    </row>
    <row r="51" spans="1:8" x14ac:dyDescent="0.25">
      <c r="A51" s="26">
        <v>46200</v>
      </c>
      <c r="B51" t="s">
        <v>8</v>
      </c>
      <c r="C51" t="s">
        <v>48</v>
      </c>
      <c r="D51" t="s">
        <v>49</v>
      </c>
      <c r="E51" t="s">
        <v>72</v>
      </c>
      <c r="F51" t="s">
        <v>91</v>
      </c>
      <c r="G51">
        <v>1</v>
      </c>
      <c r="H51" t="s">
        <v>62</v>
      </c>
    </row>
    <row r="52" spans="1:8" x14ac:dyDescent="0.25">
      <c r="A52" s="26">
        <v>46240</v>
      </c>
      <c r="B52" t="s">
        <v>86</v>
      </c>
      <c r="C52" t="s">
        <v>71</v>
      </c>
      <c r="D52" t="s">
        <v>29</v>
      </c>
      <c r="E52" t="s">
        <v>63</v>
      </c>
      <c r="F52" t="s">
        <v>84</v>
      </c>
      <c r="G52">
        <v>4</v>
      </c>
      <c r="H52" t="s">
        <v>32</v>
      </c>
    </row>
    <row r="53" spans="1:8" x14ac:dyDescent="0.25">
      <c r="A53" s="26">
        <v>46051</v>
      </c>
      <c r="B53" t="s">
        <v>10</v>
      </c>
      <c r="C53" t="s">
        <v>48</v>
      </c>
      <c r="D53" t="s">
        <v>34</v>
      </c>
      <c r="E53" t="s">
        <v>63</v>
      </c>
      <c r="F53" t="s">
        <v>64</v>
      </c>
      <c r="G53">
        <v>5</v>
      </c>
      <c r="H53" t="s">
        <v>54</v>
      </c>
    </row>
    <row r="54" spans="1:8" x14ac:dyDescent="0.25">
      <c r="A54" s="26">
        <v>46086</v>
      </c>
      <c r="B54" t="s">
        <v>5</v>
      </c>
      <c r="C54" t="s">
        <v>28</v>
      </c>
      <c r="D54" t="s">
        <v>34</v>
      </c>
      <c r="E54" t="s">
        <v>72</v>
      </c>
      <c r="F54" t="s">
        <v>31</v>
      </c>
      <c r="G54">
        <v>4</v>
      </c>
      <c r="H54" t="s">
        <v>36</v>
      </c>
    </row>
    <row r="55" spans="1:8" x14ac:dyDescent="0.25">
      <c r="A55" s="26">
        <v>46069</v>
      </c>
      <c r="B55" t="s">
        <v>12</v>
      </c>
      <c r="C55" t="s">
        <v>28</v>
      </c>
      <c r="D55" t="s">
        <v>34</v>
      </c>
      <c r="E55" t="s">
        <v>72</v>
      </c>
      <c r="F55" t="s">
        <v>40</v>
      </c>
      <c r="G55">
        <v>1</v>
      </c>
      <c r="H55" t="s">
        <v>62</v>
      </c>
    </row>
    <row r="56" spans="1:8" x14ac:dyDescent="0.25">
      <c r="A56" s="26">
        <v>46109</v>
      </c>
      <c r="B56" t="s">
        <v>9</v>
      </c>
      <c r="C56" t="s">
        <v>28</v>
      </c>
      <c r="D56" t="s">
        <v>29</v>
      </c>
      <c r="E56" t="s">
        <v>30</v>
      </c>
      <c r="F56" t="s">
        <v>78</v>
      </c>
      <c r="G56">
        <v>4</v>
      </c>
      <c r="H56" t="s">
        <v>32</v>
      </c>
    </row>
    <row r="57" spans="1:8" x14ac:dyDescent="0.25">
      <c r="A57" s="26">
        <v>46114</v>
      </c>
      <c r="B57" t="s">
        <v>5</v>
      </c>
      <c r="C57" t="s">
        <v>71</v>
      </c>
      <c r="D57" t="s">
        <v>34</v>
      </c>
      <c r="E57" t="s">
        <v>63</v>
      </c>
      <c r="F57" t="s">
        <v>43</v>
      </c>
      <c r="G57">
        <v>5</v>
      </c>
      <c r="H57" t="s">
        <v>36</v>
      </c>
    </row>
    <row r="58" spans="1:8" x14ac:dyDescent="0.25">
      <c r="A58" s="26">
        <v>46175</v>
      </c>
      <c r="B58" t="s">
        <v>9</v>
      </c>
      <c r="C58" t="s">
        <v>87</v>
      </c>
      <c r="D58" t="s">
        <v>34</v>
      </c>
      <c r="E58" t="s">
        <v>75</v>
      </c>
      <c r="F58" t="s">
        <v>61</v>
      </c>
      <c r="G58">
        <v>2</v>
      </c>
      <c r="H58" t="s">
        <v>54</v>
      </c>
    </row>
    <row r="59" spans="1:8" x14ac:dyDescent="0.25">
      <c r="A59" s="26">
        <v>46045</v>
      </c>
      <c r="B59" t="s">
        <v>15</v>
      </c>
      <c r="C59" t="s">
        <v>28</v>
      </c>
      <c r="D59" t="s">
        <v>29</v>
      </c>
      <c r="E59" t="s">
        <v>30</v>
      </c>
      <c r="F59" t="s">
        <v>40</v>
      </c>
      <c r="G59">
        <v>1</v>
      </c>
      <c r="H59" t="s">
        <v>32</v>
      </c>
    </row>
    <row r="60" spans="1:8" x14ac:dyDescent="0.25">
      <c r="A60" s="26">
        <v>46230</v>
      </c>
      <c r="B60" t="s">
        <v>12</v>
      </c>
      <c r="C60" t="s">
        <v>71</v>
      </c>
      <c r="D60" t="s">
        <v>38</v>
      </c>
      <c r="E60" t="s">
        <v>30</v>
      </c>
      <c r="F60" t="s">
        <v>31</v>
      </c>
      <c r="G60">
        <v>15</v>
      </c>
      <c r="H60" t="s">
        <v>32</v>
      </c>
    </row>
    <row r="61" spans="1:8" x14ac:dyDescent="0.25">
      <c r="A61" s="26">
        <v>46196</v>
      </c>
      <c r="B61" t="s">
        <v>8</v>
      </c>
      <c r="C61" t="s">
        <v>28</v>
      </c>
      <c r="D61" t="s">
        <v>38</v>
      </c>
      <c r="E61" t="s">
        <v>75</v>
      </c>
      <c r="F61" t="s">
        <v>47</v>
      </c>
      <c r="G61">
        <v>11</v>
      </c>
      <c r="H61" t="s">
        <v>62</v>
      </c>
    </row>
    <row r="62" spans="1:8" x14ac:dyDescent="0.25">
      <c r="A62" s="26">
        <v>46121</v>
      </c>
      <c r="B62" t="s">
        <v>10</v>
      </c>
      <c r="C62" t="s">
        <v>48</v>
      </c>
      <c r="D62" t="s">
        <v>29</v>
      </c>
      <c r="E62" t="s">
        <v>63</v>
      </c>
      <c r="F62" t="s">
        <v>51</v>
      </c>
      <c r="G62">
        <v>10</v>
      </c>
      <c r="H62" t="s">
        <v>36</v>
      </c>
    </row>
    <row r="63" spans="1:8" x14ac:dyDescent="0.25">
      <c r="A63" s="26">
        <v>46194</v>
      </c>
      <c r="B63" t="s">
        <v>9</v>
      </c>
      <c r="C63" t="s">
        <v>28</v>
      </c>
      <c r="D63" t="s">
        <v>56</v>
      </c>
      <c r="E63" t="s">
        <v>75</v>
      </c>
      <c r="F63" t="s">
        <v>43</v>
      </c>
      <c r="G63">
        <v>9</v>
      </c>
      <c r="H63" t="s">
        <v>36</v>
      </c>
    </row>
    <row r="64" spans="1:8" x14ac:dyDescent="0.25">
      <c r="A64" s="26">
        <v>46081</v>
      </c>
      <c r="B64" t="s">
        <v>6</v>
      </c>
      <c r="C64" t="s">
        <v>28</v>
      </c>
      <c r="D64" t="s">
        <v>49</v>
      </c>
      <c r="E64" t="s">
        <v>30</v>
      </c>
      <c r="F64" t="s">
        <v>31</v>
      </c>
      <c r="G64">
        <v>1</v>
      </c>
      <c r="H64" t="s">
        <v>32</v>
      </c>
    </row>
    <row r="65" spans="1:8" x14ac:dyDescent="0.25">
      <c r="A65" s="26">
        <v>46197</v>
      </c>
      <c r="B65" t="s">
        <v>10</v>
      </c>
      <c r="C65" t="s">
        <v>28</v>
      </c>
      <c r="D65" t="s">
        <v>38</v>
      </c>
      <c r="E65" t="s">
        <v>72</v>
      </c>
      <c r="F65" t="s">
        <v>61</v>
      </c>
      <c r="G65">
        <v>8</v>
      </c>
      <c r="H65" t="s">
        <v>32</v>
      </c>
    </row>
    <row r="66" spans="1:8" x14ac:dyDescent="0.25">
      <c r="A66" s="26">
        <v>46112</v>
      </c>
      <c r="B66" t="s">
        <v>10</v>
      </c>
      <c r="C66" t="s">
        <v>71</v>
      </c>
      <c r="D66" t="s">
        <v>38</v>
      </c>
      <c r="E66" t="s">
        <v>75</v>
      </c>
      <c r="F66" t="s">
        <v>66</v>
      </c>
      <c r="G66">
        <v>5</v>
      </c>
      <c r="H66" t="s">
        <v>32</v>
      </c>
    </row>
    <row r="67" spans="1:8" x14ac:dyDescent="0.25">
      <c r="A67" s="26">
        <v>46124</v>
      </c>
      <c r="B67" t="s">
        <v>7</v>
      </c>
      <c r="C67" t="s">
        <v>71</v>
      </c>
      <c r="D67" t="s">
        <v>34</v>
      </c>
      <c r="E67" t="s">
        <v>95</v>
      </c>
      <c r="F67" t="s">
        <v>40</v>
      </c>
      <c r="G67">
        <v>14</v>
      </c>
      <c r="H67" t="s">
        <v>36</v>
      </c>
    </row>
    <row r="68" spans="1:8" x14ac:dyDescent="0.25">
      <c r="A68" s="26">
        <v>46161</v>
      </c>
      <c r="B68" t="s">
        <v>5</v>
      </c>
      <c r="C68" t="s">
        <v>87</v>
      </c>
      <c r="D68" t="s">
        <v>56</v>
      </c>
      <c r="E68" t="s">
        <v>63</v>
      </c>
      <c r="F68" t="s">
        <v>47</v>
      </c>
      <c r="G68">
        <v>14</v>
      </c>
      <c r="H68" t="s">
        <v>62</v>
      </c>
    </row>
    <row r="69" spans="1:8" x14ac:dyDescent="0.25">
      <c r="A69" s="26">
        <v>46028</v>
      </c>
      <c r="B69" t="s">
        <v>12</v>
      </c>
      <c r="C69" t="s">
        <v>28</v>
      </c>
      <c r="D69" t="s">
        <v>34</v>
      </c>
      <c r="E69" t="s">
        <v>63</v>
      </c>
      <c r="F69" t="s">
        <v>78</v>
      </c>
      <c r="G69">
        <v>8</v>
      </c>
      <c r="H69" t="s">
        <v>62</v>
      </c>
    </row>
    <row r="70" spans="1:8" x14ac:dyDescent="0.25">
      <c r="A70" s="26">
        <v>46179</v>
      </c>
      <c r="B70" t="s">
        <v>6</v>
      </c>
      <c r="C70" t="s">
        <v>28</v>
      </c>
      <c r="D70" t="s">
        <v>34</v>
      </c>
      <c r="E70" t="s">
        <v>63</v>
      </c>
      <c r="F70" t="s">
        <v>73</v>
      </c>
      <c r="G70">
        <v>7</v>
      </c>
      <c r="H70" t="s">
        <v>32</v>
      </c>
    </row>
    <row r="71" spans="1:8" x14ac:dyDescent="0.25">
      <c r="A71" s="26">
        <v>46182</v>
      </c>
      <c r="B71" t="s">
        <v>12</v>
      </c>
      <c r="C71" t="s">
        <v>87</v>
      </c>
      <c r="D71" t="s">
        <v>38</v>
      </c>
      <c r="E71" t="s">
        <v>63</v>
      </c>
      <c r="F71" t="s">
        <v>73</v>
      </c>
      <c r="G71">
        <v>7</v>
      </c>
      <c r="H71" t="s">
        <v>62</v>
      </c>
    </row>
    <row r="72" spans="1:8" x14ac:dyDescent="0.25">
      <c r="A72" s="26">
        <v>46085</v>
      </c>
      <c r="B72" t="s">
        <v>5</v>
      </c>
      <c r="C72" t="s">
        <v>28</v>
      </c>
      <c r="D72" t="s">
        <v>38</v>
      </c>
      <c r="E72" t="s">
        <v>95</v>
      </c>
      <c r="F72" t="s">
        <v>51</v>
      </c>
      <c r="G72">
        <v>8</v>
      </c>
      <c r="H72" t="s">
        <v>54</v>
      </c>
    </row>
    <row r="73" spans="1:8" x14ac:dyDescent="0.25">
      <c r="A73" s="26">
        <v>46213</v>
      </c>
      <c r="B73" t="s">
        <v>7</v>
      </c>
      <c r="C73" t="s">
        <v>71</v>
      </c>
      <c r="D73" t="s">
        <v>38</v>
      </c>
      <c r="E73" t="s">
        <v>63</v>
      </c>
      <c r="F73" t="s">
        <v>47</v>
      </c>
      <c r="G73">
        <v>9</v>
      </c>
      <c r="H73" t="s">
        <v>62</v>
      </c>
    </row>
    <row r="74" spans="1:8" x14ac:dyDescent="0.25">
      <c r="A74" s="26">
        <v>46089</v>
      </c>
      <c r="B74" t="s">
        <v>8</v>
      </c>
      <c r="C74" t="s">
        <v>28</v>
      </c>
      <c r="D74" t="s">
        <v>56</v>
      </c>
      <c r="E74" t="s">
        <v>72</v>
      </c>
      <c r="F74" t="s">
        <v>47</v>
      </c>
      <c r="G74">
        <v>5</v>
      </c>
      <c r="H74" t="s">
        <v>36</v>
      </c>
    </row>
    <row r="75" spans="1:8" x14ac:dyDescent="0.25">
      <c r="A75" s="26">
        <v>46174</v>
      </c>
      <c r="B75" t="s">
        <v>8</v>
      </c>
      <c r="C75" t="s">
        <v>28</v>
      </c>
      <c r="D75" t="s">
        <v>49</v>
      </c>
      <c r="E75" t="s">
        <v>75</v>
      </c>
      <c r="F75" t="s">
        <v>73</v>
      </c>
      <c r="G75">
        <v>9</v>
      </c>
      <c r="H75" t="s">
        <v>54</v>
      </c>
    </row>
    <row r="76" spans="1:8" x14ac:dyDescent="0.25">
      <c r="A76" s="26">
        <v>46077</v>
      </c>
      <c r="B76" t="s">
        <v>10</v>
      </c>
      <c r="C76" t="s">
        <v>71</v>
      </c>
      <c r="D76" t="s">
        <v>56</v>
      </c>
      <c r="E76" t="s">
        <v>63</v>
      </c>
      <c r="F76" t="s">
        <v>66</v>
      </c>
      <c r="G76">
        <v>7</v>
      </c>
      <c r="H76" t="s">
        <v>36</v>
      </c>
    </row>
    <row r="77" spans="1:8" x14ac:dyDescent="0.25">
      <c r="A77" s="26">
        <v>46148</v>
      </c>
      <c r="B77" t="s">
        <v>10</v>
      </c>
      <c r="C77" t="s">
        <v>28</v>
      </c>
      <c r="D77" t="s">
        <v>38</v>
      </c>
      <c r="E77" t="s">
        <v>63</v>
      </c>
      <c r="F77" t="s">
        <v>31</v>
      </c>
      <c r="G77">
        <v>13</v>
      </c>
      <c r="H77" t="s">
        <v>54</v>
      </c>
    </row>
    <row r="78" spans="1:8" x14ac:dyDescent="0.25">
      <c r="A78" s="26">
        <v>46058</v>
      </c>
      <c r="B78" t="s">
        <v>6</v>
      </c>
      <c r="C78" t="s">
        <v>28</v>
      </c>
      <c r="D78" t="s">
        <v>49</v>
      </c>
      <c r="E78" t="s">
        <v>72</v>
      </c>
      <c r="F78" t="s">
        <v>51</v>
      </c>
      <c r="G78">
        <v>8</v>
      </c>
      <c r="H78" t="s">
        <v>36</v>
      </c>
    </row>
    <row r="79" spans="1:8" x14ac:dyDescent="0.25">
      <c r="A79" s="26">
        <v>46084</v>
      </c>
      <c r="B79" t="s">
        <v>7</v>
      </c>
      <c r="C79" t="s">
        <v>71</v>
      </c>
      <c r="D79" t="s">
        <v>56</v>
      </c>
      <c r="E79" t="s">
        <v>95</v>
      </c>
      <c r="F79" t="s">
        <v>73</v>
      </c>
      <c r="G79">
        <v>11</v>
      </c>
      <c r="H79" t="s">
        <v>62</v>
      </c>
    </row>
    <row r="80" spans="1:8" x14ac:dyDescent="0.25">
      <c r="A80" s="26">
        <v>46133</v>
      </c>
      <c r="B80" t="s">
        <v>12</v>
      </c>
      <c r="C80" t="s">
        <v>28</v>
      </c>
      <c r="D80" t="s">
        <v>38</v>
      </c>
      <c r="E80" t="s">
        <v>63</v>
      </c>
      <c r="F80" t="s">
        <v>59</v>
      </c>
      <c r="G80">
        <v>11</v>
      </c>
      <c r="H80" t="s">
        <v>36</v>
      </c>
    </row>
    <row r="81" spans="1:8" x14ac:dyDescent="0.25">
      <c r="A81" s="26">
        <v>46219</v>
      </c>
      <c r="B81" t="s">
        <v>15</v>
      </c>
      <c r="C81" t="s">
        <v>28</v>
      </c>
      <c r="D81" t="s">
        <v>34</v>
      </c>
      <c r="E81" t="s">
        <v>95</v>
      </c>
      <c r="F81" t="s">
        <v>91</v>
      </c>
      <c r="G81">
        <v>15</v>
      </c>
      <c r="H81" t="s">
        <v>36</v>
      </c>
    </row>
    <row r="82" spans="1:8" x14ac:dyDescent="0.25">
      <c r="A82" s="26">
        <v>46090</v>
      </c>
      <c r="B82" t="s">
        <v>9</v>
      </c>
      <c r="C82" t="s">
        <v>71</v>
      </c>
      <c r="D82" t="s">
        <v>56</v>
      </c>
      <c r="E82" t="s">
        <v>72</v>
      </c>
      <c r="F82" t="s">
        <v>78</v>
      </c>
      <c r="G82">
        <v>10</v>
      </c>
      <c r="H82" t="s">
        <v>32</v>
      </c>
    </row>
    <row r="83" spans="1:8" x14ac:dyDescent="0.25">
      <c r="A83" s="26">
        <v>46117</v>
      </c>
      <c r="B83" t="s">
        <v>8</v>
      </c>
      <c r="C83" t="s">
        <v>48</v>
      </c>
      <c r="D83" t="s">
        <v>56</v>
      </c>
      <c r="E83" t="s">
        <v>72</v>
      </c>
      <c r="F83" t="s">
        <v>61</v>
      </c>
      <c r="G83">
        <v>4</v>
      </c>
      <c r="H83" t="s">
        <v>32</v>
      </c>
    </row>
    <row r="84" spans="1:8" x14ac:dyDescent="0.25">
      <c r="A84" s="26">
        <v>46097</v>
      </c>
      <c r="B84" t="s">
        <v>8</v>
      </c>
      <c r="C84" t="s">
        <v>71</v>
      </c>
      <c r="D84" t="s">
        <v>38</v>
      </c>
      <c r="E84" t="s">
        <v>75</v>
      </c>
      <c r="F84" t="s">
        <v>64</v>
      </c>
      <c r="G84">
        <v>7</v>
      </c>
      <c r="H84" t="s">
        <v>62</v>
      </c>
    </row>
    <row r="85" spans="1:8" x14ac:dyDescent="0.25">
      <c r="A85" s="26">
        <v>46041</v>
      </c>
      <c r="B85" t="s">
        <v>7</v>
      </c>
      <c r="C85" t="s">
        <v>48</v>
      </c>
      <c r="D85" t="s">
        <v>49</v>
      </c>
      <c r="E85" t="s">
        <v>75</v>
      </c>
      <c r="F85" t="s">
        <v>84</v>
      </c>
      <c r="G85">
        <v>7</v>
      </c>
      <c r="H85" t="s">
        <v>54</v>
      </c>
    </row>
    <row r="86" spans="1:8" x14ac:dyDescent="0.25">
      <c r="A86" s="26">
        <v>46187</v>
      </c>
      <c r="B86" t="s">
        <v>8</v>
      </c>
      <c r="C86" t="s">
        <v>28</v>
      </c>
      <c r="D86" t="s">
        <v>38</v>
      </c>
      <c r="E86" t="s">
        <v>72</v>
      </c>
      <c r="F86" t="s">
        <v>40</v>
      </c>
      <c r="G86">
        <v>13</v>
      </c>
      <c r="H86" t="s">
        <v>62</v>
      </c>
    </row>
    <row r="87" spans="1:8" x14ac:dyDescent="0.25">
      <c r="A87" s="26">
        <v>46144</v>
      </c>
      <c r="B87" t="s">
        <v>6</v>
      </c>
      <c r="C87" t="s">
        <v>48</v>
      </c>
      <c r="D87" t="s">
        <v>38</v>
      </c>
      <c r="E87" t="s">
        <v>95</v>
      </c>
      <c r="F87" t="s">
        <v>84</v>
      </c>
      <c r="G87">
        <v>12</v>
      </c>
      <c r="H87" t="s">
        <v>32</v>
      </c>
    </row>
    <row r="88" spans="1:8" x14ac:dyDescent="0.25">
      <c r="A88" s="26">
        <v>46057</v>
      </c>
      <c r="B88" t="s">
        <v>8</v>
      </c>
      <c r="C88" t="s">
        <v>71</v>
      </c>
      <c r="D88" t="s">
        <v>29</v>
      </c>
      <c r="E88" t="s">
        <v>95</v>
      </c>
      <c r="F88" t="s">
        <v>31</v>
      </c>
      <c r="G88">
        <v>14</v>
      </c>
      <c r="H88" t="s">
        <v>54</v>
      </c>
    </row>
    <row r="89" spans="1:8" x14ac:dyDescent="0.25">
      <c r="A89" s="26">
        <v>46067</v>
      </c>
      <c r="B89" t="s">
        <v>10</v>
      </c>
      <c r="C89" t="s">
        <v>28</v>
      </c>
      <c r="D89" t="s">
        <v>56</v>
      </c>
      <c r="E89" t="s">
        <v>63</v>
      </c>
      <c r="F89" t="s">
        <v>84</v>
      </c>
      <c r="G89">
        <v>8</v>
      </c>
      <c r="H89" t="s">
        <v>54</v>
      </c>
    </row>
    <row r="90" spans="1:8" x14ac:dyDescent="0.25">
      <c r="A90" s="26">
        <v>46099</v>
      </c>
      <c r="B90" t="s">
        <v>8</v>
      </c>
      <c r="C90" t="s">
        <v>28</v>
      </c>
      <c r="D90" t="s">
        <v>38</v>
      </c>
      <c r="E90" t="s">
        <v>63</v>
      </c>
      <c r="F90" t="s">
        <v>61</v>
      </c>
      <c r="G90">
        <v>3</v>
      </c>
      <c r="H90" t="s">
        <v>32</v>
      </c>
    </row>
    <row r="91" spans="1:8" x14ac:dyDescent="0.25">
      <c r="A91" s="26">
        <v>46090</v>
      </c>
      <c r="B91" t="s">
        <v>7</v>
      </c>
      <c r="C91" t="s">
        <v>48</v>
      </c>
      <c r="D91" t="s">
        <v>34</v>
      </c>
      <c r="E91" t="s">
        <v>75</v>
      </c>
      <c r="F91" t="s">
        <v>51</v>
      </c>
      <c r="G91">
        <v>8</v>
      </c>
      <c r="H91" t="s">
        <v>36</v>
      </c>
    </row>
    <row r="92" spans="1:8" x14ac:dyDescent="0.25">
      <c r="A92" s="26">
        <v>46111</v>
      </c>
      <c r="B92" t="s">
        <v>15</v>
      </c>
      <c r="C92" t="s">
        <v>48</v>
      </c>
      <c r="D92" t="s">
        <v>38</v>
      </c>
      <c r="E92" t="s">
        <v>72</v>
      </c>
      <c r="F92" t="s">
        <v>51</v>
      </c>
      <c r="G92">
        <v>14</v>
      </c>
      <c r="H92" t="s">
        <v>32</v>
      </c>
    </row>
    <row r="93" spans="1:8" x14ac:dyDescent="0.25">
      <c r="A93" s="26">
        <v>46204</v>
      </c>
      <c r="B93" t="s">
        <v>12</v>
      </c>
      <c r="C93" t="s">
        <v>28</v>
      </c>
      <c r="D93" t="s">
        <v>38</v>
      </c>
      <c r="E93" t="s">
        <v>75</v>
      </c>
      <c r="F93" t="s">
        <v>40</v>
      </c>
      <c r="G93">
        <v>7</v>
      </c>
      <c r="H93" t="s">
        <v>62</v>
      </c>
    </row>
    <row r="94" spans="1:8" x14ac:dyDescent="0.25">
      <c r="A94" s="26">
        <v>46246</v>
      </c>
      <c r="B94" t="s">
        <v>6</v>
      </c>
      <c r="C94" t="s">
        <v>48</v>
      </c>
      <c r="D94" t="s">
        <v>56</v>
      </c>
      <c r="E94" t="s">
        <v>63</v>
      </c>
      <c r="F94" t="s">
        <v>47</v>
      </c>
      <c r="G94">
        <v>5</v>
      </c>
      <c r="H94" t="s">
        <v>54</v>
      </c>
    </row>
    <row r="95" spans="1:8" x14ac:dyDescent="0.25">
      <c r="A95" s="26">
        <v>46033</v>
      </c>
      <c r="B95" t="s">
        <v>10</v>
      </c>
      <c r="C95" t="s">
        <v>28</v>
      </c>
      <c r="D95" t="s">
        <v>38</v>
      </c>
      <c r="E95" t="s">
        <v>75</v>
      </c>
      <c r="F95" t="s">
        <v>40</v>
      </c>
      <c r="G95">
        <v>14</v>
      </c>
      <c r="H95" t="s">
        <v>54</v>
      </c>
    </row>
    <row r="96" spans="1:8" x14ac:dyDescent="0.25">
      <c r="A96" s="26">
        <v>46203</v>
      </c>
      <c r="B96" t="s">
        <v>15</v>
      </c>
      <c r="C96" t="s">
        <v>87</v>
      </c>
      <c r="D96" t="s">
        <v>29</v>
      </c>
      <c r="E96" t="s">
        <v>63</v>
      </c>
      <c r="F96" t="s">
        <v>53</v>
      </c>
      <c r="G96">
        <v>6</v>
      </c>
      <c r="H96" t="s">
        <v>54</v>
      </c>
    </row>
    <row r="97" spans="1:8" x14ac:dyDescent="0.25">
      <c r="A97" s="26">
        <v>46044</v>
      </c>
      <c r="B97" t="s">
        <v>15</v>
      </c>
      <c r="C97" t="s">
        <v>71</v>
      </c>
      <c r="D97" t="s">
        <v>29</v>
      </c>
      <c r="E97" t="s">
        <v>30</v>
      </c>
      <c r="F97" t="s">
        <v>40</v>
      </c>
      <c r="G97">
        <v>7</v>
      </c>
      <c r="H97" t="s">
        <v>36</v>
      </c>
    </row>
    <row r="98" spans="1:8" x14ac:dyDescent="0.25">
      <c r="A98" s="26">
        <v>46223</v>
      </c>
      <c r="B98" t="s">
        <v>6</v>
      </c>
      <c r="C98" t="s">
        <v>28</v>
      </c>
      <c r="D98" t="s">
        <v>38</v>
      </c>
      <c r="E98" t="s">
        <v>63</v>
      </c>
      <c r="F98" t="s">
        <v>43</v>
      </c>
      <c r="G98">
        <v>9</v>
      </c>
      <c r="H98" t="s">
        <v>32</v>
      </c>
    </row>
    <row r="99" spans="1:8" x14ac:dyDescent="0.25">
      <c r="A99" s="26">
        <v>46118</v>
      </c>
      <c r="B99" t="s">
        <v>5</v>
      </c>
      <c r="C99" t="s">
        <v>28</v>
      </c>
      <c r="D99" t="s">
        <v>49</v>
      </c>
      <c r="E99" t="s">
        <v>75</v>
      </c>
      <c r="F99" t="s">
        <v>51</v>
      </c>
      <c r="G99">
        <v>10</v>
      </c>
      <c r="H99" t="s">
        <v>36</v>
      </c>
    </row>
    <row r="100" spans="1:8" x14ac:dyDescent="0.25">
      <c r="A100" s="26">
        <v>46034</v>
      </c>
      <c r="B100" t="s">
        <v>12</v>
      </c>
      <c r="C100" t="s">
        <v>71</v>
      </c>
      <c r="D100" t="s">
        <v>29</v>
      </c>
      <c r="E100" t="s">
        <v>30</v>
      </c>
      <c r="F100" t="s">
        <v>78</v>
      </c>
      <c r="G100">
        <v>6</v>
      </c>
      <c r="H100" t="s">
        <v>36</v>
      </c>
    </row>
    <row r="101" spans="1:8" x14ac:dyDescent="0.25">
      <c r="A101" s="26">
        <v>46197</v>
      </c>
      <c r="B101" t="s">
        <v>10</v>
      </c>
      <c r="C101" t="s">
        <v>87</v>
      </c>
      <c r="D101" t="s">
        <v>56</v>
      </c>
      <c r="E101" t="s">
        <v>63</v>
      </c>
      <c r="F101" t="s">
        <v>47</v>
      </c>
      <c r="G101">
        <v>12</v>
      </c>
      <c r="H101" t="s">
        <v>36</v>
      </c>
    </row>
    <row r="102" spans="1:8" x14ac:dyDescent="0.25">
      <c r="A102" s="26">
        <v>46101</v>
      </c>
      <c r="B102" t="s">
        <v>8</v>
      </c>
      <c r="C102" t="s">
        <v>71</v>
      </c>
      <c r="D102" t="s">
        <v>56</v>
      </c>
      <c r="E102" t="s">
        <v>72</v>
      </c>
      <c r="F102" t="s">
        <v>64</v>
      </c>
      <c r="G102">
        <v>4</v>
      </c>
      <c r="H102" t="s">
        <v>32</v>
      </c>
    </row>
    <row r="103" spans="1:8" x14ac:dyDescent="0.25">
      <c r="A103" s="26">
        <v>46216</v>
      </c>
      <c r="B103" t="s">
        <v>5</v>
      </c>
      <c r="C103" t="s">
        <v>28</v>
      </c>
      <c r="D103" t="s">
        <v>34</v>
      </c>
      <c r="E103" t="s">
        <v>72</v>
      </c>
      <c r="F103" t="s">
        <v>51</v>
      </c>
      <c r="G103">
        <v>8</v>
      </c>
      <c r="H103" t="s">
        <v>62</v>
      </c>
    </row>
    <row r="104" spans="1:8" x14ac:dyDescent="0.25">
      <c r="A104" s="26">
        <v>46040</v>
      </c>
      <c r="B104" t="s">
        <v>7</v>
      </c>
      <c r="C104" t="s">
        <v>28</v>
      </c>
      <c r="D104" t="s">
        <v>49</v>
      </c>
      <c r="E104" t="s">
        <v>63</v>
      </c>
      <c r="F104" t="s">
        <v>31</v>
      </c>
      <c r="G104">
        <v>8</v>
      </c>
      <c r="H104" t="s">
        <v>54</v>
      </c>
    </row>
    <row r="105" spans="1:8" x14ac:dyDescent="0.25">
      <c r="A105" s="26">
        <v>46187</v>
      </c>
      <c r="B105" t="s">
        <v>15</v>
      </c>
      <c r="C105" t="s">
        <v>48</v>
      </c>
      <c r="D105" t="s">
        <v>56</v>
      </c>
      <c r="E105" t="s">
        <v>72</v>
      </c>
      <c r="F105" t="s">
        <v>47</v>
      </c>
      <c r="G105">
        <v>6</v>
      </c>
      <c r="H105" t="s">
        <v>36</v>
      </c>
    </row>
    <row r="106" spans="1:8" x14ac:dyDescent="0.25">
      <c r="A106" s="26">
        <v>46185</v>
      </c>
      <c r="B106" t="s">
        <v>5</v>
      </c>
      <c r="C106" t="s">
        <v>87</v>
      </c>
      <c r="D106" t="s">
        <v>34</v>
      </c>
      <c r="E106" t="s">
        <v>95</v>
      </c>
      <c r="F106" t="s">
        <v>31</v>
      </c>
      <c r="G106">
        <v>9</v>
      </c>
      <c r="H106" t="s">
        <v>36</v>
      </c>
    </row>
    <row r="107" spans="1:8" x14ac:dyDescent="0.25">
      <c r="A107" s="26">
        <v>46240</v>
      </c>
      <c r="B107" t="s">
        <v>8</v>
      </c>
      <c r="C107" t="s">
        <v>71</v>
      </c>
      <c r="D107" t="s">
        <v>56</v>
      </c>
      <c r="E107" t="s">
        <v>72</v>
      </c>
      <c r="F107" t="s">
        <v>47</v>
      </c>
      <c r="G107">
        <v>2</v>
      </c>
      <c r="H107" t="s">
        <v>62</v>
      </c>
    </row>
    <row r="108" spans="1:8" x14ac:dyDescent="0.25">
      <c r="A108" s="26">
        <v>46040</v>
      </c>
      <c r="B108" t="s">
        <v>12</v>
      </c>
      <c r="C108" t="s">
        <v>28</v>
      </c>
      <c r="D108" t="s">
        <v>56</v>
      </c>
      <c r="E108" t="s">
        <v>72</v>
      </c>
      <c r="F108" t="s">
        <v>59</v>
      </c>
      <c r="G108">
        <v>4</v>
      </c>
      <c r="H108" t="s">
        <v>54</v>
      </c>
    </row>
    <row r="109" spans="1:8" x14ac:dyDescent="0.25">
      <c r="A109" s="26">
        <v>46144</v>
      </c>
      <c r="B109" t="s">
        <v>5</v>
      </c>
      <c r="C109" t="s">
        <v>28</v>
      </c>
      <c r="D109" t="s">
        <v>29</v>
      </c>
      <c r="E109" t="s">
        <v>72</v>
      </c>
      <c r="F109" t="s">
        <v>47</v>
      </c>
      <c r="G109">
        <v>15</v>
      </c>
      <c r="H109" t="s">
        <v>54</v>
      </c>
    </row>
    <row r="110" spans="1:8" x14ac:dyDescent="0.25">
      <c r="A110" s="26">
        <v>46130</v>
      </c>
      <c r="B110" t="s">
        <v>8</v>
      </c>
      <c r="C110" t="s">
        <v>48</v>
      </c>
      <c r="D110" t="s">
        <v>29</v>
      </c>
      <c r="E110" t="s">
        <v>72</v>
      </c>
      <c r="F110" t="s">
        <v>53</v>
      </c>
      <c r="G110">
        <v>15</v>
      </c>
      <c r="H110" t="s">
        <v>32</v>
      </c>
    </row>
    <row r="111" spans="1:8" x14ac:dyDescent="0.25">
      <c r="A111" s="26">
        <v>46074</v>
      </c>
      <c r="B111" t="s">
        <v>7</v>
      </c>
      <c r="C111" t="s">
        <v>28</v>
      </c>
      <c r="D111" t="s">
        <v>38</v>
      </c>
      <c r="E111" t="s">
        <v>63</v>
      </c>
      <c r="F111" t="s">
        <v>73</v>
      </c>
      <c r="G111">
        <v>8</v>
      </c>
      <c r="H111" t="s">
        <v>36</v>
      </c>
    </row>
    <row r="112" spans="1:8" x14ac:dyDescent="0.25">
      <c r="A112" s="26">
        <v>46193</v>
      </c>
      <c r="B112" t="s">
        <v>5</v>
      </c>
      <c r="C112" t="s">
        <v>71</v>
      </c>
      <c r="D112" t="s">
        <v>56</v>
      </c>
      <c r="E112" t="s">
        <v>30</v>
      </c>
      <c r="F112" t="s">
        <v>47</v>
      </c>
      <c r="G112">
        <v>7</v>
      </c>
      <c r="H112" t="s">
        <v>36</v>
      </c>
    </row>
    <row r="113" spans="1:8" x14ac:dyDescent="0.25">
      <c r="A113" s="26">
        <v>46137</v>
      </c>
      <c r="B113" t="s">
        <v>15</v>
      </c>
      <c r="C113" t="s">
        <v>71</v>
      </c>
      <c r="D113" t="s">
        <v>29</v>
      </c>
      <c r="E113" t="s">
        <v>63</v>
      </c>
      <c r="F113" t="s">
        <v>61</v>
      </c>
      <c r="G113">
        <v>8</v>
      </c>
      <c r="H113" t="s">
        <v>32</v>
      </c>
    </row>
    <row r="114" spans="1:8" x14ac:dyDescent="0.25">
      <c r="A114" s="26">
        <v>46172</v>
      </c>
      <c r="B114" t="s">
        <v>5</v>
      </c>
      <c r="C114" t="s">
        <v>28</v>
      </c>
      <c r="D114" t="s">
        <v>29</v>
      </c>
      <c r="E114" t="s">
        <v>75</v>
      </c>
      <c r="F114" t="s">
        <v>51</v>
      </c>
      <c r="G114">
        <v>13</v>
      </c>
      <c r="H114" t="s">
        <v>54</v>
      </c>
    </row>
    <row r="115" spans="1:8" x14ac:dyDescent="0.25">
      <c r="A115" s="26">
        <v>46081</v>
      </c>
      <c r="B115" t="s">
        <v>10</v>
      </c>
      <c r="C115" t="s">
        <v>28</v>
      </c>
      <c r="D115" t="s">
        <v>38</v>
      </c>
      <c r="E115" t="s">
        <v>30</v>
      </c>
      <c r="F115" t="s">
        <v>47</v>
      </c>
      <c r="G115">
        <v>14</v>
      </c>
      <c r="H115" t="s">
        <v>32</v>
      </c>
    </row>
    <row r="116" spans="1:8" x14ac:dyDescent="0.25">
      <c r="A116" s="26">
        <v>46154</v>
      </c>
      <c r="B116" t="s">
        <v>5</v>
      </c>
      <c r="C116" t="s">
        <v>28</v>
      </c>
      <c r="D116" t="s">
        <v>38</v>
      </c>
      <c r="E116" t="s">
        <v>63</v>
      </c>
      <c r="F116" t="s">
        <v>91</v>
      </c>
      <c r="G116">
        <v>12</v>
      </c>
      <c r="H116" t="s">
        <v>54</v>
      </c>
    </row>
    <row r="117" spans="1:8" x14ac:dyDescent="0.25">
      <c r="A117" s="26">
        <v>46075</v>
      </c>
      <c r="B117" t="s">
        <v>9</v>
      </c>
      <c r="C117" t="s">
        <v>87</v>
      </c>
      <c r="D117" t="s">
        <v>38</v>
      </c>
      <c r="E117" t="s">
        <v>63</v>
      </c>
      <c r="F117" t="s">
        <v>64</v>
      </c>
      <c r="G117">
        <v>10</v>
      </c>
      <c r="H117" t="s">
        <v>36</v>
      </c>
    </row>
    <row r="118" spans="1:8" x14ac:dyDescent="0.25">
      <c r="A118" s="26">
        <v>46146</v>
      </c>
      <c r="B118" t="s">
        <v>12</v>
      </c>
      <c r="C118" t="s">
        <v>28</v>
      </c>
      <c r="D118" t="s">
        <v>49</v>
      </c>
      <c r="E118" t="s">
        <v>63</v>
      </c>
      <c r="F118" t="s">
        <v>73</v>
      </c>
      <c r="G118">
        <v>6</v>
      </c>
      <c r="H118" t="s">
        <v>36</v>
      </c>
    </row>
    <row r="119" spans="1:8" x14ac:dyDescent="0.25">
      <c r="A119" s="26">
        <v>46197</v>
      </c>
      <c r="B119" t="s">
        <v>5</v>
      </c>
      <c r="C119" t="s">
        <v>87</v>
      </c>
      <c r="D119" t="s">
        <v>56</v>
      </c>
      <c r="E119" t="s">
        <v>72</v>
      </c>
      <c r="F119" t="s">
        <v>31</v>
      </c>
      <c r="G119">
        <v>13</v>
      </c>
      <c r="H119" t="s">
        <v>36</v>
      </c>
    </row>
    <row r="120" spans="1:8" x14ac:dyDescent="0.25">
      <c r="A120" s="26">
        <v>46101</v>
      </c>
      <c r="B120" t="s">
        <v>7</v>
      </c>
      <c r="C120" t="s">
        <v>28</v>
      </c>
      <c r="D120" t="s">
        <v>38</v>
      </c>
      <c r="E120" t="s">
        <v>63</v>
      </c>
      <c r="F120" t="s">
        <v>40</v>
      </c>
      <c r="G120">
        <v>4</v>
      </c>
      <c r="H120" t="s">
        <v>62</v>
      </c>
    </row>
    <row r="121" spans="1:8" x14ac:dyDescent="0.25">
      <c r="A121" s="26">
        <v>46162</v>
      </c>
      <c r="B121" t="s">
        <v>8</v>
      </c>
      <c r="C121" t="s">
        <v>28</v>
      </c>
      <c r="D121" t="s">
        <v>34</v>
      </c>
      <c r="E121" t="s">
        <v>63</v>
      </c>
      <c r="F121" t="s">
        <v>47</v>
      </c>
      <c r="G121">
        <v>12</v>
      </c>
      <c r="H121" t="s">
        <v>32</v>
      </c>
    </row>
    <row r="122" spans="1:8" x14ac:dyDescent="0.25">
      <c r="A122" s="26">
        <v>46248</v>
      </c>
      <c r="B122" t="s">
        <v>5</v>
      </c>
      <c r="C122" t="s">
        <v>28</v>
      </c>
      <c r="D122" t="s">
        <v>38</v>
      </c>
      <c r="E122" t="s">
        <v>72</v>
      </c>
      <c r="F122" t="s">
        <v>53</v>
      </c>
      <c r="G122">
        <v>5</v>
      </c>
      <c r="H122" t="s">
        <v>62</v>
      </c>
    </row>
    <row r="123" spans="1:8" x14ac:dyDescent="0.25">
      <c r="A123" s="26">
        <v>46049</v>
      </c>
      <c r="B123" t="s">
        <v>6</v>
      </c>
      <c r="C123" t="s">
        <v>48</v>
      </c>
      <c r="D123" t="s">
        <v>29</v>
      </c>
      <c r="E123" t="s">
        <v>30</v>
      </c>
      <c r="F123" t="s">
        <v>61</v>
      </c>
      <c r="G123">
        <v>7</v>
      </c>
      <c r="H123" t="s">
        <v>32</v>
      </c>
    </row>
    <row r="124" spans="1:8" x14ac:dyDescent="0.25">
      <c r="A124" s="26">
        <v>46190</v>
      </c>
      <c r="B124" t="s">
        <v>6</v>
      </c>
      <c r="C124" t="s">
        <v>28</v>
      </c>
      <c r="D124" t="s">
        <v>56</v>
      </c>
      <c r="E124" t="s">
        <v>95</v>
      </c>
      <c r="F124" t="s">
        <v>47</v>
      </c>
      <c r="G124">
        <v>15</v>
      </c>
      <c r="H124" t="s">
        <v>32</v>
      </c>
    </row>
    <row r="125" spans="1:8" x14ac:dyDescent="0.25">
      <c r="A125" s="26">
        <v>46175</v>
      </c>
      <c r="B125" t="s">
        <v>10</v>
      </c>
      <c r="C125" t="s">
        <v>28</v>
      </c>
      <c r="D125" t="s">
        <v>29</v>
      </c>
      <c r="E125" t="s">
        <v>63</v>
      </c>
      <c r="F125" t="s">
        <v>64</v>
      </c>
      <c r="G125">
        <v>15</v>
      </c>
      <c r="H125" t="s">
        <v>32</v>
      </c>
    </row>
    <row r="126" spans="1:8" x14ac:dyDescent="0.25">
      <c r="A126" s="26">
        <v>46050</v>
      </c>
      <c r="B126" t="s">
        <v>7</v>
      </c>
      <c r="C126" t="s">
        <v>28</v>
      </c>
      <c r="D126" t="s">
        <v>29</v>
      </c>
      <c r="E126" t="s">
        <v>63</v>
      </c>
      <c r="F126" t="s">
        <v>73</v>
      </c>
      <c r="G126">
        <v>5</v>
      </c>
      <c r="H126" t="s">
        <v>32</v>
      </c>
    </row>
    <row r="127" spans="1:8" x14ac:dyDescent="0.25">
      <c r="A127" s="26">
        <v>46205</v>
      </c>
      <c r="B127" t="s">
        <v>15</v>
      </c>
      <c r="C127" t="s">
        <v>71</v>
      </c>
      <c r="D127" t="s">
        <v>49</v>
      </c>
      <c r="E127" t="s">
        <v>75</v>
      </c>
      <c r="F127" t="s">
        <v>84</v>
      </c>
      <c r="G127">
        <v>3</v>
      </c>
      <c r="H127" t="s">
        <v>54</v>
      </c>
    </row>
    <row r="128" spans="1:8" x14ac:dyDescent="0.25">
      <c r="A128" s="26">
        <v>46121</v>
      </c>
      <c r="B128" t="s">
        <v>10</v>
      </c>
      <c r="C128" t="s">
        <v>28</v>
      </c>
      <c r="D128" t="s">
        <v>49</v>
      </c>
      <c r="E128" t="s">
        <v>30</v>
      </c>
      <c r="F128" t="s">
        <v>31</v>
      </c>
      <c r="G128">
        <v>14</v>
      </c>
      <c r="H128" t="s">
        <v>54</v>
      </c>
    </row>
    <row r="129" spans="1:8" x14ac:dyDescent="0.25">
      <c r="A129" s="26">
        <v>46056</v>
      </c>
      <c r="B129" t="s">
        <v>12</v>
      </c>
      <c r="C129" t="s">
        <v>28</v>
      </c>
      <c r="D129" t="s">
        <v>34</v>
      </c>
      <c r="E129" t="s">
        <v>63</v>
      </c>
      <c r="F129" t="s">
        <v>66</v>
      </c>
      <c r="G129">
        <v>7</v>
      </c>
      <c r="H129" t="s">
        <v>54</v>
      </c>
    </row>
    <row r="130" spans="1:8" x14ac:dyDescent="0.25">
      <c r="A130" s="26">
        <v>46222</v>
      </c>
      <c r="B130" t="s">
        <v>7</v>
      </c>
      <c r="C130" t="s">
        <v>48</v>
      </c>
      <c r="D130" t="s">
        <v>56</v>
      </c>
      <c r="E130" t="s">
        <v>72</v>
      </c>
      <c r="F130" t="s">
        <v>43</v>
      </c>
      <c r="G130">
        <v>8</v>
      </c>
      <c r="H130" t="s">
        <v>54</v>
      </c>
    </row>
    <row r="131" spans="1:8" x14ac:dyDescent="0.25">
      <c r="A131" s="26">
        <v>46210</v>
      </c>
      <c r="B131" t="s">
        <v>8</v>
      </c>
      <c r="C131" t="s">
        <v>28</v>
      </c>
      <c r="D131" t="s">
        <v>38</v>
      </c>
      <c r="E131" t="s">
        <v>72</v>
      </c>
      <c r="F131" t="s">
        <v>43</v>
      </c>
      <c r="G131">
        <v>3</v>
      </c>
      <c r="H131" t="s">
        <v>36</v>
      </c>
    </row>
    <row r="132" spans="1:8" x14ac:dyDescent="0.25">
      <c r="A132" s="26">
        <v>46065</v>
      </c>
      <c r="B132" t="s">
        <v>10</v>
      </c>
      <c r="C132" t="s">
        <v>28</v>
      </c>
      <c r="D132" t="s">
        <v>56</v>
      </c>
      <c r="E132" t="s">
        <v>72</v>
      </c>
      <c r="F132" t="s">
        <v>91</v>
      </c>
      <c r="G132">
        <v>10</v>
      </c>
      <c r="H132" t="s">
        <v>36</v>
      </c>
    </row>
    <row r="133" spans="1:8" x14ac:dyDescent="0.25">
      <c r="A133" s="26">
        <v>46025</v>
      </c>
      <c r="B133" t="s">
        <v>7</v>
      </c>
      <c r="C133" t="s">
        <v>28</v>
      </c>
      <c r="D133" t="s">
        <v>29</v>
      </c>
      <c r="E133" t="s">
        <v>63</v>
      </c>
      <c r="F133" t="s">
        <v>73</v>
      </c>
      <c r="G133">
        <v>15</v>
      </c>
      <c r="H133" t="s">
        <v>62</v>
      </c>
    </row>
    <row r="134" spans="1:8" x14ac:dyDescent="0.25">
      <c r="A134" s="26">
        <v>46163</v>
      </c>
      <c r="B134" t="s">
        <v>6</v>
      </c>
      <c r="C134" t="s">
        <v>28</v>
      </c>
      <c r="D134" t="s">
        <v>38</v>
      </c>
      <c r="E134" t="s">
        <v>95</v>
      </c>
      <c r="F134" t="s">
        <v>91</v>
      </c>
      <c r="G134">
        <v>8</v>
      </c>
      <c r="H134" t="s">
        <v>54</v>
      </c>
    </row>
    <row r="135" spans="1:8" x14ac:dyDescent="0.25">
      <c r="A135" s="26">
        <v>46233</v>
      </c>
      <c r="B135" t="s">
        <v>8</v>
      </c>
      <c r="C135" t="s">
        <v>71</v>
      </c>
      <c r="D135" t="s">
        <v>38</v>
      </c>
      <c r="E135" t="s">
        <v>75</v>
      </c>
      <c r="F135" t="s">
        <v>61</v>
      </c>
      <c r="G135">
        <v>9</v>
      </c>
      <c r="H135" t="s">
        <v>62</v>
      </c>
    </row>
    <row r="136" spans="1:8" x14ac:dyDescent="0.25">
      <c r="A136" s="26">
        <v>46223</v>
      </c>
      <c r="B136" t="s">
        <v>15</v>
      </c>
      <c r="C136" t="s">
        <v>28</v>
      </c>
      <c r="D136" t="s">
        <v>34</v>
      </c>
      <c r="E136" t="s">
        <v>72</v>
      </c>
      <c r="F136" t="s">
        <v>78</v>
      </c>
      <c r="G136">
        <v>10</v>
      </c>
      <c r="H136" t="s">
        <v>32</v>
      </c>
    </row>
    <row r="137" spans="1:8" x14ac:dyDescent="0.25">
      <c r="A137" s="26">
        <v>46121</v>
      </c>
      <c r="B137" t="s">
        <v>12</v>
      </c>
      <c r="C137" t="s">
        <v>28</v>
      </c>
      <c r="D137" t="s">
        <v>29</v>
      </c>
      <c r="E137" t="s">
        <v>30</v>
      </c>
      <c r="F137" t="s">
        <v>59</v>
      </c>
      <c r="G137">
        <v>6</v>
      </c>
      <c r="H137" t="s">
        <v>36</v>
      </c>
    </row>
    <row r="138" spans="1:8" x14ac:dyDescent="0.25">
      <c r="A138" s="26">
        <v>46173</v>
      </c>
      <c r="B138" t="s">
        <v>9</v>
      </c>
      <c r="C138" t="s">
        <v>28</v>
      </c>
      <c r="D138" t="s">
        <v>49</v>
      </c>
      <c r="E138" t="s">
        <v>72</v>
      </c>
      <c r="F138" t="s">
        <v>73</v>
      </c>
      <c r="G138">
        <v>7</v>
      </c>
      <c r="H138" t="s">
        <v>36</v>
      </c>
    </row>
    <row r="139" spans="1:8" x14ac:dyDescent="0.25">
      <c r="A139" s="26">
        <v>46219</v>
      </c>
      <c r="B139" t="s">
        <v>8</v>
      </c>
      <c r="C139" t="s">
        <v>87</v>
      </c>
      <c r="D139" t="s">
        <v>29</v>
      </c>
      <c r="E139" t="s">
        <v>75</v>
      </c>
      <c r="F139" t="s">
        <v>51</v>
      </c>
      <c r="G139">
        <v>15</v>
      </c>
      <c r="H139" t="s">
        <v>54</v>
      </c>
    </row>
    <row r="140" spans="1:8" x14ac:dyDescent="0.25">
      <c r="A140" s="26">
        <v>46203</v>
      </c>
      <c r="B140" t="s">
        <v>5</v>
      </c>
      <c r="C140" t="s">
        <v>28</v>
      </c>
      <c r="D140" t="s">
        <v>49</v>
      </c>
      <c r="E140" t="s">
        <v>72</v>
      </c>
      <c r="F140" t="s">
        <v>59</v>
      </c>
      <c r="G140">
        <v>11</v>
      </c>
      <c r="H140" t="s">
        <v>32</v>
      </c>
    </row>
    <row r="141" spans="1:8" x14ac:dyDescent="0.25">
      <c r="A141" s="26">
        <v>46156</v>
      </c>
      <c r="B141" t="s">
        <v>9</v>
      </c>
      <c r="C141" t="s">
        <v>71</v>
      </c>
      <c r="D141" t="s">
        <v>29</v>
      </c>
      <c r="E141" t="s">
        <v>30</v>
      </c>
      <c r="F141" t="s">
        <v>40</v>
      </c>
      <c r="G141">
        <v>8</v>
      </c>
      <c r="H141" t="s">
        <v>36</v>
      </c>
    </row>
    <row r="142" spans="1:8" x14ac:dyDescent="0.25">
      <c r="A142" s="26">
        <v>46244</v>
      </c>
      <c r="B142" t="s">
        <v>5</v>
      </c>
      <c r="C142" t="s">
        <v>28</v>
      </c>
      <c r="D142" t="s">
        <v>38</v>
      </c>
      <c r="E142" t="s">
        <v>72</v>
      </c>
      <c r="F142" t="s">
        <v>66</v>
      </c>
      <c r="G142">
        <v>8</v>
      </c>
      <c r="H142" t="s">
        <v>32</v>
      </c>
    </row>
    <row r="143" spans="1:8" x14ac:dyDescent="0.25">
      <c r="A143" s="26">
        <v>46050</v>
      </c>
      <c r="B143" t="s">
        <v>9</v>
      </c>
      <c r="C143" t="s">
        <v>48</v>
      </c>
      <c r="D143" t="s">
        <v>56</v>
      </c>
      <c r="E143" t="s">
        <v>30</v>
      </c>
      <c r="F143" t="s">
        <v>59</v>
      </c>
      <c r="G143">
        <v>2</v>
      </c>
      <c r="H143" t="s">
        <v>62</v>
      </c>
    </row>
    <row r="144" spans="1:8" x14ac:dyDescent="0.25">
      <c r="A144" s="26">
        <v>46069</v>
      </c>
      <c r="B144" t="s">
        <v>10</v>
      </c>
      <c r="C144" t="s">
        <v>28</v>
      </c>
      <c r="D144" t="s">
        <v>29</v>
      </c>
      <c r="E144" t="s">
        <v>63</v>
      </c>
      <c r="F144" t="s">
        <v>51</v>
      </c>
      <c r="G144">
        <v>12</v>
      </c>
      <c r="H144" t="s">
        <v>36</v>
      </c>
    </row>
    <row r="145" spans="1:8" x14ac:dyDescent="0.25">
      <c r="A145" s="26">
        <v>46229</v>
      </c>
      <c r="B145" t="s">
        <v>9</v>
      </c>
      <c r="C145" t="s">
        <v>28</v>
      </c>
      <c r="D145" t="s">
        <v>49</v>
      </c>
      <c r="E145" t="s">
        <v>72</v>
      </c>
      <c r="F145" t="s">
        <v>91</v>
      </c>
      <c r="G145">
        <v>13</v>
      </c>
      <c r="H145" t="s">
        <v>54</v>
      </c>
    </row>
    <row r="146" spans="1:8" x14ac:dyDescent="0.25">
      <c r="A146" s="26">
        <v>46109</v>
      </c>
      <c r="B146" t="s">
        <v>6</v>
      </c>
      <c r="C146" t="s">
        <v>71</v>
      </c>
      <c r="D146" t="s">
        <v>34</v>
      </c>
      <c r="E146" t="s">
        <v>95</v>
      </c>
      <c r="F146" t="s">
        <v>91</v>
      </c>
      <c r="G146">
        <v>3</v>
      </c>
      <c r="H146" t="s">
        <v>32</v>
      </c>
    </row>
    <row r="147" spans="1:8" x14ac:dyDescent="0.25">
      <c r="A147" s="26">
        <v>46130</v>
      </c>
      <c r="B147" t="s">
        <v>9</v>
      </c>
      <c r="C147" t="s">
        <v>28</v>
      </c>
      <c r="D147" t="s">
        <v>34</v>
      </c>
      <c r="E147" t="s">
        <v>72</v>
      </c>
      <c r="F147" t="s">
        <v>61</v>
      </c>
      <c r="G147">
        <v>11</v>
      </c>
      <c r="H147" t="s">
        <v>36</v>
      </c>
    </row>
    <row r="148" spans="1:8" x14ac:dyDescent="0.25">
      <c r="A148" s="26">
        <v>46194</v>
      </c>
      <c r="B148" t="s">
        <v>12</v>
      </c>
      <c r="C148" t="s">
        <v>28</v>
      </c>
      <c r="D148" t="s">
        <v>29</v>
      </c>
      <c r="E148" t="s">
        <v>72</v>
      </c>
      <c r="F148" t="s">
        <v>47</v>
      </c>
      <c r="G148">
        <v>3</v>
      </c>
      <c r="H148" t="s">
        <v>32</v>
      </c>
    </row>
    <row r="149" spans="1:8" x14ac:dyDescent="0.25">
      <c r="A149" s="26">
        <v>46060</v>
      </c>
      <c r="B149" t="s">
        <v>10</v>
      </c>
      <c r="C149" t="s">
        <v>87</v>
      </c>
      <c r="D149" t="s">
        <v>38</v>
      </c>
      <c r="E149" t="s">
        <v>72</v>
      </c>
      <c r="F149" t="s">
        <v>47</v>
      </c>
      <c r="G149">
        <v>14</v>
      </c>
      <c r="H149" t="s">
        <v>36</v>
      </c>
    </row>
    <row r="150" spans="1:8" x14ac:dyDescent="0.25">
      <c r="A150" s="26">
        <v>46065</v>
      </c>
      <c r="B150" t="s">
        <v>15</v>
      </c>
      <c r="C150" t="s">
        <v>71</v>
      </c>
      <c r="D150" t="s">
        <v>56</v>
      </c>
      <c r="E150" t="s">
        <v>63</v>
      </c>
      <c r="F150" t="s">
        <v>47</v>
      </c>
      <c r="G150">
        <v>1</v>
      </c>
      <c r="H150" t="s">
        <v>54</v>
      </c>
    </row>
    <row r="151" spans="1:8" x14ac:dyDescent="0.25">
      <c r="A151" s="26">
        <v>46166</v>
      </c>
      <c r="B151" t="s">
        <v>12</v>
      </c>
      <c r="C151" t="s">
        <v>28</v>
      </c>
      <c r="D151" t="s">
        <v>38</v>
      </c>
      <c r="E151" t="s">
        <v>75</v>
      </c>
      <c r="F151" t="s">
        <v>91</v>
      </c>
      <c r="G151">
        <v>10</v>
      </c>
      <c r="H151" t="s">
        <v>32</v>
      </c>
    </row>
    <row r="152" spans="1:8" x14ac:dyDescent="0.25">
      <c r="A152" s="26">
        <v>46210</v>
      </c>
      <c r="B152" t="s">
        <v>5</v>
      </c>
      <c r="C152" t="s">
        <v>28</v>
      </c>
      <c r="D152" t="s">
        <v>38</v>
      </c>
      <c r="E152" t="s">
        <v>30</v>
      </c>
      <c r="F152" t="s">
        <v>43</v>
      </c>
      <c r="G152">
        <v>7</v>
      </c>
      <c r="H152" t="s">
        <v>32</v>
      </c>
    </row>
    <row r="153" spans="1:8" x14ac:dyDescent="0.25">
      <c r="A153" s="26">
        <v>46125</v>
      </c>
      <c r="B153" t="s">
        <v>10</v>
      </c>
      <c r="C153" t="s">
        <v>48</v>
      </c>
      <c r="D153" t="s">
        <v>56</v>
      </c>
      <c r="E153" t="s">
        <v>72</v>
      </c>
      <c r="F153" t="s">
        <v>73</v>
      </c>
      <c r="G153">
        <v>6</v>
      </c>
      <c r="H153" t="s">
        <v>62</v>
      </c>
    </row>
    <row r="154" spans="1:8" x14ac:dyDescent="0.25">
      <c r="A154" s="26">
        <v>46199</v>
      </c>
      <c r="B154" t="s">
        <v>12</v>
      </c>
      <c r="C154" t="s">
        <v>48</v>
      </c>
      <c r="D154" t="s">
        <v>56</v>
      </c>
      <c r="E154" t="s">
        <v>30</v>
      </c>
      <c r="F154" t="s">
        <v>64</v>
      </c>
      <c r="G154">
        <v>8</v>
      </c>
      <c r="H154" t="s">
        <v>32</v>
      </c>
    </row>
    <row r="155" spans="1:8" x14ac:dyDescent="0.25">
      <c r="A155" s="26">
        <v>46092</v>
      </c>
      <c r="B155" t="s">
        <v>8</v>
      </c>
      <c r="C155" t="s">
        <v>28</v>
      </c>
      <c r="D155" t="s">
        <v>38</v>
      </c>
      <c r="E155" t="s">
        <v>72</v>
      </c>
      <c r="F155" t="s">
        <v>43</v>
      </c>
      <c r="G155">
        <v>13</v>
      </c>
      <c r="H155" t="s">
        <v>36</v>
      </c>
    </row>
    <row r="156" spans="1:8" x14ac:dyDescent="0.25">
      <c r="A156" s="26">
        <v>46194</v>
      </c>
      <c r="B156" t="s">
        <v>9</v>
      </c>
      <c r="C156" t="s">
        <v>28</v>
      </c>
      <c r="D156" t="s">
        <v>34</v>
      </c>
      <c r="E156" t="s">
        <v>95</v>
      </c>
      <c r="F156" t="s">
        <v>40</v>
      </c>
      <c r="G156">
        <v>11</v>
      </c>
      <c r="H156" t="s">
        <v>36</v>
      </c>
    </row>
    <row r="157" spans="1:8" x14ac:dyDescent="0.25">
      <c r="A157" s="26">
        <v>46179</v>
      </c>
      <c r="B157" t="s">
        <v>12</v>
      </c>
      <c r="C157" t="s">
        <v>28</v>
      </c>
      <c r="D157" t="s">
        <v>56</v>
      </c>
      <c r="E157" t="s">
        <v>72</v>
      </c>
      <c r="F157" t="s">
        <v>51</v>
      </c>
      <c r="G157">
        <v>8</v>
      </c>
      <c r="H157" t="s">
        <v>62</v>
      </c>
    </row>
    <row r="158" spans="1:8" x14ac:dyDescent="0.25">
      <c r="A158" s="26">
        <v>46024</v>
      </c>
      <c r="B158" t="s">
        <v>6</v>
      </c>
      <c r="C158" t="s">
        <v>28</v>
      </c>
      <c r="D158" t="s">
        <v>34</v>
      </c>
      <c r="E158" t="s">
        <v>75</v>
      </c>
      <c r="F158" t="s">
        <v>61</v>
      </c>
      <c r="G158">
        <v>13</v>
      </c>
      <c r="H158" t="s">
        <v>62</v>
      </c>
    </row>
    <row r="159" spans="1:8" x14ac:dyDescent="0.25">
      <c r="A159" s="26">
        <v>46024</v>
      </c>
      <c r="B159" t="s">
        <v>5</v>
      </c>
      <c r="C159" t="s">
        <v>48</v>
      </c>
      <c r="D159" t="s">
        <v>49</v>
      </c>
      <c r="E159" t="s">
        <v>72</v>
      </c>
      <c r="F159" t="s">
        <v>40</v>
      </c>
      <c r="G159">
        <v>12</v>
      </c>
      <c r="H159" t="s">
        <v>54</v>
      </c>
    </row>
    <row r="160" spans="1:8" x14ac:dyDescent="0.25">
      <c r="A160" s="26">
        <v>46106</v>
      </c>
      <c r="B160" t="s">
        <v>8</v>
      </c>
      <c r="C160" t="s">
        <v>71</v>
      </c>
      <c r="D160" t="s">
        <v>38</v>
      </c>
      <c r="E160" t="s">
        <v>63</v>
      </c>
      <c r="F160" t="s">
        <v>64</v>
      </c>
      <c r="G160">
        <v>1</v>
      </c>
      <c r="H160" t="s">
        <v>36</v>
      </c>
    </row>
    <row r="161" spans="1:8" x14ac:dyDescent="0.25">
      <c r="A161" s="26">
        <v>46187</v>
      </c>
      <c r="B161" t="s">
        <v>6</v>
      </c>
      <c r="C161" t="s">
        <v>28</v>
      </c>
      <c r="D161" t="s">
        <v>29</v>
      </c>
      <c r="E161" t="s">
        <v>63</v>
      </c>
      <c r="F161" t="s">
        <v>47</v>
      </c>
      <c r="G161">
        <v>10</v>
      </c>
      <c r="H161" t="s">
        <v>62</v>
      </c>
    </row>
    <row r="162" spans="1:8" x14ac:dyDescent="0.25">
      <c r="A162" s="26">
        <v>46124</v>
      </c>
      <c r="B162" t="s">
        <v>5</v>
      </c>
      <c r="C162" t="s">
        <v>71</v>
      </c>
      <c r="D162" t="s">
        <v>29</v>
      </c>
      <c r="E162" t="s">
        <v>75</v>
      </c>
      <c r="F162" t="s">
        <v>47</v>
      </c>
      <c r="G162">
        <v>15</v>
      </c>
      <c r="H162" t="s">
        <v>54</v>
      </c>
    </row>
    <row r="163" spans="1:8" x14ac:dyDescent="0.25">
      <c r="A163" s="26">
        <v>46086</v>
      </c>
      <c r="B163" t="s">
        <v>15</v>
      </c>
      <c r="C163" t="s">
        <v>28</v>
      </c>
      <c r="D163" t="s">
        <v>56</v>
      </c>
      <c r="E163" t="s">
        <v>63</v>
      </c>
      <c r="F163" t="s">
        <v>43</v>
      </c>
      <c r="G163">
        <v>3</v>
      </c>
      <c r="H163" t="s">
        <v>62</v>
      </c>
    </row>
    <row r="164" spans="1:8" x14ac:dyDescent="0.25">
      <c r="A164" s="26">
        <v>46028</v>
      </c>
      <c r="B164" t="s">
        <v>8</v>
      </c>
      <c r="C164" t="s">
        <v>71</v>
      </c>
      <c r="D164" t="s">
        <v>49</v>
      </c>
      <c r="E164" t="s">
        <v>75</v>
      </c>
      <c r="F164" t="s">
        <v>40</v>
      </c>
      <c r="G164">
        <v>1</v>
      </c>
      <c r="H164" t="s">
        <v>32</v>
      </c>
    </row>
    <row r="165" spans="1:8" x14ac:dyDescent="0.25">
      <c r="A165" s="26">
        <v>46218</v>
      </c>
      <c r="B165" t="s">
        <v>6</v>
      </c>
      <c r="C165" t="s">
        <v>71</v>
      </c>
      <c r="D165" t="s">
        <v>29</v>
      </c>
      <c r="E165" t="s">
        <v>63</v>
      </c>
      <c r="F165" t="s">
        <v>51</v>
      </c>
      <c r="G165">
        <v>9</v>
      </c>
      <c r="H165" t="s">
        <v>54</v>
      </c>
    </row>
    <row r="166" spans="1:8" x14ac:dyDescent="0.25">
      <c r="A166" s="26">
        <v>46147</v>
      </c>
      <c r="B166" t="s">
        <v>7</v>
      </c>
      <c r="C166" t="s">
        <v>48</v>
      </c>
      <c r="D166" t="s">
        <v>34</v>
      </c>
      <c r="E166" t="s">
        <v>72</v>
      </c>
      <c r="F166" t="s">
        <v>61</v>
      </c>
      <c r="G166">
        <v>13</v>
      </c>
      <c r="H166" t="s">
        <v>32</v>
      </c>
    </row>
    <row r="167" spans="1:8" x14ac:dyDescent="0.25">
      <c r="A167" s="26">
        <v>46187</v>
      </c>
      <c r="B167" t="s">
        <v>15</v>
      </c>
      <c r="C167" t="s">
        <v>87</v>
      </c>
      <c r="D167" t="s">
        <v>34</v>
      </c>
      <c r="E167" t="s">
        <v>63</v>
      </c>
      <c r="F167" t="s">
        <v>73</v>
      </c>
      <c r="G167">
        <v>10</v>
      </c>
      <c r="H167" t="s">
        <v>36</v>
      </c>
    </row>
    <row r="168" spans="1:8" x14ac:dyDescent="0.25">
      <c r="A168" s="26">
        <v>46179</v>
      </c>
      <c r="B168" t="s">
        <v>5</v>
      </c>
      <c r="C168" t="s">
        <v>28</v>
      </c>
      <c r="D168" t="s">
        <v>38</v>
      </c>
      <c r="E168" t="s">
        <v>30</v>
      </c>
      <c r="F168" t="s">
        <v>78</v>
      </c>
      <c r="G168">
        <v>10</v>
      </c>
      <c r="H168" t="s">
        <v>32</v>
      </c>
    </row>
    <row r="169" spans="1:8" x14ac:dyDescent="0.25">
      <c r="A169" s="26">
        <v>46220</v>
      </c>
      <c r="B169" t="s">
        <v>9</v>
      </c>
      <c r="C169" t="s">
        <v>28</v>
      </c>
      <c r="D169" t="s">
        <v>56</v>
      </c>
      <c r="E169" t="s">
        <v>72</v>
      </c>
      <c r="F169" t="s">
        <v>53</v>
      </c>
      <c r="G169">
        <v>15</v>
      </c>
      <c r="H169" t="s">
        <v>36</v>
      </c>
    </row>
    <row r="170" spans="1:8" x14ac:dyDescent="0.25">
      <c r="A170" s="26">
        <v>46140</v>
      </c>
      <c r="B170" t="s">
        <v>7</v>
      </c>
      <c r="C170" t="s">
        <v>71</v>
      </c>
      <c r="D170" t="s">
        <v>29</v>
      </c>
      <c r="E170" t="s">
        <v>72</v>
      </c>
      <c r="F170" t="s">
        <v>59</v>
      </c>
      <c r="G170">
        <v>9</v>
      </c>
      <c r="H170" t="s">
        <v>62</v>
      </c>
    </row>
    <row r="171" spans="1:8" x14ac:dyDescent="0.25">
      <c r="A171" s="26">
        <v>46198</v>
      </c>
      <c r="B171" t="s">
        <v>12</v>
      </c>
      <c r="C171" t="s">
        <v>71</v>
      </c>
      <c r="D171" t="s">
        <v>56</v>
      </c>
      <c r="E171" t="s">
        <v>75</v>
      </c>
      <c r="F171" t="s">
        <v>78</v>
      </c>
      <c r="G171">
        <v>14</v>
      </c>
      <c r="H171" t="s">
        <v>54</v>
      </c>
    </row>
    <row r="172" spans="1:8" x14ac:dyDescent="0.25">
      <c r="A172" s="26">
        <v>46120</v>
      </c>
      <c r="B172" t="s">
        <v>12</v>
      </c>
      <c r="C172" t="s">
        <v>28</v>
      </c>
      <c r="D172" t="s">
        <v>34</v>
      </c>
      <c r="E172" t="s">
        <v>63</v>
      </c>
      <c r="F172" t="s">
        <v>51</v>
      </c>
      <c r="G172">
        <v>14</v>
      </c>
      <c r="H172" t="s">
        <v>62</v>
      </c>
    </row>
    <row r="173" spans="1:8" x14ac:dyDescent="0.25">
      <c r="A173" s="26">
        <v>46246</v>
      </c>
      <c r="B173" t="s">
        <v>9</v>
      </c>
      <c r="C173" t="s">
        <v>28</v>
      </c>
      <c r="D173" t="s">
        <v>34</v>
      </c>
      <c r="E173" t="s">
        <v>72</v>
      </c>
      <c r="F173" t="s">
        <v>53</v>
      </c>
      <c r="G173">
        <v>10</v>
      </c>
      <c r="H173" t="s">
        <v>36</v>
      </c>
    </row>
    <row r="174" spans="1:8" x14ac:dyDescent="0.25">
      <c r="A174" s="26">
        <v>46072</v>
      </c>
      <c r="B174" t="s">
        <v>12</v>
      </c>
      <c r="C174" t="s">
        <v>71</v>
      </c>
      <c r="D174" t="s">
        <v>38</v>
      </c>
      <c r="E174" t="s">
        <v>72</v>
      </c>
      <c r="F174" t="s">
        <v>59</v>
      </c>
      <c r="G174">
        <v>15</v>
      </c>
      <c r="H174" t="s">
        <v>32</v>
      </c>
    </row>
    <row r="175" spans="1:8" x14ac:dyDescent="0.25">
      <c r="A175" s="26">
        <v>46197</v>
      </c>
      <c r="B175" t="s">
        <v>7</v>
      </c>
      <c r="C175" t="s">
        <v>71</v>
      </c>
      <c r="D175" t="s">
        <v>49</v>
      </c>
      <c r="E175" t="s">
        <v>95</v>
      </c>
      <c r="F175" t="s">
        <v>61</v>
      </c>
      <c r="G175">
        <v>5</v>
      </c>
      <c r="H175" t="s">
        <v>62</v>
      </c>
    </row>
    <row r="176" spans="1:8" x14ac:dyDescent="0.25">
      <c r="A176" s="26">
        <v>46057</v>
      </c>
      <c r="B176" t="s">
        <v>7</v>
      </c>
      <c r="C176" t="s">
        <v>28</v>
      </c>
      <c r="D176" t="s">
        <v>56</v>
      </c>
      <c r="E176" t="s">
        <v>95</v>
      </c>
      <c r="F176" t="s">
        <v>61</v>
      </c>
      <c r="G176">
        <v>15</v>
      </c>
      <c r="H176" t="s">
        <v>32</v>
      </c>
    </row>
    <row r="177" spans="1:8" x14ac:dyDescent="0.25">
      <c r="A177" s="26">
        <v>46033</v>
      </c>
      <c r="B177" t="s">
        <v>9</v>
      </c>
      <c r="C177" t="s">
        <v>71</v>
      </c>
      <c r="D177" t="s">
        <v>34</v>
      </c>
      <c r="E177" t="s">
        <v>95</v>
      </c>
      <c r="F177" t="s">
        <v>73</v>
      </c>
      <c r="G177">
        <v>13</v>
      </c>
      <c r="H177" t="s">
        <v>54</v>
      </c>
    </row>
    <row r="178" spans="1:8" x14ac:dyDescent="0.25">
      <c r="A178" s="26">
        <v>46241</v>
      </c>
      <c r="B178" t="s">
        <v>12</v>
      </c>
      <c r="C178" t="s">
        <v>87</v>
      </c>
      <c r="D178" t="s">
        <v>38</v>
      </c>
      <c r="E178" t="s">
        <v>95</v>
      </c>
      <c r="F178" t="s">
        <v>40</v>
      </c>
      <c r="G178">
        <v>9</v>
      </c>
      <c r="H178" t="s">
        <v>54</v>
      </c>
    </row>
    <row r="179" spans="1:8" x14ac:dyDescent="0.25">
      <c r="A179" s="26">
        <v>46123</v>
      </c>
      <c r="B179" t="s">
        <v>7</v>
      </c>
      <c r="C179" t="s">
        <v>48</v>
      </c>
      <c r="D179" t="s">
        <v>34</v>
      </c>
      <c r="E179" t="s">
        <v>63</v>
      </c>
      <c r="F179" t="s">
        <v>73</v>
      </c>
      <c r="G179">
        <v>9</v>
      </c>
      <c r="H179" t="s">
        <v>36</v>
      </c>
    </row>
    <row r="180" spans="1:8" x14ac:dyDescent="0.25">
      <c r="A180" s="26">
        <v>46026</v>
      </c>
      <c r="B180" t="s">
        <v>15</v>
      </c>
      <c r="C180" t="s">
        <v>71</v>
      </c>
      <c r="D180" t="s">
        <v>38</v>
      </c>
      <c r="E180" t="s">
        <v>63</v>
      </c>
      <c r="F180" t="s">
        <v>78</v>
      </c>
      <c r="G180">
        <v>9</v>
      </c>
      <c r="H180" t="s">
        <v>36</v>
      </c>
    </row>
    <row r="181" spans="1:8" x14ac:dyDescent="0.25">
      <c r="A181" s="26">
        <v>46089</v>
      </c>
      <c r="B181" t="s">
        <v>9</v>
      </c>
      <c r="C181" t="s">
        <v>28</v>
      </c>
      <c r="D181" t="s">
        <v>49</v>
      </c>
      <c r="E181" t="s">
        <v>95</v>
      </c>
      <c r="F181" t="s">
        <v>59</v>
      </c>
      <c r="G181">
        <v>3</v>
      </c>
      <c r="H181" t="s">
        <v>54</v>
      </c>
    </row>
    <row r="182" spans="1:8" x14ac:dyDescent="0.25">
      <c r="A182" s="26">
        <v>46106</v>
      </c>
      <c r="B182" t="s">
        <v>12</v>
      </c>
      <c r="C182" t="s">
        <v>71</v>
      </c>
      <c r="D182" t="s">
        <v>56</v>
      </c>
      <c r="E182" t="s">
        <v>72</v>
      </c>
      <c r="F182" t="s">
        <v>51</v>
      </c>
      <c r="G182">
        <v>2</v>
      </c>
      <c r="H182" t="s">
        <v>62</v>
      </c>
    </row>
    <row r="183" spans="1:8" x14ac:dyDescent="0.25">
      <c r="A183" s="26">
        <v>46165</v>
      </c>
      <c r="B183" t="s">
        <v>8</v>
      </c>
      <c r="C183" t="s">
        <v>48</v>
      </c>
      <c r="D183" t="s">
        <v>29</v>
      </c>
      <c r="E183" t="s">
        <v>75</v>
      </c>
      <c r="F183" t="s">
        <v>64</v>
      </c>
      <c r="G183">
        <v>6</v>
      </c>
      <c r="H183" t="s">
        <v>32</v>
      </c>
    </row>
    <row r="184" spans="1:8" x14ac:dyDescent="0.25">
      <c r="A184" s="26">
        <v>46153</v>
      </c>
      <c r="B184" t="s">
        <v>15</v>
      </c>
      <c r="C184" t="s">
        <v>87</v>
      </c>
      <c r="D184" t="s">
        <v>56</v>
      </c>
      <c r="E184" t="s">
        <v>72</v>
      </c>
      <c r="F184" t="s">
        <v>53</v>
      </c>
      <c r="G184">
        <v>4</v>
      </c>
      <c r="H184" t="s">
        <v>36</v>
      </c>
    </row>
    <row r="185" spans="1:8" x14ac:dyDescent="0.25">
      <c r="A185" s="26">
        <v>46211</v>
      </c>
      <c r="B185" t="s">
        <v>15</v>
      </c>
      <c r="C185" t="s">
        <v>28</v>
      </c>
      <c r="D185" t="s">
        <v>34</v>
      </c>
      <c r="E185" t="s">
        <v>72</v>
      </c>
      <c r="F185" t="s">
        <v>66</v>
      </c>
      <c r="G185">
        <v>7</v>
      </c>
      <c r="H185" t="s">
        <v>36</v>
      </c>
    </row>
    <row r="186" spans="1:8" x14ac:dyDescent="0.25">
      <c r="A186" s="26">
        <v>46084</v>
      </c>
      <c r="B186" t="s">
        <v>6</v>
      </c>
      <c r="C186" t="s">
        <v>71</v>
      </c>
      <c r="D186" t="s">
        <v>49</v>
      </c>
      <c r="E186" t="s">
        <v>72</v>
      </c>
      <c r="F186" t="s">
        <v>43</v>
      </c>
      <c r="G186">
        <v>14</v>
      </c>
      <c r="H186" t="s">
        <v>36</v>
      </c>
    </row>
    <row r="187" spans="1:8" x14ac:dyDescent="0.25">
      <c r="A187" s="26">
        <v>46094</v>
      </c>
      <c r="B187" t="s">
        <v>6</v>
      </c>
      <c r="C187" t="s">
        <v>48</v>
      </c>
      <c r="D187" t="s">
        <v>29</v>
      </c>
      <c r="E187" t="s">
        <v>30</v>
      </c>
      <c r="F187" t="s">
        <v>84</v>
      </c>
      <c r="G187">
        <v>12</v>
      </c>
      <c r="H187" t="s">
        <v>32</v>
      </c>
    </row>
    <row r="188" spans="1:8" x14ac:dyDescent="0.25">
      <c r="A188" s="26">
        <v>46239</v>
      </c>
      <c r="B188" t="s">
        <v>7</v>
      </c>
      <c r="C188" t="s">
        <v>28</v>
      </c>
      <c r="D188" t="s">
        <v>29</v>
      </c>
      <c r="E188" t="s">
        <v>72</v>
      </c>
      <c r="F188" t="s">
        <v>47</v>
      </c>
      <c r="G188">
        <v>11</v>
      </c>
      <c r="H188" t="s">
        <v>36</v>
      </c>
    </row>
    <row r="189" spans="1:8" x14ac:dyDescent="0.25">
      <c r="A189" s="26">
        <v>46175</v>
      </c>
      <c r="B189" t="s">
        <v>15</v>
      </c>
      <c r="C189" t="s">
        <v>48</v>
      </c>
      <c r="D189" t="s">
        <v>38</v>
      </c>
      <c r="E189" t="s">
        <v>72</v>
      </c>
      <c r="F189" t="s">
        <v>47</v>
      </c>
      <c r="G189">
        <v>4</v>
      </c>
      <c r="H189" t="s">
        <v>32</v>
      </c>
    </row>
    <row r="190" spans="1:8" x14ac:dyDescent="0.25">
      <c r="A190" s="26">
        <v>46039</v>
      </c>
      <c r="B190" t="s">
        <v>10</v>
      </c>
      <c r="C190" t="s">
        <v>28</v>
      </c>
      <c r="D190" t="s">
        <v>29</v>
      </c>
      <c r="E190" t="s">
        <v>30</v>
      </c>
      <c r="F190" t="s">
        <v>78</v>
      </c>
      <c r="G190">
        <v>4</v>
      </c>
      <c r="H190" t="s">
        <v>32</v>
      </c>
    </row>
    <row r="191" spans="1:8" x14ac:dyDescent="0.25">
      <c r="A191" s="26">
        <v>46210</v>
      </c>
      <c r="B191" t="s">
        <v>7</v>
      </c>
      <c r="C191" t="s">
        <v>28</v>
      </c>
      <c r="D191" t="s">
        <v>34</v>
      </c>
      <c r="E191" t="s">
        <v>72</v>
      </c>
      <c r="F191" t="s">
        <v>66</v>
      </c>
      <c r="G191">
        <v>3</v>
      </c>
      <c r="H191" t="s">
        <v>36</v>
      </c>
    </row>
    <row r="192" spans="1:8" x14ac:dyDescent="0.25">
      <c r="A192" s="26">
        <v>46165</v>
      </c>
      <c r="B192" t="s">
        <v>12</v>
      </c>
      <c r="C192" t="s">
        <v>71</v>
      </c>
      <c r="D192" t="s">
        <v>56</v>
      </c>
      <c r="E192" t="s">
        <v>75</v>
      </c>
      <c r="F192" t="s">
        <v>59</v>
      </c>
      <c r="G192">
        <v>15</v>
      </c>
      <c r="H192" t="s">
        <v>36</v>
      </c>
    </row>
    <row r="193" spans="1:8" x14ac:dyDescent="0.25">
      <c r="A193" s="26">
        <v>46072</v>
      </c>
      <c r="B193" t="s">
        <v>5</v>
      </c>
      <c r="C193" t="s">
        <v>48</v>
      </c>
      <c r="D193" t="s">
        <v>49</v>
      </c>
      <c r="E193" t="s">
        <v>95</v>
      </c>
      <c r="F193" t="s">
        <v>59</v>
      </c>
      <c r="G193">
        <v>9</v>
      </c>
      <c r="H193" t="s">
        <v>36</v>
      </c>
    </row>
    <row r="194" spans="1:8" x14ac:dyDescent="0.25">
      <c r="A194" s="26">
        <v>46118</v>
      </c>
      <c r="B194" t="s">
        <v>9</v>
      </c>
      <c r="C194" t="s">
        <v>87</v>
      </c>
      <c r="D194" t="s">
        <v>49</v>
      </c>
      <c r="E194" t="s">
        <v>72</v>
      </c>
      <c r="F194" t="s">
        <v>53</v>
      </c>
      <c r="G194">
        <v>12</v>
      </c>
      <c r="H194" t="s">
        <v>32</v>
      </c>
    </row>
    <row r="195" spans="1:8" x14ac:dyDescent="0.25">
      <c r="A195" s="26">
        <v>46105</v>
      </c>
      <c r="B195" t="s">
        <v>12</v>
      </c>
      <c r="C195" t="s">
        <v>87</v>
      </c>
      <c r="D195" t="s">
        <v>49</v>
      </c>
      <c r="E195" t="s">
        <v>72</v>
      </c>
      <c r="F195" t="s">
        <v>51</v>
      </c>
      <c r="G195">
        <v>5</v>
      </c>
      <c r="H195" t="s">
        <v>54</v>
      </c>
    </row>
    <row r="196" spans="1:8" x14ac:dyDescent="0.25">
      <c r="A196" s="26">
        <v>46117</v>
      </c>
      <c r="B196" t="s">
        <v>8</v>
      </c>
      <c r="C196" t="s">
        <v>28</v>
      </c>
      <c r="D196" t="s">
        <v>56</v>
      </c>
      <c r="E196" t="s">
        <v>63</v>
      </c>
      <c r="F196" t="s">
        <v>61</v>
      </c>
      <c r="G196">
        <v>4</v>
      </c>
      <c r="H196" t="s">
        <v>62</v>
      </c>
    </row>
    <row r="197" spans="1:8" x14ac:dyDescent="0.25">
      <c r="A197" s="26">
        <v>46223</v>
      </c>
      <c r="B197" t="s">
        <v>5</v>
      </c>
      <c r="C197" t="s">
        <v>48</v>
      </c>
      <c r="D197" t="s">
        <v>49</v>
      </c>
      <c r="E197" t="s">
        <v>72</v>
      </c>
      <c r="F197" t="s">
        <v>91</v>
      </c>
      <c r="G197">
        <v>10</v>
      </c>
      <c r="H197" t="s">
        <v>36</v>
      </c>
    </row>
    <row r="198" spans="1:8" x14ac:dyDescent="0.25">
      <c r="A198" s="26">
        <v>46221</v>
      </c>
      <c r="B198" t="s">
        <v>6</v>
      </c>
      <c r="C198" t="s">
        <v>87</v>
      </c>
      <c r="D198" t="s">
        <v>29</v>
      </c>
      <c r="E198" t="s">
        <v>95</v>
      </c>
      <c r="F198" t="s">
        <v>51</v>
      </c>
      <c r="G198">
        <v>4</v>
      </c>
      <c r="H198" t="s">
        <v>62</v>
      </c>
    </row>
    <row r="199" spans="1:8" x14ac:dyDescent="0.25">
      <c r="A199" s="26">
        <v>46248</v>
      </c>
      <c r="B199" t="s">
        <v>12</v>
      </c>
      <c r="C199" t="s">
        <v>71</v>
      </c>
      <c r="D199" t="s">
        <v>38</v>
      </c>
      <c r="E199" t="s">
        <v>63</v>
      </c>
      <c r="F199" t="s">
        <v>53</v>
      </c>
      <c r="G199">
        <v>1</v>
      </c>
      <c r="H199" t="s">
        <v>32</v>
      </c>
    </row>
    <row r="200" spans="1:8" x14ac:dyDescent="0.25">
      <c r="A200" s="26">
        <v>46054</v>
      </c>
      <c r="B200" t="s">
        <v>5</v>
      </c>
      <c r="C200" t="s">
        <v>28</v>
      </c>
      <c r="D200" t="s">
        <v>49</v>
      </c>
      <c r="E200" t="s">
        <v>63</v>
      </c>
      <c r="F200" t="s">
        <v>66</v>
      </c>
      <c r="G200">
        <v>13</v>
      </c>
      <c r="H200" t="s">
        <v>36</v>
      </c>
    </row>
    <row r="201" spans="1:8" x14ac:dyDescent="0.25">
      <c r="A201" s="26">
        <v>46094</v>
      </c>
      <c r="B201" t="s">
        <v>6</v>
      </c>
      <c r="C201" t="s">
        <v>87</v>
      </c>
      <c r="D201" t="s">
        <v>56</v>
      </c>
      <c r="E201" t="s">
        <v>63</v>
      </c>
      <c r="F201" t="s">
        <v>91</v>
      </c>
      <c r="G201">
        <v>7</v>
      </c>
      <c r="H201" t="s">
        <v>36</v>
      </c>
    </row>
    <row r="202" spans="1:8" x14ac:dyDescent="0.25">
      <c r="A202" s="26">
        <v>46187</v>
      </c>
      <c r="B202" t="s">
        <v>7</v>
      </c>
      <c r="C202" t="s">
        <v>28</v>
      </c>
      <c r="D202" t="s">
        <v>56</v>
      </c>
      <c r="E202" t="s">
        <v>63</v>
      </c>
      <c r="F202" t="s">
        <v>59</v>
      </c>
      <c r="G202">
        <v>10</v>
      </c>
      <c r="H202" t="s">
        <v>54</v>
      </c>
    </row>
    <row r="203" spans="1:8" x14ac:dyDescent="0.25">
      <c r="A203" s="26">
        <v>46047</v>
      </c>
      <c r="B203" t="s">
        <v>5</v>
      </c>
      <c r="C203" t="s">
        <v>28</v>
      </c>
      <c r="D203" t="s">
        <v>56</v>
      </c>
      <c r="E203" t="s">
        <v>72</v>
      </c>
      <c r="F203" t="s">
        <v>78</v>
      </c>
      <c r="G203">
        <v>5</v>
      </c>
      <c r="H203" t="s">
        <v>54</v>
      </c>
    </row>
    <row r="204" spans="1:8" x14ac:dyDescent="0.25">
      <c r="A204" s="26">
        <v>46108</v>
      </c>
      <c r="B204" t="s">
        <v>8</v>
      </c>
      <c r="C204" t="s">
        <v>71</v>
      </c>
      <c r="D204" t="s">
        <v>29</v>
      </c>
      <c r="E204" t="s">
        <v>63</v>
      </c>
      <c r="F204" t="s">
        <v>59</v>
      </c>
      <c r="G204">
        <v>2</v>
      </c>
      <c r="H204" t="s">
        <v>62</v>
      </c>
    </row>
    <row r="205" spans="1:8" x14ac:dyDescent="0.25">
      <c r="A205" s="26">
        <v>46198</v>
      </c>
      <c r="B205" t="s">
        <v>7</v>
      </c>
      <c r="C205" t="s">
        <v>71</v>
      </c>
      <c r="D205" t="s">
        <v>56</v>
      </c>
      <c r="E205" t="s">
        <v>63</v>
      </c>
      <c r="F205" t="s">
        <v>47</v>
      </c>
      <c r="G205">
        <v>8</v>
      </c>
      <c r="H205" t="s">
        <v>36</v>
      </c>
    </row>
    <row r="206" spans="1:8" x14ac:dyDescent="0.25">
      <c r="A206" s="26">
        <v>46223</v>
      </c>
      <c r="B206" t="s">
        <v>12</v>
      </c>
      <c r="C206" t="s">
        <v>28</v>
      </c>
      <c r="D206" t="s">
        <v>56</v>
      </c>
      <c r="E206" t="s">
        <v>72</v>
      </c>
      <c r="F206" t="s">
        <v>64</v>
      </c>
      <c r="G206">
        <v>4</v>
      </c>
      <c r="H206" t="s">
        <v>36</v>
      </c>
    </row>
    <row r="207" spans="1:8" x14ac:dyDescent="0.25">
      <c r="A207" s="26">
        <v>46046</v>
      </c>
      <c r="B207" t="s">
        <v>6</v>
      </c>
      <c r="C207" t="s">
        <v>71</v>
      </c>
      <c r="D207" t="s">
        <v>29</v>
      </c>
      <c r="E207" t="s">
        <v>75</v>
      </c>
      <c r="F207" t="s">
        <v>64</v>
      </c>
      <c r="G207">
        <v>10</v>
      </c>
      <c r="H207" t="s">
        <v>36</v>
      </c>
    </row>
    <row r="208" spans="1:8" x14ac:dyDescent="0.25">
      <c r="A208" s="26">
        <v>46119</v>
      </c>
      <c r="B208" t="s">
        <v>12</v>
      </c>
      <c r="C208" t="s">
        <v>48</v>
      </c>
      <c r="D208" t="s">
        <v>38</v>
      </c>
      <c r="E208" t="s">
        <v>63</v>
      </c>
      <c r="F208" t="s">
        <v>78</v>
      </c>
      <c r="G208">
        <v>12</v>
      </c>
      <c r="H208" t="s">
        <v>32</v>
      </c>
    </row>
    <row r="209" spans="1:8" x14ac:dyDescent="0.25">
      <c r="A209" s="26">
        <v>46117</v>
      </c>
      <c r="B209" t="s">
        <v>8</v>
      </c>
      <c r="C209" t="s">
        <v>28</v>
      </c>
      <c r="D209" t="s">
        <v>38</v>
      </c>
      <c r="E209" t="s">
        <v>72</v>
      </c>
      <c r="F209" t="s">
        <v>31</v>
      </c>
      <c r="G209">
        <v>4</v>
      </c>
      <c r="H209" t="s">
        <v>36</v>
      </c>
    </row>
    <row r="210" spans="1:8" x14ac:dyDescent="0.25">
      <c r="A210" s="26">
        <v>46091</v>
      </c>
      <c r="B210" t="s">
        <v>8</v>
      </c>
      <c r="C210" t="s">
        <v>28</v>
      </c>
      <c r="D210" t="s">
        <v>56</v>
      </c>
      <c r="E210" t="s">
        <v>72</v>
      </c>
      <c r="F210" t="s">
        <v>53</v>
      </c>
      <c r="G210">
        <v>6</v>
      </c>
      <c r="H210" t="s">
        <v>54</v>
      </c>
    </row>
    <row r="211" spans="1:8" x14ac:dyDescent="0.25">
      <c r="A211" s="26">
        <v>46150</v>
      </c>
      <c r="B211" t="s">
        <v>12</v>
      </c>
      <c r="C211" t="s">
        <v>28</v>
      </c>
      <c r="D211" t="s">
        <v>29</v>
      </c>
      <c r="E211" t="s">
        <v>30</v>
      </c>
      <c r="F211" t="s">
        <v>43</v>
      </c>
      <c r="G211">
        <v>4</v>
      </c>
      <c r="H211" t="s">
        <v>36</v>
      </c>
    </row>
    <row r="212" spans="1:8" x14ac:dyDescent="0.25">
      <c r="A212" s="26">
        <v>46181</v>
      </c>
      <c r="B212" t="s">
        <v>7</v>
      </c>
      <c r="C212" t="s">
        <v>28</v>
      </c>
      <c r="D212" t="s">
        <v>38</v>
      </c>
      <c r="E212" t="s">
        <v>95</v>
      </c>
      <c r="F212" t="s">
        <v>31</v>
      </c>
      <c r="G212">
        <v>5</v>
      </c>
      <c r="H212" t="s">
        <v>36</v>
      </c>
    </row>
    <row r="213" spans="1:8" x14ac:dyDescent="0.25">
      <c r="A213" s="26">
        <v>46097</v>
      </c>
      <c r="B213" t="s">
        <v>6</v>
      </c>
      <c r="C213" t="s">
        <v>71</v>
      </c>
      <c r="D213" t="s">
        <v>38</v>
      </c>
      <c r="E213" t="s">
        <v>63</v>
      </c>
      <c r="F213" t="s">
        <v>53</v>
      </c>
      <c r="G213">
        <v>5</v>
      </c>
      <c r="H213" t="s">
        <v>36</v>
      </c>
    </row>
    <row r="214" spans="1:8" x14ac:dyDescent="0.25">
      <c r="A214" s="26">
        <v>46193</v>
      </c>
      <c r="B214" t="s">
        <v>9</v>
      </c>
      <c r="C214" t="s">
        <v>87</v>
      </c>
      <c r="D214" t="s">
        <v>34</v>
      </c>
      <c r="E214" t="s">
        <v>95</v>
      </c>
      <c r="F214" t="s">
        <v>91</v>
      </c>
      <c r="G214">
        <v>11</v>
      </c>
      <c r="H214" t="s">
        <v>32</v>
      </c>
    </row>
    <row r="215" spans="1:8" x14ac:dyDescent="0.25">
      <c r="A215" s="26">
        <v>46204</v>
      </c>
      <c r="B215" t="s">
        <v>9</v>
      </c>
      <c r="C215" t="s">
        <v>87</v>
      </c>
      <c r="D215" t="s">
        <v>34</v>
      </c>
      <c r="E215" t="s">
        <v>75</v>
      </c>
      <c r="F215" t="s">
        <v>31</v>
      </c>
      <c r="G215">
        <v>3</v>
      </c>
      <c r="H215" t="s">
        <v>32</v>
      </c>
    </row>
    <row r="216" spans="1:8" x14ac:dyDescent="0.25">
      <c r="A216" s="26">
        <v>46061</v>
      </c>
      <c r="B216" t="s">
        <v>5</v>
      </c>
      <c r="C216" t="s">
        <v>28</v>
      </c>
      <c r="D216" t="s">
        <v>38</v>
      </c>
      <c r="E216" t="s">
        <v>63</v>
      </c>
      <c r="F216" t="s">
        <v>47</v>
      </c>
      <c r="G216">
        <v>4</v>
      </c>
      <c r="H216" t="s">
        <v>36</v>
      </c>
    </row>
    <row r="217" spans="1:8" x14ac:dyDescent="0.25">
      <c r="A217" s="26">
        <v>46187</v>
      </c>
      <c r="B217" t="s">
        <v>10</v>
      </c>
      <c r="C217" t="s">
        <v>71</v>
      </c>
      <c r="D217" t="s">
        <v>49</v>
      </c>
      <c r="E217" t="s">
        <v>30</v>
      </c>
      <c r="F217" t="s">
        <v>73</v>
      </c>
      <c r="G217">
        <v>8</v>
      </c>
      <c r="H217" t="s">
        <v>54</v>
      </c>
    </row>
    <row r="218" spans="1:8" x14ac:dyDescent="0.25">
      <c r="A218" s="26">
        <v>46148</v>
      </c>
      <c r="B218" t="s">
        <v>9</v>
      </c>
      <c r="C218" t="s">
        <v>87</v>
      </c>
      <c r="D218" t="s">
        <v>29</v>
      </c>
      <c r="E218" t="s">
        <v>72</v>
      </c>
      <c r="F218" t="s">
        <v>31</v>
      </c>
      <c r="G218">
        <v>8</v>
      </c>
      <c r="H218" t="s">
        <v>54</v>
      </c>
    </row>
    <row r="219" spans="1:8" x14ac:dyDescent="0.25">
      <c r="A219" s="26">
        <v>46080</v>
      </c>
      <c r="B219" t="s">
        <v>8</v>
      </c>
      <c r="C219" t="s">
        <v>28</v>
      </c>
      <c r="D219" t="s">
        <v>49</v>
      </c>
      <c r="E219" t="s">
        <v>72</v>
      </c>
      <c r="F219" t="s">
        <v>40</v>
      </c>
      <c r="G219">
        <v>8</v>
      </c>
      <c r="H219" t="s">
        <v>54</v>
      </c>
    </row>
    <row r="220" spans="1:8" x14ac:dyDescent="0.25">
      <c r="A220" s="26">
        <v>46151</v>
      </c>
      <c r="B220" t="s">
        <v>7</v>
      </c>
      <c r="C220" t="s">
        <v>48</v>
      </c>
      <c r="D220" t="s">
        <v>29</v>
      </c>
      <c r="E220" t="s">
        <v>72</v>
      </c>
      <c r="F220" t="s">
        <v>31</v>
      </c>
      <c r="G220">
        <v>6</v>
      </c>
      <c r="H220" t="s">
        <v>36</v>
      </c>
    </row>
    <row r="221" spans="1:8" x14ac:dyDescent="0.25">
      <c r="A221" s="26">
        <v>46083</v>
      </c>
      <c r="B221" t="s">
        <v>8</v>
      </c>
      <c r="C221" t="s">
        <v>71</v>
      </c>
      <c r="D221" t="s">
        <v>56</v>
      </c>
      <c r="E221" t="s">
        <v>95</v>
      </c>
      <c r="F221" t="s">
        <v>43</v>
      </c>
      <c r="G221">
        <v>4</v>
      </c>
      <c r="H221" t="s">
        <v>62</v>
      </c>
    </row>
    <row r="222" spans="1:8" x14ac:dyDescent="0.25">
      <c r="A222" s="26">
        <v>46245</v>
      </c>
      <c r="B222" t="s">
        <v>5</v>
      </c>
      <c r="C222" t="s">
        <v>28</v>
      </c>
      <c r="D222" t="s">
        <v>49</v>
      </c>
      <c r="E222" t="s">
        <v>72</v>
      </c>
      <c r="F222" t="s">
        <v>59</v>
      </c>
      <c r="G222">
        <v>14</v>
      </c>
      <c r="H222" t="s">
        <v>62</v>
      </c>
    </row>
    <row r="223" spans="1:8" x14ac:dyDescent="0.25">
      <c r="A223" s="26">
        <v>46052</v>
      </c>
      <c r="B223" t="s">
        <v>5</v>
      </c>
      <c r="C223" t="s">
        <v>28</v>
      </c>
      <c r="D223" t="s">
        <v>38</v>
      </c>
      <c r="E223" t="s">
        <v>30</v>
      </c>
      <c r="F223" t="s">
        <v>91</v>
      </c>
      <c r="G223">
        <v>7</v>
      </c>
      <c r="H223" t="s">
        <v>62</v>
      </c>
    </row>
    <row r="224" spans="1:8" x14ac:dyDescent="0.25">
      <c r="A224" s="26">
        <v>46141</v>
      </c>
      <c r="B224" t="s">
        <v>12</v>
      </c>
      <c r="C224" t="s">
        <v>28</v>
      </c>
      <c r="D224" t="s">
        <v>56</v>
      </c>
      <c r="E224" t="s">
        <v>95</v>
      </c>
      <c r="F224" t="s">
        <v>64</v>
      </c>
      <c r="G224">
        <v>8</v>
      </c>
      <c r="H224" t="s">
        <v>32</v>
      </c>
    </row>
    <row r="225" spans="1:8" x14ac:dyDescent="0.25">
      <c r="A225" s="26">
        <v>46054</v>
      </c>
      <c r="B225" t="s">
        <v>10</v>
      </c>
      <c r="C225" t="s">
        <v>28</v>
      </c>
      <c r="D225" t="s">
        <v>34</v>
      </c>
      <c r="E225" t="s">
        <v>63</v>
      </c>
      <c r="F225" t="s">
        <v>53</v>
      </c>
      <c r="G225">
        <v>12</v>
      </c>
      <c r="H225" t="s">
        <v>36</v>
      </c>
    </row>
    <row r="226" spans="1:8" x14ac:dyDescent="0.25">
      <c r="A226" s="26">
        <v>46037</v>
      </c>
      <c r="B226" t="s">
        <v>15</v>
      </c>
      <c r="C226" t="s">
        <v>28</v>
      </c>
      <c r="D226" t="s">
        <v>56</v>
      </c>
      <c r="E226" t="s">
        <v>75</v>
      </c>
      <c r="F226" t="s">
        <v>47</v>
      </c>
      <c r="G226">
        <v>8</v>
      </c>
      <c r="H226" t="s">
        <v>36</v>
      </c>
    </row>
    <row r="227" spans="1:8" x14ac:dyDescent="0.25">
      <c r="A227" s="26">
        <v>46157</v>
      </c>
      <c r="B227" t="s">
        <v>10</v>
      </c>
      <c r="C227" t="s">
        <v>87</v>
      </c>
      <c r="D227" t="s">
        <v>29</v>
      </c>
      <c r="E227" t="s">
        <v>30</v>
      </c>
      <c r="F227" t="s">
        <v>78</v>
      </c>
      <c r="G227">
        <v>11</v>
      </c>
      <c r="H227" t="s">
        <v>54</v>
      </c>
    </row>
    <row r="228" spans="1:8" x14ac:dyDescent="0.25">
      <c r="A228" s="26">
        <v>46239</v>
      </c>
      <c r="B228" t="s">
        <v>8</v>
      </c>
      <c r="C228" t="s">
        <v>48</v>
      </c>
      <c r="D228" t="s">
        <v>56</v>
      </c>
      <c r="E228" t="s">
        <v>72</v>
      </c>
      <c r="F228" t="s">
        <v>73</v>
      </c>
      <c r="G228">
        <v>2</v>
      </c>
      <c r="H228" t="s">
        <v>62</v>
      </c>
    </row>
    <row r="229" spans="1:8" x14ac:dyDescent="0.25">
      <c r="A229" s="26">
        <v>46124</v>
      </c>
      <c r="B229" t="s">
        <v>15</v>
      </c>
      <c r="C229" t="s">
        <v>28</v>
      </c>
      <c r="D229" t="s">
        <v>38</v>
      </c>
      <c r="E229" t="s">
        <v>75</v>
      </c>
      <c r="F229" t="s">
        <v>91</v>
      </c>
      <c r="G229">
        <v>7</v>
      </c>
      <c r="H229" t="s">
        <v>32</v>
      </c>
    </row>
    <row r="230" spans="1:8" x14ac:dyDescent="0.25">
      <c r="A230" s="26">
        <v>46061</v>
      </c>
      <c r="B230" t="s">
        <v>15</v>
      </c>
      <c r="C230" t="s">
        <v>28</v>
      </c>
      <c r="D230" t="s">
        <v>49</v>
      </c>
      <c r="E230" t="s">
        <v>72</v>
      </c>
      <c r="F230" t="s">
        <v>53</v>
      </c>
      <c r="G230">
        <v>1</v>
      </c>
      <c r="H230" t="s">
        <v>62</v>
      </c>
    </row>
    <row r="231" spans="1:8" x14ac:dyDescent="0.25">
      <c r="A231" s="26">
        <v>46090</v>
      </c>
      <c r="B231" t="s">
        <v>7</v>
      </c>
      <c r="C231" t="s">
        <v>48</v>
      </c>
      <c r="D231" t="s">
        <v>49</v>
      </c>
      <c r="E231" t="s">
        <v>30</v>
      </c>
      <c r="F231" t="s">
        <v>84</v>
      </c>
      <c r="G231">
        <v>11</v>
      </c>
      <c r="H231" t="s">
        <v>54</v>
      </c>
    </row>
    <row r="232" spans="1:8" x14ac:dyDescent="0.25">
      <c r="A232" s="26">
        <v>46182</v>
      </c>
      <c r="B232" t="s">
        <v>12</v>
      </c>
      <c r="C232" t="s">
        <v>71</v>
      </c>
      <c r="D232" t="s">
        <v>56</v>
      </c>
      <c r="E232" t="s">
        <v>30</v>
      </c>
      <c r="F232" t="s">
        <v>51</v>
      </c>
      <c r="G232">
        <v>14</v>
      </c>
      <c r="H232" t="s">
        <v>32</v>
      </c>
    </row>
    <row r="233" spans="1:8" x14ac:dyDescent="0.25">
      <c r="A233" s="26">
        <v>46120</v>
      </c>
      <c r="B233" t="s">
        <v>15</v>
      </c>
      <c r="C233" t="s">
        <v>28</v>
      </c>
      <c r="D233" t="s">
        <v>56</v>
      </c>
      <c r="E233" t="s">
        <v>72</v>
      </c>
      <c r="F233" t="s">
        <v>51</v>
      </c>
      <c r="G233">
        <v>4</v>
      </c>
      <c r="H233" t="s">
        <v>54</v>
      </c>
    </row>
    <row r="234" spans="1:8" x14ac:dyDescent="0.25">
      <c r="A234" s="26">
        <v>46148</v>
      </c>
      <c r="B234" t="s">
        <v>8</v>
      </c>
      <c r="C234" t="s">
        <v>28</v>
      </c>
      <c r="D234" t="s">
        <v>49</v>
      </c>
      <c r="E234" t="s">
        <v>63</v>
      </c>
      <c r="F234" t="s">
        <v>61</v>
      </c>
      <c r="G234">
        <v>5</v>
      </c>
      <c r="H234" t="s">
        <v>36</v>
      </c>
    </row>
    <row r="235" spans="1:8" x14ac:dyDescent="0.25">
      <c r="A235" s="26">
        <v>46228</v>
      </c>
      <c r="B235" t="s">
        <v>9</v>
      </c>
      <c r="C235" t="s">
        <v>28</v>
      </c>
      <c r="D235" t="s">
        <v>56</v>
      </c>
      <c r="E235" t="s">
        <v>63</v>
      </c>
      <c r="F235" t="s">
        <v>40</v>
      </c>
      <c r="G235">
        <v>5</v>
      </c>
      <c r="H235" t="s">
        <v>62</v>
      </c>
    </row>
    <row r="236" spans="1:8" x14ac:dyDescent="0.25">
      <c r="A236" s="26">
        <v>46185</v>
      </c>
      <c r="B236" t="s">
        <v>7</v>
      </c>
      <c r="C236" t="s">
        <v>28</v>
      </c>
      <c r="D236" t="s">
        <v>38</v>
      </c>
      <c r="E236" t="s">
        <v>72</v>
      </c>
      <c r="F236" t="s">
        <v>53</v>
      </c>
      <c r="G236">
        <v>15</v>
      </c>
      <c r="H236" t="s">
        <v>32</v>
      </c>
    </row>
    <row r="237" spans="1:8" x14ac:dyDescent="0.25">
      <c r="A237" s="26">
        <v>46194</v>
      </c>
      <c r="B237" t="s">
        <v>8</v>
      </c>
      <c r="C237" t="s">
        <v>28</v>
      </c>
      <c r="D237" t="s">
        <v>56</v>
      </c>
      <c r="E237" t="s">
        <v>63</v>
      </c>
      <c r="F237" t="s">
        <v>53</v>
      </c>
      <c r="G237">
        <v>14</v>
      </c>
      <c r="H237" t="s">
        <v>36</v>
      </c>
    </row>
    <row r="238" spans="1:8" x14ac:dyDescent="0.25">
      <c r="A238" s="26">
        <v>46140</v>
      </c>
      <c r="B238" t="s">
        <v>6</v>
      </c>
      <c r="C238" t="s">
        <v>87</v>
      </c>
      <c r="D238" t="s">
        <v>49</v>
      </c>
      <c r="E238" t="s">
        <v>95</v>
      </c>
      <c r="F238" t="s">
        <v>31</v>
      </c>
      <c r="G238">
        <v>6</v>
      </c>
      <c r="H238" t="s">
        <v>62</v>
      </c>
    </row>
    <row r="239" spans="1:8" x14ac:dyDescent="0.25">
      <c r="A239" s="26">
        <v>46216</v>
      </c>
      <c r="B239" t="s">
        <v>7</v>
      </c>
      <c r="C239" t="s">
        <v>71</v>
      </c>
      <c r="D239" t="s">
        <v>56</v>
      </c>
      <c r="E239" t="s">
        <v>72</v>
      </c>
      <c r="F239" t="s">
        <v>78</v>
      </c>
      <c r="G239">
        <v>12</v>
      </c>
      <c r="H239" t="s">
        <v>54</v>
      </c>
    </row>
    <row r="240" spans="1:8" x14ac:dyDescent="0.25">
      <c r="A240" s="26">
        <v>46023</v>
      </c>
      <c r="B240" t="s">
        <v>15</v>
      </c>
      <c r="C240" t="s">
        <v>71</v>
      </c>
      <c r="D240" t="s">
        <v>34</v>
      </c>
      <c r="E240" t="s">
        <v>63</v>
      </c>
      <c r="F240" t="s">
        <v>53</v>
      </c>
      <c r="G240">
        <v>9</v>
      </c>
      <c r="H240" t="s">
        <v>54</v>
      </c>
    </row>
    <row r="241" spans="1:8" x14ac:dyDescent="0.25">
      <c r="A241" s="26">
        <v>46171</v>
      </c>
      <c r="B241" t="s">
        <v>8</v>
      </c>
      <c r="C241" t="s">
        <v>48</v>
      </c>
      <c r="D241" t="s">
        <v>29</v>
      </c>
      <c r="E241" t="s">
        <v>72</v>
      </c>
      <c r="F241" t="s">
        <v>64</v>
      </c>
      <c r="G241">
        <v>7</v>
      </c>
      <c r="H241" t="s">
        <v>36</v>
      </c>
    </row>
    <row r="242" spans="1:8" x14ac:dyDescent="0.25">
      <c r="A242" s="26">
        <v>46066</v>
      </c>
      <c r="B242" t="s">
        <v>12</v>
      </c>
      <c r="C242" t="s">
        <v>71</v>
      </c>
      <c r="D242" t="s">
        <v>49</v>
      </c>
      <c r="E242" t="s">
        <v>72</v>
      </c>
      <c r="F242" t="s">
        <v>73</v>
      </c>
      <c r="G242">
        <v>13</v>
      </c>
      <c r="H242" t="s">
        <v>54</v>
      </c>
    </row>
    <row r="243" spans="1:8" x14ac:dyDescent="0.25">
      <c r="A243" s="26">
        <v>46147</v>
      </c>
      <c r="B243" t="s">
        <v>5</v>
      </c>
      <c r="C243" t="s">
        <v>48</v>
      </c>
      <c r="D243" t="s">
        <v>29</v>
      </c>
      <c r="E243" t="s">
        <v>63</v>
      </c>
      <c r="F243" t="s">
        <v>53</v>
      </c>
      <c r="G243">
        <v>8</v>
      </c>
      <c r="H243" t="s">
        <v>32</v>
      </c>
    </row>
    <row r="244" spans="1:8" x14ac:dyDescent="0.25">
      <c r="A244" s="26">
        <v>46041</v>
      </c>
      <c r="B244" t="s">
        <v>6</v>
      </c>
      <c r="C244" t="s">
        <v>28</v>
      </c>
      <c r="D244" t="s">
        <v>34</v>
      </c>
      <c r="E244" t="s">
        <v>30</v>
      </c>
      <c r="F244" t="s">
        <v>47</v>
      </c>
      <c r="G244">
        <v>6</v>
      </c>
      <c r="H244" t="s">
        <v>54</v>
      </c>
    </row>
    <row r="245" spans="1:8" x14ac:dyDescent="0.25">
      <c r="A245" s="26">
        <v>46224</v>
      </c>
      <c r="B245" t="s">
        <v>10</v>
      </c>
      <c r="C245" t="s">
        <v>28</v>
      </c>
      <c r="D245" t="s">
        <v>38</v>
      </c>
      <c r="E245" t="s">
        <v>30</v>
      </c>
      <c r="F245" t="s">
        <v>53</v>
      </c>
      <c r="G245">
        <v>13</v>
      </c>
      <c r="H245" t="s">
        <v>32</v>
      </c>
    </row>
    <row r="246" spans="1:8" x14ac:dyDescent="0.25">
      <c r="A246" s="26">
        <v>46203</v>
      </c>
      <c r="B246" t="s">
        <v>8</v>
      </c>
      <c r="C246" t="s">
        <v>28</v>
      </c>
      <c r="D246" t="s">
        <v>38</v>
      </c>
      <c r="E246" t="s">
        <v>72</v>
      </c>
      <c r="F246" t="s">
        <v>53</v>
      </c>
      <c r="G246">
        <v>7</v>
      </c>
      <c r="H246" t="s">
        <v>32</v>
      </c>
    </row>
    <row r="247" spans="1:8" x14ac:dyDescent="0.25">
      <c r="A247" s="26">
        <v>46244</v>
      </c>
      <c r="B247" t="s">
        <v>10</v>
      </c>
      <c r="C247" t="s">
        <v>87</v>
      </c>
      <c r="D247" t="s">
        <v>38</v>
      </c>
      <c r="E247" t="s">
        <v>30</v>
      </c>
      <c r="F247" t="s">
        <v>51</v>
      </c>
      <c r="G247">
        <v>9</v>
      </c>
      <c r="H247" t="s">
        <v>32</v>
      </c>
    </row>
    <row r="248" spans="1:8" x14ac:dyDescent="0.25">
      <c r="A248" s="26">
        <v>46122</v>
      </c>
      <c r="B248" t="s">
        <v>7</v>
      </c>
      <c r="C248" t="s">
        <v>48</v>
      </c>
      <c r="D248" t="s">
        <v>56</v>
      </c>
      <c r="E248" t="s">
        <v>75</v>
      </c>
      <c r="F248" t="s">
        <v>43</v>
      </c>
      <c r="G248">
        <v>3</v>
      </c>
      <c r="H248" t="s">
        <v>32</v>
      </c>
    </row>
    <row r="249" spans="1:8" x14ac:dyDescent="0.25">
      <c r="A249" s="26">
        <v>46180</v>
      </c>
      <c r="B249" t="s">
        <v>5</v>
      </c>
      <c r="C249" t="s">
        <v>87</v>
      </c>
      <c r="D249" t="s">
        <v>38</v>
      </c>
      <c r="E249" t="s">
        <v>95</v>
      </c>
      <c r="F249" t="s">
        <v>47</v>
      </c>
      <c r="G249">
        <v>11</v>
      </c>
      <c r="H249" t="s">
        <v>62</v>
      </c>
    </row>
    <row r="250" spans="1:8" x14ac:dyDescent="0.25">
      <c r="A250" s="26">
        <v>46200</v>
      </c>
      <c r="B250" t="s">
        <v>9</v>
      </c>
      <c r="C250" t="s">
        <v>71</v>
      </c>
      <c r="D250" t="s">
        <v>38</v>
      </c>
      <c r="E250" t="s">
        <v>63</v>
      </c>
      <c r="F250" t="s">
        <v>64</v>
      </c>
      <c r="G250">
        <v>15</v>
      </c>
      <c r="H250" t="s">
        <v>54</v>
      </c>
    </row>
    <row r="251" spans="1:8" x14ac:dyDescent="0.25">
      <c r="A251" s="26">
        <v>46167</v>
      </c>
      <c r="B251" t="s">
        <v>5</v>
      </c>
      <c r="C251" t="s">
        <v>28</v>
      </c>
      <c r="D251" t="s">
        <v>38</v>
      </c>
      <c r="E251" t="s">
        <v>72</v>
      </c>
      <c r="F251" t="s">
        <v>47</v>
      </c>
      <c r="G251">
        <v>9</v>
      </c>
      <c r="H251" t="s">
        <v>36</v>
      </c>
    </row>
    <row r="252" spans="1:8" x14ac:dyDescent="0.25">
      <c r="A252" s="26">
        <v>46236</v>
      </c>
      <c r="B252" t="s">
        <v>5</v>
      </c>
      <c r="C252" t="s">
        <v>28</v>
      </c>
      <c r="D252" t="s">
        <v>29</v>
      </c>
      <c r="E252" t="s">
        <v>75</v>
      </c>
      <c r="F252" t="s">
        <v>53</v>
      </c>
      <c r="G252">
        <v>1</v>
      </c>
      <c r="H252" t="s">
        <v>62</v>
      </c>
    </row>
    <row r="253" spans="1:8" x14ac:dyDescent="0.25">
      <c r="A253" s="26">
        <v>46152</v>
      </c>
      <c r="B253" t="s">
        <v>9</v>
      </c>
      <c r="C253" t="s">
        <v>28</v>
      </c>
      <c r="D253" t="s">
        <v>49</v>
      </c>
      <c r="E253" t="s">
        <v>30</v>
      </c>
      <c r="F253" t="s">
        <v>64</v>
      </c>
      <c r="G253">
        <v>1</v>
      </c>
      <c r="H253" t="s">
        <v>32</v>
      </c>
    </row>
    <row r="254" spans="1:8" x14ac:dyDescent="0.25">
      <c r="A254" s="26">
        <v>46071</v>
      </c>
      <c r="B254" t="s">
        <v>10</v>
      </c>
      <c r="C254" t="s">
        <v>48</v>
      </c>
      <c r="D254" t="s">
        <v>56</v>
      </c>
      <c r="E254" t="s">
        <v>75</v>
      </c>
      <c r="F254" t="s">
        <v>73</v>
      </c>
      <c r="G254">
        <v>7</v>
      </c>
      <c r="H254" t="s">
        <v>54</v>
      </c>
    </row>
    <row r="255" spans="1:8" x14ac:dyDescent="0.25">
      <c r="A255" s="26">
        <v>46126</v>
      </c>
      <c r="B255" t="s">
        <v>5</v>
      </c>
      <c r="C255" t="s">
        <v>28</v>
      </c>
      <c r="D255" t="s">
        <v>49</v>
      </c>
      <c r="E255" t="s">
        <v>63</v>
      </c>
      <c r="F255" t="s">
        <v>31</v>
      </c>
      <c r="G255">
        <v>13</v>
      </c>
      <c r="H255" t="s">
        <v>36</v>
      </c>
    </row>
    <row r="256" spans="1:8" x14ac:dyDescent="0.25">
      <c r="A256" s="26">
        <v>46069</v>
      </c>
      <c r="B256" t="s">
        <v>10</v>
      </c>
      <c r="C256" t="s">
        <v>28</v>
      </c>
      <c r="D256" t="s">
        <v>49</v>
      </c>
      <c r="E256" t="s">
        <v>63</v>
      </c>
      <c r="F256" t="s">
        <v>51</v>
      </c>
      <c r="G256">
        <v>15</v>
      </c>
      <c r="H256" t="s">
        <v>36</v>
      </c>
    </row>
    <row r="257" spans="1:8" x14ac:dyDescent="0.25">
      <c r="A257" s="26">
        <v>46091</v>
      </c>
      <c r="B257" t="s">
        <v>10</v>
      </c>
      <c r="C257" t="s">
        <v>28</v>
      </c>
      <c r="D257" t="s">
        <v>56</v>
      </c>
      <c r="E257" t="s">
        <v>72</v>
      </c>
      <c r="F257" t="s">
        <v>43</v>
      </c>
      <c r="G257">
        <v>9</v>
      </c>
      <c r="H257" t="s">
        <v>62</v>
      </c>
    </row>
    <row r="258" spans="1:8" x14ac:dyDescent="0.25">
      <c r="A258" s="26">
        <v>46060</v>
      </c>
      <c r="B258" t="s">
        <v>5</v>
      </c>
      <c r="C258" t="s">
        <v>48</v>
      </c>
      <c r="D258" t="s">
        <v>49</v>
      </c>
      <c r="E258" t="s">
        <v>63</v>
      </c>
      <c r="F258" t="s">
        <v>59</v>
      </c>
      <c r="G258">
        <v>15</v>
      </c>
      <c r="H258" t="s">
        <v>54</v>
      </c>
    </row>
    <row r="259" spans="1:8" x14ac:dyDescent="0.25">
      <c r="A259" s="26">
        <v>46053</v>
      </c>
      <c r="B259" t="s">
        <v>7</v>
      </c>
      <c r="C259" t="s">
        <v>28</v>
      </c>
      <c r="D259" t="s">
        <v>38</v>
      </c>
      <c r="E259" t="s">
        <v>72</v>
      </c>
      <c r="F259" t="s">
        <v>84</v>
      </c>
      <c r="G259">
        <v>15</v>
      </c>
      <c r="H259" t="s">
        <v>32</v>
      </c>
    </row>
    <row r="260" spans="1:8" x14ac:dyDescent="0.25">
      <c r="A260" s="26">
        <v>46098</v>
      </c>
      <c r="B260" t="s">
        <v>15</v>
      </c>
      <c r="C260" t="s">
        <v>28</v>
      </c>
      <c r="D260" t="s">
        <v>49</v>
      </c>
      <c r="E260" t="s">
        <v>72</v>
      </c>
      <c r="F260" t="s">
        <v>64</v>
      </c>
      <c r="G260">
        <v>13</v>
      </c>
      <c r="H260" t="s">
        <v>62</v>
      </c>
    </row>
    <row r="261" spans="1:8" x14ac:dyDescent="0.25">
      <c r="A261" s="26">
        <v>46077</v>
      </c>
      <c r="B261" t="s">
        <v>7</v>
      </c>
      <c r="C261" t="s">
        <v>87</v>
      </c>
      <c r="D261" t="s">
        <v>29</v>
      </c>
      <c r="E261" t="s">
        <v>63</v>
      </c>
      <c r="F261" t="s">
        <v>40</v>
      </c>
      <c r="G261">
        <v>6</v>
      </c>
      <c r="H261" t="s">
        <v>32</v>
      </c>
    </row>
    <row r="262" spans="1:8" x14ac:dyDescent="0.25">
      <c r="A262" s="26">
        <v>46041</v>
      </c>
      <c r="B262" t="s">
        <v>5</v>
      </c>
      <c r="C262" t="s">
        <v>87</v>
      </c>
      <c r="D262" t="s">
        <v>56</v>
      </c>
      <c r="E262" t="s">
        <v>95</v>
      </c>
      <c r="F262" t="s">
        <v>53</v>
      </c>
      <c r="G262">
        <v>6</v>
      </c>
      <c r="H262" t="s">
        <v>62</v>
      </c>
    </row>
    <row r="263" spans="1:8" x14ac:dyDescent="0.25">
      <c r="A263" s="26">
        <v>46189</v>
      </c>
      <c r="B263" t="s">
        <v>8</v>
      </c>
      <c r="C263" t="s">
        <v>28</v>
      </c>
      <c r="D263" t="s">
        <v>29</v>
      </c>
      <c r="E263" t="s">
        <v>63</v>
      </c>
      <c r="F263" t="s">
        <v>61</v>
      </c>
      <c r="G263">
        <v>10</v>
      </c>
      <c r="H263" t="s">
        <v>36</v>
      </c>
    </row>
    <row r="264" spans="1:8" x14ac:dyDescent="0.25">
      <c r="A264" s="26">
        <v>46190</v>
      </c>
      <c r="B264" t="s">
        <v>7</v>
      </c>
      <c r="C264" t="s">
        <v>87</v>
      </c>
      <c r="D264" t="s">
        <v>38</v>
      </c>
      <c r="E264" t="s">
        <v>63</v>
      </c>
      <c r="F264" t="s">
        <v>66</v>
      </c>
      <c r="G264">
        <v>4</v>
      </c>
      <c r="H264" t="s">
        <v>62</v>
      </c>
    </row>
    <row r="265" spans="1:8" x14ac:dyDescent="0.25">
      <c r="A265" s="26">
        <v>46227</v>
      </c>
      <c r="B265" t="s">
        <v>7</v>
      </c>
      <c r="C265" t="s">
        <v>87</v>
      </c>
      <c r="D265" t="s">
        <v>56</v>
      </c>
      <c r="E265" t="s">
        <v>30</v>
      </c>
      <c r="F265" t="s">
        <v>84</v>
      </c>
      <c r="G265">
        <v>7</v>
      </c>
      <c r="H265" t="s">
        <v>62</v>
      </c>
    </row>
    <row r="266" spans="1:8" x14ac:dyDescent="0.25">
      <c r="A266" s="26">
        <v>46169</v>
      </c>
      <c r="B266" t="s">
        <v>10</v>
      </c>
      <c r="C266" t="s">
        <v>87</v>
      </c>
      <c r="D266" t="s">
        <v>49</v>
      </c>
      <c r="E266" t="s">
        <v>63</v>
      </c>
      <c r="F266" t="s">
        <v>53</v>
      </c>
      <c r="G266">
        <v>10</v>
      </c>
      <c r="H266" t="s">
        <v>36</v>
      </c>
    </row>
    <row r="267" spans="1:8" x14ac:dyDescent="0.25">
      <c r="A267" s="26">
        <v>46066</v>
      </c>
      <c r="B267" t="s">
        <v>7</v>
      </c>
      <c r="C267" t="s">
        <v>28</v>
      </c>
      <c r="D267" t="s">
        <v>29</v>
      </c>
      <c r="E267" t="s">
        <v>95</v>
      </c>
      <c r="F267" t="s">
        <v>47</v>
      </c>
      <c r="G267">
        <v>10</v>
      </c>
      <c r="H267" t="s">
        <v>36</v>
      </c>
    </row>
    <row r="268" spans="1:8" x14ac:dyDescent="0.25">
      <c r="A268" s="26">
        <v>46053</v>
      </c>
      <c r="B268" t="s">
        <v>6</v>
      </c>
      <c r="C268" t="s">
        <v>28</v>
      </c>
      <c r="D268" t="s">
        <v>56</v>
      </c>
      <c r="E268" t="s">
        <v>63</v>
      </c>
      <c r="F268" t="s">
        <v>40</v>
      </c>
      <c r="G268">
        <v>15</v>
      </c>
      <c r="H268" t="s">
        <v>62</v>
      </c>
    </row>
    <row r="269" spans="1:8" x14ac:dyDescent="0.25">
      <c r="A269" s="26">
        <v>46131</v>
      </c>
      <c r="B269" t="s">
        <v>6</v>
      </c>
      <c r="C269" t="s">
        <v>87</v>
      </c>
      <c r="D269" t="s">
        <v>38</v>
      </c>
      <c r="E269" t="s">
        <v>72</v>
      </c>
      <c r="F269" t="s">
        <v>43</v>
      </c>
      <c r="G269">
        <v>1</v>
      </c>
      <c r="H269" t="s">
        <v>36</v>
      </c>
    </row>
    <row r="270" spans="1:8" x14ac:dyDescent="0.25">
      <c r="A270" s="26">
        <v>46105</v>
      </c>
      <c r="B270" t="s">
        <v>9</v>
      </c>
      <c r="C270" t="s">
        <v>87</v>
      </c>
      <c r="D270" t="s">
        <v>34</v>
      </c>
      <c r="E270" t="s">
        <v>95</v>
      </c>
      <c r="F270" t="s">
        <v>31</v>
      </c>
      <c r="G270">
        <v>2</v>
      </c>
      <c r="H270" t="s">
        <v>54</v>
      </c>
    </row>
    <row r="271" spans="1:8" x14ac:dyDescent="0.25">
      <c r="A271" s="26">
        <v>46235</v>
      </c>
      <c r="B271" t="s">
        <v>10</v>
      </c>
      <c r="C271" t="s">
        <v>87</v>
      </c>
      <c r="D271" t="s">
        <v>49</v>
      </c>
      <c r="E271" t="s">
        <v>72</v>
      </c>
      <c r="F271" t="s">
        <v>78</v>
      </c>
      <c r="G271">
        <v>12</v>
      </c>
      <c r="H271" t="s">
        <v>54</v>
      </c>
    </row>
    <row r="272" spans="1:8" x14ac:dyDescent="0.25">
      <c r="A272" s="26">
        <v>46178</v>
      </c>
      <c r="B272" t="s">
        <v>6</v>
      </c>
      <c r="C272" t="s">
        <v>28</v>
      </c>
      <c r="D272" t="s">
        <v>56</v>
      </c>
      <c r="E272" t="s">
        <v>30</v>
      </c>
      <c r="F272" t="s">
        <v>61</v>
      </c>
      <c r="G272">
        <v>15</v>
      </c>
      <c r="H272" t="s">
        <v>32</v>
      </c>
    </row>
    <row r="273" spans="1:8" x14ac:dyDescent="0.25">
      <c r="A273" s="26">
        <v>46190</v>
      </c>
      <c r="B273" t="s">
        <v>7</v>
      </c>
      <c r="C273" t="s">
        <v>28</v>
      </c>
      <c r="D273" t="s">
        <v>49</v>
      </c>
      <c r="E273" t="s">
        <v>95</v>
      </c>
      <c r="F273" t="s">
        <v>61</v>
      </c>
      <c r="G273">
        <v>13</v>
      </c>
      <c r="H273" t="s">
        <v>62</v>
      </c>
    </row>
    <row r="274" spans="1:8" x14ac:dyDescent="0.25">
      <c r="A274" s="26">
        <v>46110</v>
      </c>
      <c r="B274" t="s">
        <v>15</v>
      </c>
      <c r="C274" t="s">
        <v>87</v>
      </c>
      <c r="D274" t="s">
        <v>38</v>
      </c>
      <c r="E274" t="s">
        <v>63</v>
      </c>
      <c r="F274" t="s">
        <v>31</v>
      </c>
      <c r="G274">
        <v>3</v>
      </c>
      <c r="H274" t="s">
        <v>54</v>
      </c>
    </row>
    <row r="275" spans="1:8" x14ac:dyDescent="0.25">
      <c r="A275" s="26">
        <v>46208</v>
      </c>
      <c r="B275" t="s">
        <v>5</v>
      </c>
      <c r="C275" t="s">
        <v>28</v>
      </c>
      <c r="D275" t="s">
        <v>49</v>
      </c>
      <c r="E275" t="s">
        <v>95</v>
      </c>
      <c r="F275" t="s">
        <v>84</v>
      </c>
      <c r="G275">
        <v>3</v>
      </c>
      <c r="H275" t="s">
        <v>54</v>
      </c>
    </row>
    <row r="276" spans="1:8" x14ac:dyDescent="0.25">
      <c r="A276" s="26">
        <v>46097</v>
      </c>
      <c r="B276" t="s">
        <v>15</v>
      </c>
      <c r="C276" t="s">
        <v>28</v>
      </c>
      <c r="D276" t="s">
        <v>29</v>
      </c>
      <c r="E276" t="s">
        <v>63</v>
      </c>
      <c r="F276" t="s">
        <v>51</v>
      </c>
      <c r="G276">
        <v>12</v>
      </c>
      <c r="H276" t="s">
        <v>62</v>
      </c>
    </row>
    <row r="277" spans="1:8" x14ac:dyDescent="0.25">
      <c r="A277" s="26">
        <v>46199</v>
      </c>
      <c r="B277" t="s">
        <v>9</v>
      </c>
      <c r="C277" t="s">
        <v>28</v>
      </c>
      <c r="D277" t="s">
        <v>49</v>
      </c>
      <c r="E277" t="s">
        <v>72</v>
      </c>
      <c r="F277" t="s">
        <v>40</v>
      </c>
      <c r="G277">
        <v>8</v>
      </c>
      <c r="H277" t="s">
        <v>54</v>
      </c>
    </row>
    <row r="278" spans="1:8" x14ac:dyDescent="0.25">
      <c r="A278" s="26">
        <v>46111</v>
      </c>
      <c r="B278" t="s">
        <v>12</v>
      </c>
      <c r="C278" t="s">
        <v>87</v>
      </c>
      <c r="D278" t="s">
        <v>49</v>
      </c>
      <c r="E278" t="s">
        <v>95</v>
      </c>
      <c r="F278" t="s">
        <v>84</v>
      </c>
      <c r="G278">
        <v>4</v>
      </c>
      <c r="H278" t="s">
        <v>32</v>
      </c>
    </row>
    <row r="279" spans="1:8" x14ac:dyDescent="0.25">
      <c r="A279" s="26">
        <v>46094</v>
      </c>
      <c r="B279" t="s">
        <v>7</v>
      </c>
      <c r="C279" t="s">
        <v>71</v>
      </c>
      <c r="D279" t="s">
        <v>38</v>
      </c>
      <c r="E279" t="s">
        <v>63</v>
      </c>
      <c r="F279" t="s">
        <v>64</v>
      </c>
      <c r="G279">
        <v>9</v>
      </c>
      <c r="H279" t="s">
        <v>36</v>
      </c>
    </row>
    <row r="280" spans="1:8" x14ac:dyDescent="0.25">
      <c r="A280" s="26">
        <v>46031</v>
      </c>
      <c r="B280" t="s">
        <v>9</v>
      </c>
      <c r="C280" t="s">
        <v>28</v>
      </c>
      <c r="D280" t="s">
        <v>34</v>
      </c>
      <c r="E280" t="s">
        <v>63</v>
      </c>
      <c r="F280" t="s">
        <v>40</v>
      </c>
      <c r="G280">
        <v>7</v>
      </c>
      <c r="H280" t="s">
        <v>54</v>
      </c>
    </row>
    <row r="281" spans="1:8" x14ac:dyDescent="0.25">
      <c r="A281" s="26">
        <v>46174</v>
      </c>
      <c r="B281" t="s">
        <v>9</v>
      </c>
      <c r="C281" t="s">
        <v>28</v>
      </c>
      <c r="D281" t="s">
        <v>56</v>
      </c>
      <c r="E281" t="s">
        <v>63</v>
      </c>
      <c r="F281" t="s">
        <v>51</v>
      </c>
      <c r="G281">
        <v>8</v>
      </c>
      <c r="H281" t="s">
        <v>32</v>
      </c>
    </row>
    <row r="282" spans="1:8" x14ac:dyDescent="0.25">
      <c r="A282" s="26">
        <v>46168</v>
      </c>
      <c r="B282" t="s">
        <v>12</v>
      </c>
      <c r="C282" t="s">
        <v>28</v>
      </c>
      <c r="D282" t="s">
        <v>56</v>
      </c>
      <c r="E282" t="s">
        <v>63</v>
      </c>
      <c r="F282" t="s">
        <v>91</v>
      </c>
      <c r="G282">
        <v>6</v>
      </c>
      <c r="H282" t="s">
        <v>32</v>
      </c>
    </row>
    <row r="283" spans="1:8" x14ac:dyDescent="0.25">
      <c r="A283" s="26">
        <v>46059</v>
      </c>
      <c r="B283" t="s">
        <v>9</v>
      </c>
      <c r="C283" t="s">
        <v>28</v>
      </c>
      <c r="D283" t="s">
        <v>34</v>
      </c>
      <c r="E283" t="s">
        <v>63</v>
      </c>
      <c r="F283" t="s">
        <v>43</v>
      </c>
      <c r="G283">
        <v>3</v>
      </c>
      <c r="H283" t="s">
        <v>32</v>
      </c>
    </row>
    <row r="284" spans="1:8" x14ac:dyDescent="0.25">
      <c r="A284" s="26">
        <v>46088</v>
      </c>
      <c r="B284" t="s">
        <v>10</v>
      </c>
      <c r="C284" t="s">
        <v>48</v>
      </c>
      <c r="D284" t="s">
        <v>29</v>
      </c>
      <c r="E284" t="s">
        <v>63</v>
      </c>
      <c r="F284" t="s">
        <v>53</v>
      </c>
      <c r="G284">
        <v>3</v>
      </c>
      <c r="H284" t="s">
        <v>54</v>
      </c>
    </row>
    <row r="285" spans="1:8" x14ac:dyDescent="0.25">
      <c r="A285" s="26">
        <v>46032</v>
      </c>
      <c r="B285" t="s">
        <v>9</v>
      </c>
      <c r="C285" t="s">
        <v>28</v>
      </c>
      <c r="D285" t="s">
        <v>29</v>
      </c>
      <c r="E285" t="s">
        <v>63</v>
      </c>
      <c r="F285" t="s">
        <v>84</v>
      </c>
      <c r="G285">
        <v>7</v>
      </c>
      <c r="H285" t="s">
        <v>32</v>
      </c>
    </row>
    <row r="286" spans="1:8" x14ac:dyDescent="0.25">
      <c r="A286" s="26">
        <v>46125</v>
      </c>
      <c r="B286" t="s">
        <v>15</v>
      </c>
      <c r="C286" t="s">
        <v>28</v>
      </c>
      <c r="D286" t="s">
        <v>49</v>
      </c>
      <c r="E286" t="s">
        <v>63</v>
      </c>
      <c r="F286" t="s">
        <v>84</v>
      </c>
      <c r="G286">
        <v>5</v>
      </c>
      <c r="H286" t="s">
        <v>62</v>
      </c>
    </row>
    <row r="287" spans="1:8" x14ac:dyDescent="0.25">
      <c r="A287" s="26">
        <v>46049</v>
      </c>
      <c r="B287" t="s">
        <v>15</v>
      </c>
      <c r="C287" t="s">
        <v>71</v>
      </c>
      <c r="D287" t="s">
        <v>29</v>
      </c>
      <c r="E287" t="s">
        <v>63</v>
      </c>
      <c r="F287" t="s">
        <v>66</v>
      </c>
      <c r="G287">
        <v>3</v>
      </c>
      <c r="H287" t="s">
        <v>36</v>
      </c>
    </row>
    <row r="288" spans="1:8" x14ac:dyDescent="0.25">
      <c r="A288" s="26">
        <v>46138</v>
      </c>
      <c r="B288" t="s">
        <v>10</v>
      </c>
      <c r="C288" t="s">
        <v>87</v>
      </c>
      <c r="D288" t="s">
        <v>29</v>
      </c>
      <c r="E288" t="s">
        <v>63</v>
      </c>
      <c r="F288" t="s">
        <v>31</v>
      </c>
      <c r="G288">
        <v>12</v>
      </c>
      <c r="H288" t="s">
        <v>36</v>
      </c>
    </row>
    <row r="289" spans="1:8" x14ac:dyDescent="0.25">
      <c r="A289" s="26">
        <v>46193</v>
      </c>
      <c r="B289" t="s">
        <v>7</v>
      </c>
      <c r="C289" t="s">
        <v>28</v>
      </c>
      <c r="D289" t="s">
        <v>49</v>
      </c>
      <c r="E289" t="s">
        <v>63</v>
      </c>
      <c r="F289" t="s">
        <v>47</v>
      </c>
      <c r="G289">
        <v>9</v>
      </c>
      <c r="H289" t="s">
        <v>36</v>
      </c>
    </row>
    <row r="290" spans="1:8" x14ac:dyDescent="0.25">
      <c r="A290" s="26">
        <v>46124</v>
      </c>
      <c r="B290" t="s">
        <v>15</v>
      </c>
      <c r="C290" t="s">
        <v>28</v>
      </c>
      <c r="D290" t="s">
        <v>29</v>
      </c>
      <c r="E290" t="s">
        <v>63</v>
      </c>
      <c r="F290" t="s">
        <v>59</v>
      </c>
      <c r="G290">
        <v>3</v>
      </c>
      <c r="H290" t="s">
        <v>62</v>
      </c>
    </row>
    <row r="291" spans="1:8" x14ac:dyDescent="0.25">
      <c r="A291" s="26">
        <v>46028</v>
      </c>
      <c r="B291" t="s">
        <v>10</v>
      </c>
      <c r="C291" t="s">
        <v>28</v>
      </c>
      <c r="D291" t="s">
        <v>29</v>
      </c>
      <c r="E291" t="s">
        <v>30</v>
      </c>
      <c r="F291" t="s">
        <v>51</v>
      </c>
      <c r="G291">
        <v>9</v>
      </c>
      <c r="H291" t="s">
        <v>32</v>
      </c>
    </row>
    <row r="292" spans="1:8" x14ac:dyDescent="0.25">
      <c r="A292" s="26">
        <v>46090</v>
      </c>
      <c r="B292" t="s">
        <v>12</v>
      </c>
      <c r="C292" t="s">
        <v>28</v>
      </c>
      <c r="D292" t="s">
        <v>49</v>
      </c>
      <c r="E292" t="s">
        <v>72</v>
      </c>
      <c r="F292" t="s">
        <v>47</v>
      </c>
      <c r="G292">
        <v>2</v>
      </c>
      <c r="H292" t="s">
        <v>36</v>
      </c>
    </row>
    <row r="293" spans="1:8" x14ac:dyDescent="0.25">
      <c r="A293" s="26">
        <v>46182</v>
      </c>
      <c r="B293" t="s">
        <v>8</v>
      </c>
      <c r="C293" t="s">
        <v>71</v>
      </c>
      <c r="D293" t="s">
        <v>49</v>
      </c>
      <c r="E293" t="s">
        <v>30</v>
      </c>
      <c r="F293" t="s">
        <v>78</v>
      </c>
      <c r="G293">
        <v>6</v>
      </c>
      <c r="H293" t="s">
        <v>32</v>
      </c>
    </row>
    <row r="294" spans="1:8" x14ac:dyDescent="0.25">
      <c r="A294" s="26">
        <v>46091</v>
      </c>
      <c r="B294" t="s">
        <v>10</v>
      </c>
      <c r="C294" t="s">
        <v>28</v>
      </c>
      <c r="D294" t="s">
        <v>34</v>
      </c>
      <c r="E294" t="s">
        <v>95</v>
      </c>
      <c r="F294" t="s">
        <v>91</v>
      </c>
      <c r="G294">
        <v>14</v>
      </c>
      <c r="H294" t="s">
        <v>36</v>
      </c>
    </row>
    <row r="295" spans="1:8" x14ac:dyDescent="0.25">
      <c r="A295" s="26">
        <v>46037</v>
      </c>
      <c r="B295" t="s">
        <v>6</v>
      </c>
      <c r="C295" t="s">
        <v>28</v>
      </c>
      <c r="D295" t="s">
        <v>29</v>
      </c>
      <c r="E295" t="s">
        <v>72</v>
      </c>
      <c r="F295" t="s">
        <v>78</v>
      </c>
      <c r="G295">
        <v>7</v>
      </c>
      <c r="H295" t="s">
        <v>54</v>
      </c>
    </row>
    <row r="296" spans="1:8" x14ac:dyDescent="0.25">
      <c r="A296" s="26">
        <v>46073</v>
      </c>
      <c r="B296" t="s">
        <v>8</v>
      </c>
      <c r="C296" t="s">
        <v>87</v>
      </c>
      <c r="D296" t="s">
        <v>29</v>
      </c>
      <c r="E296" t="s">
        <v>72</v>
      </c>
      <c r="F296" t="s">
        <v>84</v>
      </c>
      <c r="G296">
        <v>8</v>
      </c>
      <c r="H296" t="s">
        <v>62</v>
      </c>
    </row>
    <row r="297" spans="1:8" x14ac:dyDescent="0.25">
      <c r="A297" s="26">
        <v>46147</v>
      </c>
      <c r="B297" t="s">
        <v>7</v>
      </c>
      <c r="C297" t="s">
        <v>71</v>
      </c>
      <c r="D297" t="s">
        <v>29</v>
      </c>
      <c r="E297" t="s">
        <v>72</v>
      </c>
      <c r="F297" t="s">
        <v>47</v>
      </c>
      <c r="G297">
        <v>1</v>
      </c>
      <c r="H297" t="s">
        <v>62</v>
      </c>
    </row>
    <row r="298" spans="1:8" x14ac:dyDescent="0.25">
      <c r="A298" s="26">
        <v>46068</v>
      </c>
      <c r="B298" t="s">
        <v>6</v>
      </c>
      <c r="C298" t="s">
        <v>28</v>
      </c>
      <c r="D298" t="s">
        <v>29</v>
      </c>
      <c r="E298" t="s">
        <v>63</v>
      </c>
      <c r="F298" t="s">
        <v>64</v>
      </c>
      <c r="G298">
        <v>9</v>
      </c>
      <c r="H298" t="s">
        <v>32</v>
      </c>
    </row>
    <row r="299" spans="1:8" x14ac:dyDescent="0.25">
      <c r="A299" s="26">
        <v>46163</v>
      </c>
      <c r="B299" t="s">
        <v>7</v>
      </c>
      <c r="C299" t="s">
        <v>71</v>
      </c>
      <c r="D299" t="s">
        <v>29</v>
      </c>
      <c r="E299" t="s">
        <v>72</v>
      </c>
      <c r="F299" t="s">
        <v>64</v>
      </c>
      <c r="G299">
        <v>1</v>
      </c>
      <c r="H299" t="s">
        <v>54</v>
      </c>
    </row>
    <row r="300" spans="1:8" x14ac:dyDescent="0.25">
      <c r="A300" s="26">
        <v>46236</v>
      </c>
      <c r="B300" t="s">
        <v>6</v>
      </c>
      <c r="C300" t="s">
        <v>28</v>
      </c>
      <c r="D300" t="s">
        <v>29</v>
      </c>
      <c r="E300" t="s">
        <v>30</v>
      </c>
      <c r="F300" t="s">
        <v>61</v>
      </c>
      <c r="G300">
        <v>14</v>
      </c>
      <c r="H300" t="s">
        <v>54</v>
      </c>
    </row>
    <row r="301" spans="1:8" x14ac:dyDescent="0.25">
      <c r="A301" s="26">
        <v>46175</v>
      </c>
      <c r="B301" t="s">
        <v>15</v>
      </c>
      <c r="C301" t="s">
        <v>71</v>
      </c>
      <c r="D301" t="s">
        <v>56</v>
      </c>
      <c r="E301" t="s">
        <v>95</v>
      </c>
      <c r="F301" t="s">
        <v>51</v>
      </c>
      <c r="G301">
        <v>7</v>
      </c>
      <c r="H301" t="s">
        <v>36</v>
      </c>
    </row>
    <row r="302" spans="1:8" x14ac:dyDescent="0.25">
      <c r="A302" s="26">
        <v>46076</v>
      </c>
      <c r="B302" t="s">
        <v>8</v>
      </c>
      <c r="C302" t="s">
        <v>48</v>
      </c>
      <c r="D302" t="s">
        <v>34</v>
      </c>
      <c r="E302" t="s">
        <v>63</v>
      </c>
      <c r="F302" t="s">
        <v>43</v>
      </c>
      <c r="G302">
        <v>6</v>
      </c>
      <c r="H302" t="s">
        <v>32</v>
      </c>
    </row>
    <row r="303" spans="1:8" x14ac:dyDescent="0.25">
      <c r="A303" s="26">
        <v>46177</v>
      </c>
      <c r="B303" t="s">
        <v>6</v>
      </c>
      <c r="C303" t="s">
        <v>87</v>
      </c>
      <c r="D303" t="s">
        <v>29</v>
      </c>
      <c r="E303" t="s">
        <v>63</v>
      </c>
      <c r="F303" t="s">
        <v>73</v>
      </c>
      <c r="G303">
        <v>6</v>
      </c>
      <c r="H303" t="s">
        <v>36</v>
      </c>
    </row>
    <row r="304" spans="1:8" x14ac:dyDescent="0.25">
      <c r="A304" s="26">
        <v>46161</v>
      </c>
      <c r="B304" t="s">
        <v>10</v>
      </c>
      <c r="C304" t="s">
        <v>71</v>
      </c>
      <c r="D304" t="s">
        <v>29</v>
      </c>
      <c r="E304" t="s">
        <v>63</v>
      </c>
      <c r="F304" t="s">
        <v>73</v>
      </c>
      <c r="G304">
        <v>4</v>
      </c>
      <c r="H304" t="s">
        <v>32</v>
      </c>
    </row>
    <row r="305" spans="1:8" x14ac:dyDescent="0.25">
      <c r="A305" s="26">
        <v>46200</v>
      </c>
      <c r="B305" t="s">
        <v>5</v>
      </c>
      <c r="C305" t="s">
        <v>48</v>
      </c>
      <c r="D305" t="s">
        <v>49</v>
      </c>
      <c r="E305" t="s">
        <v>75</v>
      </c>
      <c r="F305" t="s">
        <v>64</v>
      </c>
      <c r="G305">
        <v>12</v>
      </c>
      <c r="H305" t="s">
        <v>54</v>
      </c>
    </row>
    <row r="306" spans="1:8" x14ac:dyDescent="0.25">
      <c r="A306" s="26">
        <v>46025</v>
      </c>
      <c r="B306" t="s">
        <v>8</v>
      </c>
      <c r="C306" t="s">
        <v>28</v>
      </c>
      <c r="D306" t="s">
        <v>49</v>
      </c>
      <c r="E306" t="s">
        <v>63</v>
      </c>
      <c r="F306" t="s">
        <v>53</v>
      </c>
      <c r="G306">
        <v>13</v>
      </c>
      <c r="H306" t="s">
        <v>36</v>
      </c>
    </row>
    <row r="307" spans="1:8" x14ac:dyDescent="0.25">
      <c r="A307" s="26">
        <v>46175</v>
      </c>
      <c r="B307" t="s">
        <v>6</v>
      </c>
      <c r="C307" t="s">
        <v>28</v>
      </c>
      <c r="D307" t="s">
        <v>29</v>
      </c>
      <c r="E307" t="s">
        <v>72</v>
      </c>
      <c r="F307" t="s">
        <v>64</v>
      </c>
      <c r="G307">
        <v>6</v>
      </c>
      <c r="H307" t="s">
        <v>54</v>
      </c>
    </row>
    <row r="308" spans="1:8" x14ac:dyDescent="0.25">
      <c r="A308" s="26">
        <v>46127</v>
      </c>
      <c r="B308" t="s">
        <v>12</v>
      </c>
      <c r="C308" t="s">
        <v>28</v>
      </c>
      <c r="D308" t="s">
        <v>38</v>
      </c>
      <c r="E308" t="s">
        <v>30</v>
      </c>
      <c r="F308" t="s">
        <v>91</v>
      </c>
      <c r="G308">
        <v>13</v>
      </c>
      <c r="H308" t="s">
        <v>36</v>
      </c>
    </row>
    <row r="309" spans="1:8" x14ac:dyDescent="0.25">
      <c r="A309" s="26">
        <v>46120</v>
      </c>
      <c r="B309" t="s">
        <v>5</v>
      </c>
      <c r="C309" t="s">
        <v>28</v>
      </c>
      <c r="D309" t="s">
        <v>49</v>
      </c>
      <c r="E309" t="s">
        <v>30</v>
      </c>
      <c r="F309" t="s">
        <v>61</v>
      </c>
      <c r="G309">
        <v>5</v>
      </c>
      <c r="H309" t="s">
        <v>54</v>
      </c>
    </row>
    <row r="310" spans="1:8" x14ac:dyDescent="0.25">
      <c r="A310" s="26">
        <v>46149</v>
      </c>
      <c r="B310" t="s">
        <v>6</v>
      </c>
      <c r="C310" t="s">
        <v>71</v>
      </c>
      <c r="D310" t="s">
        <v>56</v>
      </c>
      <c r="E310" t="s">
        <v>72</v>
      </c>
      <c r="F310" t="s">
        <v>40</v>
      </c>
      <c r="G310">
        <v>2</v>
      </c>
      <c r="H310" t="s">
        <v>36</v>
      </c>
    </row>
    <row r="311" spans="1:8" x14ac:dyDescent="0.25">
      <c r="A311" s="26">
        <v>46171</v>
      </c>
      <c r="B311" t="s">
        <v>12</v>
      </c>
      <c r="C311" t="s">
        <v>87</v>
      </c>
      <c r="D311" t="s">
        <v>29</v>
      </c>
      <c r="E311" t="s">
        <v>95</v>
      </c>
      <c r="F311" t="s">
        <v>61</v>
      </c>
      <c r="G311">
        <v>7</v>
      </c>
      <c r="H311" t="s">
        <v>36</v>
      </c>
    </row>
    <row r="312" spans="1:8" x14ac:dyDescent="0.25">
      <c r="A312" s="26">
        <v>46112</v>
      </c>
      <c r="B312" t="s">
        <v>5</v>
      </c>
      <c r="C312" t="s">
        <v>71</v>
      </c>
      <c r="D312" t="s">
        <v>49</v>
      </c>
      <c r="E312" t="s">
        <v>30</v>
      </c>
      <c r="F312" t="s">
        <v>64</v>
      </c>
      <c r="G312">
        <v>9</v>
      </c>
      <c r="H312" t="s">
        <v>54</v>
      </c>
    </row>
    <row r="313" spans="1:8" x14ac:dyDescent="0.25">
      <c r="A313" s="26">
        <v>46144</v>
      </c>
      <c r="B313" t="s">
        <v>5</v>
      </c>
      <c r="C313" t="s">
        <v>28</v>
      </c>
      <c r="D313" t="s">
        <v>38</v>
      </c>
      <c r="E313" t="s">
        <v>72</v>
      </c>
      <c r="F313" t="s">
        <v>31</v>
      </c>
      <c r="G313">
        <v>6</v>
      </c>
      <c r="H313" t="s">
        <v>32</v>
      </c>
    </row>
    <row r="314" spans="1:8" x14ac:dyDescent="0.25">
      <c r="A314" s="26">
        <v>46142</v>
      </c>
      <c r="B314" t="s">
        <v>12</v>
      </c>
      <c r="C314" t="s">
        <v>87</v>
      </c>
      <c r="D314" t="s">
        <v>34</v>
      </c>
      <c r="E314" t="s">
        <v>95</v>
      </c>
      <c r="F314" t="s">
        <v>91</v>
      </c>
      <c r="G314">
        <v>10</v>
      </c>
      <c r="H314" t="s">
        <v>62</v>
      </c>
    </row>
    <row r="315" spans="1:8" x14ac:dyDescent="0.25">
      <c r="A315" s="26">
        <v>46221</v>
      </c>
      <c r="B315" t="s">
        <v>7</v>
      </c>
      <c r="C315" t="s">
        <v>87</v>
      </c>
      <c r="D315" t="s">
        <v>56</v>
      </c>
      <c r="E315" t="s">
        <v>95</v>
      </c>
      <c r="F315" t="s">
        <v>84</v>
      </c>
      <c r="G315">
        <v>1</v>
      </c>
      <c r="H315" t="s">
        <v>36</v>
      </c>
    </row>
    <row r="316" spans="1:8" x14ac:dyDescent="0.25">
      <c r="A316" s="26">
        <v>46152</v>
      </c>
      <c r="B316" t="s">
        <v>10</v>
      </c>
      <c r="C316" t="s">
        <v>71</v>
      </c>
      <c r="D316" t="s">
        <v>56</v>
      </c>
      <c r="E316" t="s">
        <v>72</v>
      </c>
      <c r="F316" t="s">
        <v>31</v>
      </c>
      <c r="G316">
        <v>13</v>
      </c>
      <c r="H316" t="s">
        <v>54</v>
      </c>
    </row>
    <row r="317" spans="1:8" x14ac:dyDescent="0.25">
      <c r="A317" s="26">
        <v>46070</v>
      </c>
      <c r="B317" t="s">
        <v>6</v>
      </c>
      <c r="C317" t="s">
        <v>28</v>
      </c>
      <c r="D317" t="s">
        <v>56</v>
      </c>
      <c r="E317" t="s">
        <v>63</v>
      </c>
      <c r="F317" t="s">
        <v>51</v>
      </c>
      <c r="G317">
        <v>9</v>
      </c>
      <c r="H317" t="s">
        <v>54</v>
      </c>
    </row>
    <row r="318" spans="1:8" x14ac:dyDescent="0.25">
      <c r="A318" s="26">
        <v>46178</v>
      </c>
      <c r="B318" t="s">
        <v>15</v>
      </c>
      <c r="C318" t="s">
        <v>71</v>
      </c>
      <c r="D318" t="s">
        <v>38</v>
      </c>
      <c r="E318" t="s">
        <v>63</v>
      </c>
      <c r="F318" t="s">
        <v>43</v>
      </c>
      <c r="G318">
        <v>15</v>
      </c>
      <c r="H318" t="s">
        <v>54</v>
      </c>
    </row>
    <row r="319" spans="1:8" x14ac:dyDescent="0.25">
      <c r="A319" s="26">
        <v>46047</v>
      </c>
      <c r="B319" t="s">
        <v>9</v>
      </c>
      <c r="C319" t="s">
        <v>87</v>
      </c>
      <c r="D319" t="s">
        <v>29</v>
      </c>
      <c r="E319" t="s">
        <v>72</v>
      </c>
      <c r="F319" t="s">
        <v>51</v>
      </c>
      <c r="G319">
        <v>14</v>
      </c>
      <c r="H319" t="s">
        <v>36</v>
      </c>
    </row>
    <row r="320" spans="1:8" x14ac:dyDescent="0.25">
      <c r="A320" s="26">
        <v>46151</v>
      </c>
      <c r="B320" t="s">
        <v>5</v>
      </c>
      <c r="C320" t="s">
        <v>87</v>
      </c>
      <c r="D320" t="s">
        <v>49</v>
      </c>
      <c r="E320" t="s">
        <v>63</v>
      </c>
      <c r="F320" t="s">
        <v>53</v>
      </c>
      <c r="G320">
        <v>15</v>
      </c>
      <c r="H320" t="s">
        <v>36</v>
      </c>
    </row>
    <row r="321" spans="1:8" x14ac:dyDescent="0.25">
      <c r="A321" s="26">
        <v>46103</v>
      </c>
      <c r="B321" t="s">
        <v>10</v>
      </c>
      <c r="C321" t="s">
        <v>28</v>
      </c>
      <c r="D321" t="s">
        <v>38</v>
      </c>
      <c r="E321" t="s">
        <v>63</v>
      </c>
      <c r="F321" t="s">
        <v>53</v>
      </c>
      <c r="G321">
        <v>14</v>
      </c>
      <c r="H321" t="s">
        <v>36</v>
      </c>
    </row>
    <row r="322" spans="1:8" x14ac:dyDescent="0.25">
      <c r="A322" s="26">
        <v>46192</v>
      </c>
      <c r="B322" t="s">
        <v>15</v>
      </c>
      <c r="C322" t="s">
        <v>71</v>
      </c>
      <c r="D322" t="s">
        <v>49</v>
      </c>
      <c r="E322" t="s">
        <v>63</v>
      </c>
      <c r="F322" t="s">
        <v>84</v>
      </c>
      <c r="G322">
        <v>6</v>
      </c>
      <c r="H322" t="s">
        <v>54</v>
      </c>
    </row>
    <row r="323" spans="1:8" x14ac:dyDescent="0.25">
      <c r="A323" s="26">
        <v>46037</v>
      </c>
      <c r="B323" t="s">
        <v>6</v>
      </c>
      <c r="C323" t="s">
        <v>48</v>
      </c>
      <c r="D323" t="s">
        <v>29</v>
      </c>
      <c r="E323" t="s">
        <v>30</v>
      </c>
      <c r="F323" t="s">
        <v>47</v>
      </c>
      <c r="G323">
        <v>15</v>
      </c>
      <c r="H323" t="s">
        <v>62</v>
      </c>
    </row>
    <row r="324" spans="1:8" x14ac:dyDescent="0.25">
      <c r="A324" s="26">
        <v>46089</v>
      </c>
      <c r="B324" t="s">
        <v>8</v>
      </c>
      <c r="C324" t="s">
        <v>87</v>
      </c>
      <c r="D324" t="s">
        <v>34</v>
      </c>
      <c r="E324" t="s">
        <v>75</v>
      </c>
      <c r="F324" t="s">
        <v>84</v>
      </c>
      <c r="G324">
        <v>6</v>
      </c>
      <c r="H324" t="s">
        <v>32</v>
      </c>
    </row>
    <row r="325" spans="1:8" x14ac:dyDescent="0.25">
      <c r="A325" s="26">
        <v>46096</v>
      </c>
      <c r="B325" t="s">
        <v>9</v>
      </c>
      <c r="C325" t="s">
        <v>71</v>
      </c>
      <c r="D325" t="s">
        <v>56</v>
      </c>
      <c r="E325" t="s">
        <v>72</v>
      </c>
      <c r="F325" t="s">
        <v>53</v>
      </c>
      <c r="G325">
        <v>10</v>
      </c>
      <c r="H325" t="s">
        <v>32</v>
      </c>
    </row>
    <row r="326" spans="1:8" x14ac:dyDescent="0.25">
      <c r="A326" s="26">
        <v>46124</v>
      </c>
      <c r="B326" t="s">
        <v>10</v>
      </c>
      <c r="C326" t="s">
        <v>71</v>
      </c>
      <c r="D326" t="s">
        <v>49</v>
      </c>
      <c r="E326" t="s">
        <v>63</v>
      </c>
      <c r="F326" t="s">
        <v>66</v>
      </c>
      <c r="G326">
        <v>4</v>
      </c>
      <c r="H326" t="s">
        <v>36</v>
      </c>
    </row>
    <row r="327" spans="1:8" x14ac:dyDescent="0.25">
      <c r="A327" s="26">
        <v>46188</v>
      </c>
      <c r="B327" t="s">
        <v>6</v>
      </c>
      <c r="C327" t="s">
        <v>28</v>
      </c>
      <c r="D327" t="s">
        <v>49</v>
      </c>
      <c r="E327" t="s">
        <v>72</v>
      </c>
      <c r="F327" t="s">
        <v>66</v>
      </c>
      <c r="G327">
        <v>11</v>
      </c>
      <c r="H327" t="s">
        <v>62</v>
      </c>
    </row>
    <row r="328" spans="1:8" x14ac:dyDescent="0.25">
      <c r="A328" s="26">
        <v>46214</v>
      </c>
      <c r="B328" t="s">
        <v>5</v>
      </c>
      <c r="C328" t="s">
        <v>71</v>
      </c>
      <c r="D328" t="s">
        <v>56</v>
      </c>
      <c r="E328" t="s">
        <v>72</v>
      </c>
      <c r="F328" t="s">
        <v>78</v>
      </c>
      <c r="G328">
        <v>4</v>
      </c>
      <c r="H328" t="s">
        <v>32</v>
      </c>
    </row>
    <row r="329" spans="1:8" x14ac:dyDescent="0.25">
      <c r="A329" s="26">
        <v>46216</v>
      </c>
      <c r="B329" t="s">
        <v>12</v>
      </c>
      <c r="C329" t="s">
        <v>71</v>
      </c>
      <c r="D329" t="s">
        <v>49</v>
      </c>
      <c r="E329" t="s">
        <v>30</v>
      </c>
      <c r="F329" t="s">
        <v>66</v>
      </c>
      <c r="G329">
        <v>10</v>
      </c>
      <c r="H329" t="s">
        <v>54</v>
      </c>
    </row>
    <row r="330" spans="1:8" x14ac:dyDescent="0.25">
      <c r="A330" s="26">
        <v>46109</v>
      </c>
      <c r="B330" t="s">
        <v>7</v>
      </c>
      <c r="C330" t="s">
        <v>28</v>
      </c>
      <c r="D330" t="s">
        <v>34</v>
      </c>
      <c r="E330" t="s">
        <v>75</v>
      </c>
      <c r="F330" t="s">
        <v>66</v>
      </c>
      <c r="G330">
        <v>3</v>
      </c>
      <c r="H330" t="s">
        <v>54</v>
      </c>
    </row>
    <row r="331" spans="1:8" x14ac:dyDescent="0.25">
      <c r="A331" s="26">
        <v>46047</v>
      </c>
      <c r="B331" t="s">
        <v>7</v>
      </c>
      <c r="C331" t="s">
        <v>28</v>
      </c>
      <c r="D331" t="s">
        <v>34</v>
      </c>
      <c r="E331" t="s">
        <v>63</v>
      </c>
      <c r="F331" t="s">
        <v>51</v>
      </c>
      <c r="G331">
        <v>5</v>
      </c>
      <c r="H331" t="s">
        <v>54</v>
      </c>
    </row>
    <row r="332" spans="1:8" x14ac:dyDescent="0.25">
      <c r="A332" s="26">
        <v>46128</v>
      </c>
      <c r="B332" t="s">
        <v>5</v>
      </c>
      <c r="C332" t="s">
        <v>28</v>
      </c>
      <c r="D332" t="s">
        <v>34</v>
      </c>
      <c r="E332" t="s">
        <v>30</v>
      </c>
      <c r="F332" t="s">
        <v>78</v>
      </c>
      <c r="G332">
        <v>10</v>
      </c>
      <c r="H332" t="s">
        <v>62</v>
      </c>
    </row>
    <row r="333" spans="1:8" x14ac:dyDescent="0.25">
      <c r="A333" s="26">
        <v>46041</v>
      </c>
      <c r="B333" t="s">
        <v>5</v>
      </c>
      <c r="C333" t="s">
        <v>28</v>
      </c>
      <c r="D333" t="s">
        <v>38</v>
      </c>
      <c r="E333" t="s">
        <v>63</v>
      </c>
      <c r="F333" t="s">
        <v>84</v>
      </c>
      <c r="G333">
        <v>5</v>
      </c>
      <c r="H333" t="s">
        <v>62</v>
      </c>
    </row>
    <row r="334" spans="1:8" x14ac:dyDescent="0.25">
      <c r="A334" s="26">
        <v>46142</v>
      </c>
      <c r="B334" t="s">
        <v>9</v>
      </c>
      <c r="C334" t="s">
        <v>71</v>
      </c>
      <c r="D334" t="s">
        <v>38</v>
      </c>
      <c r="E334" t="s">
        <v>63</v>
      </c>
      <c r="F334" t="s">
        <v>64</v>
      </c>
      <c r="G334">
        <v>7</v>
      </c>
      <c r="H334" t="s">
        <v>32</v>
      </c>
    </row>
    <row r="335" spans="1:8" x14ac:dyDescent="0.25">
      <c r="A335" s="26">
        <v>46167</v>
      </c>
      <c r="B335" t="s">
        <v>5</v>
      </c>
      <c r="C335" t="s">
        <v>28</v>
      </c>
      <c r="D335" t="s">
        <v>34</v>
      </c>
      <c r="E335" t="s">
        <v>30</v>
      </c>
      <c r="F335" t="s">
        <v>53</v>
      </c>
      <c r="G335">
        <v>5</v>
      </c>
      <c r="H335" t="s">
        <v>54</v>
      </c>
    </row>
    <row r="336" spans="1:8" x14ac:dyDescent="0.25">
      <c r="A336" s="26">
        <v>46042</v>
      </c>
      <c r="B336" t="s">
        <v>7</v>
      </c>
      <c r="C336" t="s">
        <v>71</v>
      </c>
      <c r="D336" t="s">
        <v>38</v>
      </c>
      <c r="E336" t="s">
        <v>63</v>
      </c>
      <c r="F336" t="s">
        <v>91</v>
      </c>
      <c r="G336">
        <v>4</v>
      </c>
      <c r="H336" t="s">
        <v>54</v>
      </c>
    </row>
    <row r="337" spans="1:8" x14ac:dyDescent="0.25">
      <c r="A337" s="26">
        <v>46173</v>
      </c>
      <c r="B337" t="s">
        <v>6</v>
      </c>
      <c r="C337" t="s">
        <v>28</v>
      </c>
      <c r="D337" t="s">
        <v>29</v>
      </c>
      <c r="E337" t="s">
        <v>63</v>
      </c>
      <c r="F337" t="s">
        <v>73</v>
      </c>
      <c r="G337">
        <v>10</v>
      </c>
      <c r="H337" t="s">
        <v>32</v>
      </c>
    </row>
    <row r="338" spans="1:8" x14ac:dyDescent="0.25">
      <c r="A338" s="26">
        <v>46030</v>
      </c>
      <c r="B338" t="s">
        <v>7</v>
      </c>
      <c r="C338" t="s">
        <v>71</v>
      </c>
      <c r="D338" t="s">
        <v>38</v>
      </c>
      <c r="E338" t="s">
        <v>63</v>
      </c>
      <c r="F338" t="s">
        <v>78</v>
      </c>
      <c r="G338">
        <v>12</v>
      </c>
      <c r="H338" t="s">
        <v>36</v>
      </c>
    </row>
    <row r="339" spans="1:8" x14ac:dyDescent="0.25">
      <c r="A339" s="26">
        <v>46157</v>
      </c>
      <c r="B339" t="s">
        <v>9</v>
      </c>
      <c r="C339" t="s">
        <v>28</v>
      </c>
      <c r="D339" t="s">
        <v>29</v>
      </c>
      <c r="E339" t="s">
        <v>63</v>
      </c>
      <c r="F339" t="s">
        <v>53</v>
      </c>
      <c r="G339">
        <v>8</v>
      </c>
      <c r="H339" t="s">
        <v>32</v>
      </c>
    </row>
    <row r="340" spans="1:8" x14ac:dyDescent="0.25">
      <c r="A340" s="26">
        <v>46035</v>
      </c>
      <c r="B340" t="s">
        <v>10</v>
      </c>
      <c r="C340" t="s">
        <v>28</v>
      </c>
      <c r="D340" t="s">
        <v>56</v>
      </c>
      <c r="E340" t="s">
        <v>95</v>
      </c>
      <c r="F340" t="s">
        <v>31</v>
      </c>
      <c r="G340">
        <v>4</v>
      </c>
      <c r="H340" t="s">
        <v>62</v>
      </c>
    </row>
    <row r="341" spans="1:8" x14ac:dyDescent="0.25">
      <c r="A341" s="26">
        <v>46109</v>
      </c>
      <c r="B341" t="s">
        <v>9</v>
      </c>
      <c r="C341" t="s">
        <v>87</v>
      </c>
      <c r="D341" t="s">
        <v>38</v>
      </c>
      <c r="E341" t="s">
        <v>63</v>
      </c>
      <c r="F341" t="s">
        <v>73</v>
      </c>
      <c r="G341">
        <v>13</v>
      </c>
      <c r="H341" t="s">
        <v>32</v>
      </c>
    </row>
    <row r="342" spans="1:8" x14ac:dyDescent="0.25">
      <c r="A342" s="26">
        <v>46219</v>
      </c>
      <c r="B342" t="s">
        <v>8</v>
      </c>
      <c r="C342" t="s">
        <v>28</v>
      </c>
      <c r="D342" t="s">
        <v>56</v>
      </c>
      <c r="E342" t="s">
        <v>75</v>
      </c>
      <c r="F342" t="s">
        <v>73</v>
      </c>
      <c r="G342">
        <v>14</v>
      </c>
      <c r="H342" t="s">
        <v>36</v>
      </c>
    </row>
    <row r="343" spans="1:8" x14ac:dyDescent="0.25">
      <c r="A343" s="26">
        <v>46042</v>
      </c>
      <c r="B343" t="s">
        <v>8</v>
      </c>
      <c r="C343" t="s">
        <v>48</v>
      </c>
      <c r="D343" t="s">
        <v>38</v>
      </c>
      <c r="E343" t="s">
        <v>95</v>
      </c>
      <c r="F343" t="s">
        <v>43</v>
      </c>
      <c r="G343">
        <v>1</v>
      </c>
      <c r="H343" t="s">
        <v>54</v>
      </c>
    </row>
    <row r="344" spans="1:8" x14ac:dyDescent="0.25">
      <c r="A344" s="26">
        <v>46227</v>
      </c>
      <c r="B344" t="s">
        <v>12</v>
      </c>
      <c r="C344" t="s">
        <v>28</v>
      </c>
      <c r="D344" t="s">
        <v>29</v>
      </c>
      <c r="E344" t="s">
        <v>75</v>
      </c>
      <c r="F344" t="s">
        <v>64</v>
      </c>
      <c r="G344">
        <v>15</v>
      </c>
      <c r="H344" t="s">
        <v>54</v>
      </c>
    </row>
    <row r="345" spans="1:8" x14ac:dyDescent="0.25">
      <c r="A345" s="26">
        <v>46180</v>
      </c>
      <c r="B345" t="s">
        <v>15</v>
      </c>
      <c r="C345" t="s">
        <v>71</v>
      </c>
      <c r="D345" t="s">
        <v>38</v>
      </c>
      <c r="E345" t="s">
        <v>63</v>
      </c>
      <c r="F345" t="s">
        <v>84</v>
      </c>
      <c r="G345">
        <v>13</v>
      </c>
      <c r="H345" t="s">
        <v>32</v>
      </c>
    </row>
    <row r="346" spans="1:8" x14ac:dyDescent="0.25">
      <c r="A346" s="26">
        <v>46046</v>
      </c>
      <c r="B346" t="s">
        <v>9</v>
      </c>
      <c r="C346" t="s">
        <v>28</v>
      </c>
      <c r="D346" t="s">
        <v>49</v>
      </c>
      <c r="E346" t="s">
        <v>63</v>
      </c>
      <c r="F346" t="s">
        <v>61</v>
      </c>
      <c r="G346">
        <v>8</v>
      </c>
      <c r="H346" t="s">
        <v>32</v>
      </c>
    </row>
    <row r="347" spans="1:8" x14ac:dyDescent="0.25">
      <c r="A347" s="26">
        <v>46078</v>
      </c>
      <c r="B347" t="s">
        <v>8</v>
      </c>
      <c r="C347" t="s">
        <v>48</v>
      </c>
      <c r="D347" t="s">
        <v>38</v>
      </c>
      <c r="E347" t="s">
        <v>72</v>
      </c>
      <c r="F347" t="s">
        <v>47</v>
      </c>
      <c r="G347">
        <v>8</v>
      </c>
      <c r="H347" t="s">
        <v>54</v>
      </c>
    </row>
    <row r="348" spans="1:8" x14ac:dyDescent="0.25">
      <c r="A348" s="26">
        <v>46142</v>
      </c>
      <c r="B348" t="s">
        <v>12</v>
      </c>
      <c r="C348" t="s">
        <v>48</v>
      </c>
      <c r="D348" t="s">
        <v>34</v>
      </c>
      <c r="E348" t="s">
        <v>30</v>
      </c>
      <c r="F348" t="s">
        <v>61</v>
      </c>
      <c r="G348">
        <v>10</v>
      </c>
      <c r="H348" t="s">
        <v>62</v>
      </c>
    </row>
    <row r="349" spans="1:8" x14ac:dyDescent="0.25">
      <c r="A349" s="26">
        <v>46025</v>
      </c>
      <c r="B349" t="s">
        <v>6</v>
      </c>
      <c r="C349" t="s">
        <v>71</v>
      </c>
      <c r="D349" t="s">
        <v>49</v>
      </c>
      <c r="E349" t="s">
        <v>63</v>
      </c>
      <c r="F349" t="s">
        <v>31</v>
      </c>
      <c r="G349">
        <v>14</v>
      </c>
      <c r="H349" t="s">
        <v>54</v>
      </c>
    </row>
    <row r="350" spans="1:8" x14ac:dyDescent="0.25">
      <c r="A350" s="26">
        <v>46183</v>
      </c>
      <c r="B350" t="s">
        <v>6</v>
      </c>
      <c r="C350" t="s">
        <v>87</v>
      </c>
      <c r="D350" t="s">
        <v>56</v>
      </c>
      <c r="E350" t="s">
        <v>72</v>
      </c>
      <c r="F350" t="s">
        <v>91</v>
      </c>
      <c r="G350">
        <v>1</v>
      </c>
      <c r="H350" t="s">
        <v>54</v>
      </c>
    </row>
    <row r="351" spans="1:8" x14ac:dyDescent="0.25">
      <c r="A351" s="26">
        <v>46080</v>
      </c>
      <c r="B351" t="s">
        <v>5</v>
      </c>
      <c r="C351" t="s">
        <v>71</v>
      </c>
      <c r="D351" t="s">
        <v>29</v>
      </c>
      <c r="E351" t="s">
        <v>95</v>
      </c>
      <c r="F351" t="s">
        <v>47</v>
      </c>
      <c r="G351">
        <v>11</v>
      </c>
      <c r="H351" t="s">
        <v>36</v>
      </c>
    </row>
    <row r="352" spans="1:8" x14ac:dyDescent="0.25">
      <c r="A352" s="26">
        <v>46201</v>
      </c>
      <c r="B352" t="s">
        <v>8</v>
      </c>
      <c r="C352" t="s">
        <v>48</v>
      </c>
      <c r="D352" t="s">
        <v>49</v>
      </c>
      <c r="E352" t="s">
        <v>95</v>
      </c>
      <c r="F352" t="s">
        <v>31</v>
      </c>
      <c r="G352">
        <v>8</v>
      </c>
      <c r="H352" t="s">
        <v>36</v>
      </c>
    </row>
    <row r="353" spans="1:8" x14ac:dyDescent="0.25">
      <c r="A353" s="26">
        <v>46058</v>
      </c>
      <c r="B353" t="s">
        <v>5</v>
      </c>
      <c r="C353" t="s">
        <v>48</v>
      </c>
      <c r="D353" t="s">
        <v>56</v>
      </c>
      <c r="E353" t="s">
        <v>63</v>
      </c>
      <c r="F353" t="s">
        <v>64</v>
      </c>
      <c r="G353">
        <v>13</v>
      </c>
      <c r="H353" t="s">
        <v>54</v>
      </c>
    </row>
    <row r="354" spans="1:8" x14ac:dyDescent="0.25">
      <c r="A354" s="26">
        <v>46129</v>
      </c>
      <c r="B354" t="s">
        <v>15</v>
      </c>
      <c r="C354" t="s">
        <v>48</v>
      </c>
      <c r="D354" t="s">
        <v>29</v>
      </c>
      <c r="E354" t="s">
        <v>95</v>
      </c>
      <c r="F354" t="s">
        <v>47</v>
      </c>
      <c r="G354">
        <v>6</v>
      </c>
      <c r="H354" t="s">
        <v>32</v>
      </c>
    </row>
    <row r="355" spans="1:8" x14ac:dyDescent="0.25">
      <c r="A355" s="26">
        <v>46242</v>
      </c>
      <c r="B355" t="s">
        <v>12</v>
      </c>
      <c r="C355" t="s">
        <v>87</v>
      </c>
      <c r="D355" t="s">
        <v>29</v>
      </c>
      <c r="E355" t="s">
        <v>72</v>
      </c>
      <c r="F355" t="s">
        <v>31</v>
      </c>
      <c r="G355">
        <v>8</v>
      </c>
      <c r="H355" t="s">
        <v>32</v>
      </c>
    </row>
    <row r="356" spans="1:8" x14ac:dyDescent="0.25">
      <c r="A356" s="26">
        <v>46034</v>
      </c>
      <c r="B356" t="s">
        <v>6</v>
      </c>
      <c r="C356" t="s">
        <v>28</v>
      </c>
      <c r="D356" t="s">
        <v>49</v>
      </c>
      <c r="E356" t="s">
        <v>30</v>
      </c>
      <c r="F356" t="s">
        <v>53</v>
      </c>
      <c r="G356">
        <v>13</v>
      </c>
      <c r="H356" t="s">
        <v>62</v>
      </c>
    </row>
    <row r="357" spans="1:8" x14ac:dyDescent="0.25">
      <c r="A357" s="26">
        <v>46218</v>
      </c>
      <c r="B357" t="s">
        <v>5</v>
      </c>
      <c r="C357" t="s">
        <v>28</v>
      </c>
      <c r="D357" t="s">
        <v>56</v>
      </c>
      <c r="E357" t="s">
        <v>72</v>
      </c>
      <c r="F357" t="s">
        <v>59</v>
      </c>
      <c r="G357">
        <v>6</v>
      </c>
      <c r="H357" t="s">
        <v>32</v>
      </c>
    </row>
    <row r="358" spans="1:8" x14ac:dyDescent="0.25">
      <c r="A358" s="26">
        <v>46126</v>
      </c>
      <c r="B358" t="s">
        <v>10</v>
      </c>
      <c r="C358" t="s">
        <v>28</v>
      </c>
      <c r="D358" t="s">
        <v>56</v>
      </c>
      <c r="E358" t="s">
        <v>30</v>
      </c>
      <c r="F358" t="s">
        <v>73</v>
      </c>
      <c r="G358">
        <v>5</v>
      </c>
      <c r="H358" t="s">
        <v>62</v>
      </c>
    </row>
    <row r="359" spans="1:8" x14ac:dyDescent="0.25">
      <c r="A359" s="26">
        <v>46204</v>
      </c>
      <c r="B359" t="s">
        <v>7</v>
      </c>
      <c r="C359" t="s">
        <v>87</v>
      </c>
      <c r="D359" t="s">
        <v>34</v>
      </c>
      <c r="E359" t="s">
        <v>30</v>
      </c>
      <c r="F359" t="s">
        <v>78</v>
      </c>
      <c r="G359">
        <v>4</v>
      </c>
      <c r="H359" t="s">
        <v>62</v>
      </c>
    </row>
    <row r="360" spans="1:8" x14ac:dyDescent="0.25">
      <c r="A360" s="26">
        <v>46159</v>
      </c>
      <c r="B360" t="s">
        <v>5</v>
      </c>
      <c r="C360" t="s">
        <v>48</v>
      </c>
      <c r="D360" t="s">
        <v>38</v>
      </c>
      <c r="E360" t="s">
        <v>63</v>
      </c>
      <c r="F360" t="s">
        <v>59</v>
      </c>
      <c r="G360">
        <v>3</v>
      </c>
      <c r="H360" t="s">
        <v>32</v>
      </c>
    </row>
    <row r="361" spans="1:8" x14ac:dyDescent="0.25">
      <c r="A361" s="26">
        <v>46130</v>
      </c>
      <c r="B361" t="s">
        <v>15</v>
      </c>
      <c r="C361" t="s">
        <v>28</v>
      </c>
      <c r="D361" t="s">
        <v>49</v>
      </c>
      <c r="E361" t="s">
        <v>63</v>
      </c>
      <c r="F361" t="s">
        <v>53</v>
      </c>
      <c r="G361">
        <v>5</v>
      </c>
      <c r="H361" t="s">
        <v>36</v>
      </c>
    </row>
    <row r="362" spans="1:8" x14ac:dyDescent="0.25">
      <c r="A362" s="26">
        <v>46224</v>
      </c>
      <c r="B362" t="s">
        <v>7</v>
      </c>
      <c r="C362" t="s">
        <v>28</v>
      </c>
      <c r="D362" t="s">
        <v>38</v>
      </c>
      <c r="E362" t="s">
        <v>72</v>
      </c>
      <c r="F362" t="s">
        <v>51</v>
      </c>
      <c r="G362">
        <v>4</v>
      </c>
      <c r="H362" t="s">
        <v>36</v>
      </c>
    </row>
    <row r="363" spans="1:8" x14ac:dyDescent="0.25">
      <c r="A363" s="26">
        <v>46242</v>
      </c>
      <c r="B363" t="s">
        <v>7</v>
      </c>
      <c r="C363" t="s">
        <v>71</v>
      </c>
      <c r="D363" t="s">
        <v>56</v>
      </c>
      <c r="E363" t="s">
        <v>63</v>
      </c>
      <c r="F363" t="s">
        <v>53</v>
      </c>
      <c r="G363">
        <v>7</v>
      </c>
      <c r="H363" t="s">
        <v>36</v>
      </c>
    </row>
    <row r="364" spans="1:8" x14ac:dyDescent="0.25">
      <c r="A364" s="26">
        <v>46114</v>
      </c>
      <c r="B364" t="s">
        <v>6</v>
      </c>
      <c r="C364" t="s">
        <v>48</v>
      </c>
      <c r="D364" t="s">
        <v>38</v>
      </c>
      <c r="E364" t="s">
        <v>63</v>
      </c>
      <c r="F364" t="s">
        <v>53</v>
      </c>
      <c r="G364">
        <v>6</v>
      </c>
      <c r="H364" t="s">
        <v>36</v>
      </c>
    </row>
    <row r="365" spans="1:8" x14ac:dyDescent="0.25">
      <c r="A365" s="26">
        <v>46231</v>
      </c>
      <c r="B365" t="s">
        <v>7</v>
      </c>
      <c r="C365" t="s">
        <v>28</v>
      </c>
      <c r="D365" t="s">
        <v>56</v>
      </c>
      <c r="E365" t="s">
        <v>72</v>
      </c>
      <c r="F365" t="s">
        <v>61</v>
      </c>
      <c r="G365">
        <v>7</v>
      </c>
      <c r="H365" t="s">
        <v>54</v>
      </c>
    </row>
    <row r="366" spans="1:8" x14ac:dyDescent="0.25">
      <c r="A366" s="26">
        <v>46087</v>
      </c>
      <c r="B366" t="s">
        <v>6</v>
      </c>
      <c r="C366" t="s">
        <v>28</v>
      </c>
      <c r="D366" t="s">
        <v>49</v>
      </c>
      <c r="E366" t="s">
        <v>75</v>
      </c>
      <c r="F366" t="s">
        <v>64</v>
      </c>
      <c r="G366">
        <v>12</v>
      </c>
      <c r="H366" t="s">
        <v>32</v>
      </c>
    </row>
    <row r="367" spans="1:8" x14ac:dyDescent="0.25">
      <c r="A367" s="26">
        <v>46228</v>
      </c>
      <c r="B367" t="s">
        <v>15</v>
      </c>
      <c r="C367" t="s">
        <v>71</v>
      </c>
      <c r="D367" t="s">
        <v>38</v>
      </c>
      <c r="E367" t="s">
        <v>72</v>
      </c>
      <c r="F367" t="s">
        <v>64</v>
      </c>
      <c r="G367">
        <v>10</v>
      </c>
      <c r="H367" t="s">
        <v>62</v>
      </c>
    </row>
    <row r="368" spans="1:8" x14ac:dyDescent="0.25">
      <c r="A368" s="26">
        <v>46223</v>
      </c>
      <c r="B368" t="s">
        <v>6</v>
      </c>
      <c r="C368" t="s">
        <v>28</v>
      </c>
      <c r="D368" t="s">
        <v>56</v>
      </c>
      <c r="E368" t="s">
        <v>63</v>
      </c>
      <c r="F368" t="s">
        <v>47</v>
      </c>
      <c r="G368">
        <v>6</v>
      </c>
      <c r="H368" t="s">
        <v>36</v>
      </c>
    </row>
    <row r="369" spans="1:8" x14ac:dyDescent="0.25">
      <c r="A369" s="26">
        <v>46106</v>
      </c>
      <c r="B369" t="s">
        <v>7</v>
      </c>
      <c r="C369" t="s">
        <v>28</v>
      </c>
      <c r="D369" t="s">
        <v>49</v>
      </c>
      <c r="E369" t="s">
        <v>95</v>
      </c>
      <c r="F369" t="s">
        <v>47</v>
      </c>
      <c r="G369">
        <v>15</v>
      </c>
      <c r="H369" t="s">
        <v>54</v>
      </c>
    </row>
    <row r="370" spans="1:8" x14ac:dyDescent="0.25">
      <c r="A370" s="26">
        <v>46050</v>
      </c>
      <c r="B370" t="s">
        <v>9</v>
      </c>
      <c r="C370" t="s">
        <v>28</v>
      </c>
      <c r="D370" t="s">
        <v>29</v>
      </c>
      <c r="E370" t="s">
        <v>75</v>
      </c>
      <c r="F370" t="s">
        <v>78</v>
      </c>
      <c r="G370">
        <v>3</v>
      </c>
      <c r="H370" t="s">
        <v>62</v>
      </c>
    </row>
    <row r="371" spans="1:8" x14ac:dyDescent="0.25">
      <c r="A371" s="26">
        <v>46117</v>
      </c>
      <c r="B371" t="s">
        <v>15</v>
      </c>
      <c r="C371" t="s">
        <v>71</v>
      </c>
      <c r="D371" t="s">
        <v>34</v>
      </c>
      <c r="E371" t="s">
        <v>95</v>
      </c>
      <c r="F371" t="s">
        <v>43</v>
      </c>
      <c r="G371">
        <v>1</v>
      </c>
      <c r="H371" t="s">
        <v>36</v>
      </c>
    </row>
    <row r="372" spans="1:8" x14ac:dyDescent="0.25">
      <c r="A372" s="26">
        <v>46246</v>
      </c>
      <c r="B372" t="s">
        <v>9</v>
      </c>
      <c r="C372" t="s">
        <v>28</v>
      </c>
      <c r="D372" t="s">
        <v>34</v>
      </c>
      <c r="E372" t="s">
        <v>63</v>
      </c>
      <c r="F372" t="s">
        <v>64</v>
      </c>
      <c r="G372">
        <v>9</v>
      </c>
      <c r="H372" t="s">
        <v>32</v>
      </c>
    </row>
    <row r="373" spans="1:8" x14ac:dyDescent="0.25">
      <c r="A373" s="26">
        <v>46199</v>
      </c>
      <c r="B373" t="s">
        <v>10</v>
      </c>
      <c r="C373" t="s">
        <v>28</v>
      </c>
      <c r="D373" t="s">
        <v>29</v>
      </c>
      <c r="E373" t="s">
        <v>72</v>
      </c>
      <c r="F373" t="s">
        <v>73</v>
      </c>
      <c r="G373">
        <v>7</v>
      </c>
      <c r="H373" t="s">
        <v>36</v>
      </c>
    </row>
    <row r="374" spans="1:8" x14ac:dyDescent="0.25">
      <c r="A374" s="26">
        <v>46170</v>
      </c>
      <c r="B374" t="s">
        <v>5</v>
      </c>
      <c r="C374" t="s">
        <v>28</v>
      </c>
      <c r="D374" t="s">
        <v>56</v>
      </c>
      <c r="E374" t="s">
        <v>63</v>
      </c>
      <c r="F374" t="s">
        <v>66</v>
      </c>
      <c r="G374">
        <v>4</v>
      </c>
      <c r="H374" t="s">
        <v>54</v>
      </c>
    </row>
    <row r="375" spans="1:8" x14ac:dyDescent="0.25">
      <c r="A375" s="26">
        <v>46062</v>
      </c>
      <c r="B375" t="s">
        <v>15</v>
      </c>
      <c r="C375" t="s">
        <v>87</v>
      </c>
      <c r="D375" t="s">
        <v>56</v>
      </c>
      <c r="E375" t="s">
        <v>75</v>
      </c>
      <c r="F375" t="s">
        <v>61</v>
      </c>
      <c r="G375">
        <v>7</v>
      </c>
      <c r="H375" t="s">
        <v>36</v>
      </c>
    </row>
    <row r="376" spans="1:8" x14ac:dyDescent="0.25">
      <c r="A376" s="26">
        <v>46086</v>
      </c>
      <c r="B376" t="s">
        <v>8</v>
      </c>
      <c r="C376" t="s">
        <v>71</v>
      </c>
      <c r="D376" t="s">
        <v>38</v>
      </c>
      <c r="E376" t="s">
        <v>95</v>
      </c>
      <c r="F376" t="s">
        <v>91</v>
      </c>
      <c r="G376">
        <v>10</v>
      </c>
      <c r="H376" t="s">
        <v>62</v>
      </c>
    </row>
    <row r="377" spans="1:8" x14ac:dyDescent="0.25">
      <c r="A377" s="26">
        <v>46078</v>
      </c>
      <c r="B377" t="s">
        <v>6</v>
      </c>
      <c r="C377" t="s">
        <v>28</v>
      </c>
      <c r="D377" t="s">
        <v>56</v>
      </c>
      <c r="E377" t="s">
        <v>63</v>
      </c>
      <c r="F377" t="s">
        <v>53</v>
      </c>
      <c r="G377">
        <v>2</v>
      </c>
      <c r="H377" t="s">
        <v>62</v>
      </c>
    </row>
    <row r="378" spans="1:8" x14ac:dyDescent="0.25">
      <c r="A378" s="26">
        <v>46183</v>
      </c>
      <c r="B378" t="s">
        <v>12</v>
      </c>
      <c r="C378" t="s">
        <v>71</v>
      </c>
      <c r="D378" t="s">
        <v>49</v>
      </c>
      <c r="E378" t="s">
        <v>63</v>
      </c>
      <c r="F378" t="s">
        <v>47</v>
      </c>
      <c r="G378">
        <v>14</v>
      </c>
      <c r="H378" t="s">
        <v>36</v>
      </c>
    </row>
    <row r="379" spans="1:8" x14ac:dyDescent="0.25">
      <c r="A379" s="26">
        <v>46032</v>
      </c>
      <c r="B379" t="s">
        <v>9</v>
      </c>
      <c r="C379" t="s">
        <v>71</v>
      </c>
      <c r="D379" t="s">
        <v>49</v>
      </c>
      <c r="E379" t="s">
        <v>63</v>
      </c>
      <c r="F379" t="s">
        <v>31</v>
      </c>
      <c r="G379">
        <v>6</v>
      </c>
      <c r="H379" t="s">
        <v>62</v>
      </c>
    </row>
    <row r="380" spans="1:8" x14ac:dyDescent="0.25">
      <c r="A380" s="26">
        <v>46220</v>
      </c>
      <c r="B380" t="s">
        <v>10</v>
      </c>
      <c r="C380" t="s">
        <v>71</v>
      </c>
      <c r="D380" t="s">
        <v>49</v>
      </c>
      <c r="E380" t="s">
        <v>95</v>
      </c>
      <c r="F380" t="s">
        <v>31</v>
      </c>
      <c r="G380">
        <v>5</v>
      </c>
      <c r="H380" t="s">
        <v>54</v>
      </c>
    </row>
    <row r="381" spans="1:8" x14ac:dyDescent="0.25">
      <c r="A381" s="26">
        <v>46073</v>
      </c>
      <c r="B381" t="s">
        <v>12</v>
      </c>
      <c r="C381" t="s">
        <v>71</v>
      </c>
      <c r="D381" t="s">
        <v>38</v>
      </c>
      <c r="E381" t="s">
        <v>95</v>
      </c>
      <c r="F381" t="s">
        <v>31</v>
      </c>
      <c r="G381">
        <v>4</v>
      </c>
      <c r="H381" t="s">
        <v>32</v>
      </c>
    </row>
    <row r="382" spans="1:8" x14ac:dyDescent="0.25">
      <c r="A382" s="26">
        <v>46199</v>
      </c>
      <c r="B382" t="s">
        <v>8</v>
      </c>
      <c r="C382" t="s">
        <v>71</v>
      </c>
      <c r="D382" t="s">
        <v>49</v>
      </c>
      <c r="E382" t="s">
        <v>95</v>
      </c>
      <c r="F382" t="s">
        <v>40</v>
      </c>
      <c r="G382">
        <v>4</v>
      </c>
      <c r="H382" t="s">
        <v>32</v>
      </c>
    </row>
    <row r="383" spans="1:8" x14ac:dyDescent="0.25">
      <c r="A383" s="26">
        <v>46189</v>
      </c>
      <c r="B383" t="s">
        <v>10</v>
      </c>
      <c r="C383" t="s">
        <v>28</v>
      </c>
      <c r="D383" t="s">
        <v>49</v>
      </c>
      <c r="E383" t="s">
        <v>30</v>
      </c>
      <c r="F383" t="s">
        <v>47</v>
      </c>
      <c r="G383">
        <v>10</v>
      </c>
      <c r="H383" t="s">
        <v>54</v>
      </c>
    </row>
    <row r="384" spans="1:8" x14ac:dyDescent="0.25">
      <c r="A384" s="26">
        <v>46185</v>
      </c>
      <c r="B384" t="s">
        <v>5</v>
      </c>
      <c r="C384" t="s">
        <v>87</v>
      </c>
      <c r="D384" t="s">
        <v>34</v>
      </c>
      <c r="E384" t="s">
        <v>30</v>
      </c>
      <c r="F384" t="s">
        <v>61</v>
      </c>
      <c r="G384">
        <v>14</v>
      </c>
      <c r="H384" t="s">
        <v>54</v>
      </c>
    </row>
    <row r="385" spans="1:8" x14ac:dyDescent="0.25">
      <c r="A385" s="26">
        <v>46201</v>
      </c>
      <c r="B385" t="s">
        <v>15</v>
      </c>
      <c r="C385" t="s">
        <v>71</v>
      </c>
      <c r="D385" t="s">
        <v>38</v>
      </c>
      <c r="E385" t="s">
        <v>95</v>
      </c>
      <c r="F385" t="s">
        <v>53</v>
      </c>
      <c r="G385">
        <v>8</v>
      </c>
      <c r="H385" t="s">
        <v>62</v>
      </c>
    </row>
    <row r="386" spans="1:8" x14ac:dyDescent="0.25">
      <c r="A386" s="26">
        <v>46031</v>
      </c>
      <c r="B386" t="s">
        <v>9</v>
      </c>
      <c r="C386" t="s">
        <v>28</v>
      </c>
      <c r="D386" t="s">
        <v>34</v>
      </c>
      <c r="E386" t="s">
        <v>72</v>
      </c>
      <c r="F386" t="s">
        <v>66</v>
      </c>
      <c r="G386">
        <v>3</v>
      </c>
      <c r="H386" t="s">
        <v>54</v>
      </c>
    </row>
    <row r="387" spans="1:8" x14ac:dyDescent="0.25">
      <c r="A387" s="26">
        <v>46208</v>
      </c>
      <c r="B387" t="s">
        <v>9</v>
      </c>
      <c r="C387" t="s">
        <v>28</v>
      </c>
      <c r="D387" t="s">
        <v>34</v>
      </c>
      <c r="E387" t="s">
        <v>63</v>
      </c>
      <c r="F387" t="s">
        <v>78</v>
      </c>
      <c r="G387">
        <v>13</v>
      </c>
      <c r="H387" t="s">
        <v>32</v>
      </c>
    </row>
    <row r="388" spans="1:8" x14ac:dyDescent="0.25">
      <c r="A388" s="26">
        <v>46196</v>
      </c>
      <c r="B388" t="s">
        <v>7</v>
      </c>
      <c r="C388" t="s">
        <v>28</v>
      </c>
      <c r="D388" t="s">
        <v>38</v>
      </c>
      <c r="E388" t="s">
        <v>30</v>
      </c>
      <c r="F388" t="s">
        <v>40</v>
      </c>
      <c r="G388">
        <v>8</v>
      </c>
      <c r="H388" t="s">
        <v>32</v>
      </c>
    </row>
    <row r="389" spans="1:8" x14ac:dyDescent="0.25">
      <c r="A389" s="26">
        <v>46090</v>
      </c>
      <c r="B389" t="s">
        <v>6</v>
      </c>
      <c r="C389" t="s">
        <v>71</v>
      </c>
      <c r="D389" t="s">
        <v>38</v>
      </c>
      <c r="E389" t="s">
        <v>95</v>
      </c>
      <c r="F389" t="s">
        <v>78</v>
      </c>
      <c r="G389">
        <v>6</v>
      </c>
      <c r="H389" t="s">
        <v>32</v>
      </c>
    </row>
    <row r="390" spans="1:8" x14ac:dyDescent="0.25">
      <c r="A390" s="26">
        <v>46043</v>
      </c>
      <c r="B390" t="s">
        <v>10</v>
      </c>
      <c r="C390" t="s">
        <v>28</v>
      </c>
      <c r="D390" t="s">
        <v>29</v>
      </c>
      <c r="E390" t="s">
        <v>72</v>
      </c>
      <c r="F390" t="s">
        <v>59</v>
      </c>
      <c r="G390">
        <v>14</v>
      </c>
      <c r="H390" t="s">
        <v>54</v>
      </c>
    </row>
    <row r="391" spans="1:8" x14ac:dyDescent="0.25">
      <c r="A391" s="26">
        <v>46162</v>
      </c>
      <c r="B391" t="s">
        <v>15</v>
      </c>
      <c r="C391" t="s">
        <v>71</v>
      </c>
      <c r="D391" t="s">
        <v>49</v>
      </c>
      <c r="E391" t="s">
        <v>63</v>
      </c>
      <c r="F391" t="s">
        <v>51</v>
      </c>
      <c r="G391">
        <v>1</v>
      </c>
      <c r="H391" t="s">
        <v>36</v>
      </c>
    </row>
    <row r="392" spans="1:8" x14ac:dyDescent="0.25">
      <c r="A392" s="26">
        <v>46169</v>
      </c>
      <c r="B392" t="s">
        <v>9</v>
      </c>
      <c r="C392" t="s">
        <v>28</v>
      </c>
      <c r="D392" t="s">
        <v>38</v>
      </c>
      <c r="E392" t="s">
        <v>30</v>
      </c>
      <c r="F392" t="s">
        <v>91</v>
      </c>
      <c r="G392">
        <v>11</v>
      </c>
      <c r="H392" t="s">
        <v>62</v>
      </c>
    </row>
    <row r="393" spans="1:8" x14ac:dyDescent="0.25">
      <c r="A393" s="26">
        <v>46168</v>
      </c>
      <c r="B393" t="s">
        <v>7</v>
      </c>
      <c r="C393" t="s">
        <v>71</v>
      </c>
      <c r="D393" t="s">
        <v>34</v>
      </c>
      <c r="E393" t="s">
        <v>63</v>
      </c>
      <c r="F393" t="s">
        <v>51</v>
      </c>
      <c r="G393">
        <v>9</v>
      </c>
      <c r="H393" t="s">
        <v>32</v>
      </c>
    </row>
    <row r="394" spans="1:8" x14ac:dyDescent="0.25">
      <c r="A394" s="26">
        <v>46156</v>
      </c>
      <c r="B394" t="s">
        <v>12</v>
      </c>
      <c r="C394" t="s">
        <v>28</v>
      </c>
      <c r="D394" t="s">
        <v>38</v>
      </c>
      <c r="E394" t="s">
        <v>72</v>
      </c>
      <c r="F394" t="s">
        <v>91</v>
      </c>
      <c r="G394">
        <v>2</v>
      </c>
      <c r="H394" t="s">
        <v>32</v>
      </c>
    </row>
    <row r="395" spans="1:8" x14ac:dyDescent="0.25">
      <c r="A395" s="26">
        <v>46037</v>
      </c>
      <c r="B395" t="s">
        <v>5</v>
      </c>
      <c r="C395" t="s">
        <v>28</v>
      </c>
      <c r="D395" t="s">
        <v>56</v>
      </c>
      <c r="E395" t="s">
        <v>72</v>
      </c>
      <c r="F395" t="s">
        <v>78</v>
      </c>
      <c r="G395">
        <v>9</v>
      </c>
      <c r="H395" t="s">
        <v>36</v>
      </c>
    </row>
    <row r="396" spans="1:8" x14ac:dyDescent="0.25">
      <c r="A396" s="26">
        <v>46175</v>
      </c>
      <c r="B396" t="s">
        <v>15</v>
      </c>
      <c r="C396" t="s">
        <v>28</v>
      </c>
      <c r="D396" t="s">
        <v>56</v>
      </c>
      <c r="E396" t="s">
        <v>72</v>
      </c>
      <c r="F396" t="s">
        <v>91</v>
      </c>
      <c r="G396">
        <v>8</v>
      </c>
      <c r="H396" t="s">
        <v>36</v>
      </c>
    </row>
    <row r="397" spans="1:8" x14ac:dyDescent="0.25">
      <c r="A397" s="26">
        <v>46173</v>
      </c>
      <c r="B397" t="s">
        <v>8</v>
      </c>
      <c r="C397" t="s">
        <v>28</v>
      </c>
      <c r="D397" t="s">
        <v>38</v>
      </c>
      <c r="E397" t="s">
        <v>30</v>
      </c>
      <c r="F397" t="s">
        <v>47</v>
      </c>
      <c r="G397">
        <v>9</v>
      </c>
      <c r="H397" t="s">
        <v>32</v>
      </c>
    </row>
    <row r="398" spans="1:8" x14ac:dyDescent="0.25">
      <c r="A398" s="26">
        <v>46024</v>
      </c>
      <c r="B398" t="s">
        <v>8</v>
      </c>
      <c r="C398" t="s">
        <v>28</v>
      </c>
      <c r="D398" t="s">
        <v>34</v>
      </c>
      <c r="E398" t="s">
        <v>63</v>
      </c>
      <c r="F398" t="s">
        <v>43</v>
      </c>
      <c r="G398">
        <v>11</v>
      </c>
      <c r="H398" t="s">
        <v>36</v>
      </c>
    </row>
    <row r="399" spans="1:8" x14ac:dyDescent="0.25">
      <c r="A399" s="26">
        <v>46047</v>
      </c>
      <c r="B399" t="s">
        <v>10</v>
      </c>
      <c r="C399" t="s">
        <v>48</v>
      </c>
      <c r="D399" t="s">
        <v>34</v>
      </c>
      <c r="E399" t="s">
        <v>63</v>
      </c>
      <c r="F399" t="s">
        <v>91</v>
      </c>
      <c r="G399">
        <v>8</v>
      </c>
      <c r="H399" t="s">
        <v>32</v>
      </c>
    </row>
    <row r="400" spans="1:8" x14ac:dyDescent="0.25">
      <c r="A400" s="26">
        <v>46112</v>
      </c>
      <c r="B400" t="s">
        <v>7</v>
      </c>
      <c r="C400" t="s">
        <v>87</v>
      </c>
      <c r="D400" t="s">
        <v>38</v>
      </c>
      <c r="E400" t="s">
        <v>72</v>
      </c>
      <c r="F400" t="s">
        <v>64</v>
      </c>
      <c r="G400">
        <v>7</v>
      </c>
      <c r="H400" t="s">
        <v>54</v>
      </c>
    </row>
    <row r="401" spans="1:8" x14ac:dyDescent="0.25">
      <c r="A401" s="26">
        <v>46085</v>
      </c>
      <c r="B401" t="s">
        <v>6</v>
      </c>
      <c r="C401" t="s">
        <v>28</v>
      </c>
      <c r="D401" t="s">
        <v>29</v>
      </c>
      <c r="E401" t="s">
        <v>75</v>
      </c>
      <c r="F401" t="s">
        <v>61</v>
      </c>
      <c r="G401">
        <v>8</v>
      </c>
      <c r="H401" t="s">
        <v>54</v>
      </c>
    </row>
    <row r="402" spans="1:8" x14ac:dyDescent="0.25">
      <c r="A402" s="26">
        <v>46117</v>
      </c>
      <c r="B402" t="s">
        <v>5</v>
      </c>
      <c r="C402" t="s">
        <v>48</v>
      </c>
      <c r="D402" t="s">
        <v>29</v>
      </c>
      <c r="E402" t="s">
        <v>72</v>
      </c>
      <c r="F402" t="s">
        <v>91</v>
      </c>
      <c r="G402">
        <v>13</v>
      </c>
      <c r="H402" t="s">
        <v>62</v>
      </c>
    </row>
    <row r="403" spans="1:8" x14ac:dyDescent="0.25">
      <c r="A403" s="26">
        <v>46107</v>
      </c>
      <c r="B403" t="s">
        <v>12</v>
      </c>
      <c r="C403" t="s">
        <v>48</v>
      </c>
      <c r="D403" t="s">
        <v>56</v>
      </c>
      <c r="E403" t="s">
        <v>72</v>
      </c>
      <c r="F403" t="s">
        <v>31</v>
      </c>
      <c r="G403">
        <v>14</v>
      </c>
      <c r="H403" t="s">
        <v>36</v>
      </c>
    </row>
    <row r="404" spans="1:8" x14ac:dyDescent="0.25">
      <c r="A404" s="26">
        <v>46142</v>
      </c>
      <c r="B404" t="s">
        <v>5</v>
      </c>
      <c r="C404" t="s">
        <v>87</v>
      </c>
      <c r="D404" t="s">
        <v>56</v>
      </c>
      <c r="E404" t="s">
        <v>63</v>
      </c>
      <c r="F404" t="s">
        <v>61</v>
      </c>
      <c r="G404">
        <v>11</v>
      </c>
      <c r="H404" t="s">
        <v>62</v>
      </c>
    </row>
    <row r="405" spans="1:8" x14ac:dyDescent="0.25">
      <c r="A405" s="26">
        <v>46029</v>
      </c>
      <c r="B405" t="s">
        <v>8</v>
      </c>
      <c r="C405" t="s">
        <v>87</v>
      </c>
      <c r="D405" t="s">
        <v>38</v>
      </c>
      <c r="E405" t="s">
        <v>72</v>
      </c>
      <c r="F405" t="s">
        <v>78</v>
      </c>
      <c r="G405">
        <v>14</v>
      </c>
      <c r="H405" t="s">
        <v>36</v>
      </c>
    </row>
    <row r="406" spans="1:8" x14ac:dyDescent="0.25">
      <c r="A406" s="26">
        <v>46112</v>
      </c>
      <c r="B406" t="s">
        <v>9</v>
      </c>
      <c r="C406" t="s">
        <v>28</v>
      </c>
      <c r="D406" t="s">
        <v>29</v>
      </c>
      <c r="E406" t="s">
        <v>30</v>
      </c>
      <c r="F406" t="s">
        <v>61</v>
      </c>
      <c r="G406">
        <v>13</v>
      </c>
      <c r="H406" t="s">
        <v>32</v>
      </c>
    </row>
    <row r="407" spans="1:8" x14ac:dyDescent="0.25">
      <c r="A407" s="26">
        <v>46220</v>
      </c>
      <c r="B407" t="s">
        <v>10</v>
      </c>
      <c r="C407" t="s">
        <v>71</v>
      </c>
      <c r="D407" t="s">
        <v>34</v>
      </c>
      <c r="E407" t="s">
        <v>30</v>
      </c>
      <c r="F407" t="s">
        <v>51</v>
      </c>
      <c r="G407">
        <v>9</v>
      </c>
      <c r="H407" t="s">
        <v>62</v>
      </c>
    </row>
    <row r="408" spans="1:8" x14ac:dyDescent="0.25">
      <c r="A408" s="26">
        <v>46134</v>
      </c>
      <c r="B408" t="s">
        <v>10</v>
      </c>
      <c r="C408" t="s">
        <v>48</v>
      </c>
      <c r="D408" t="s">
        <v>56</v>
      </c>
      <c r="E408" t="s">
        <v>95</v>
      </c>
      <c r="F408" t="s">
        <v>78</v>
      </c>
      <c r="G408">
        <v>6</v>
      </c>
      <c r="H408" t="s">
        <v>62</v>
      </c>
    </row>
    <row r="409" spans="1:8" x14ac:dyDescent="0.25">
      <c r="A409" s="26">
        <v>46210</v>
      </c>
      <c r="B409" t="s">
        <v>12</v>
      </c>
      <c r="C409" t="s">
        <v>48</v>
      </c>
      <c r="D409" t="s">
        <v>49</v>
      </c>
      <c r="E409" t="s">
        <v>95</v>
      </c>
      <c r="F409" t="s">
        <v>73</v>
      </c>
      <c r="G409">
        <v>12</v>
      </c>
      <c r="H409" t="s">
        <v>54</v>
      </c>
    </row>
    <row r="410" spans="1:8" x14ac:dyDescent="0.25">
      <c r="A410" s="26">
        <v>46099</v>
      </c>
      <c r="B410" t="s">
        <v>9</v>
      </c>
      <c r="C410" t="s">
        <v>87</v>
      </c>
      <c r="D410" t="s">
        <v>38</v>
      </c>
      <c r="E410" t="s">
        <v>30</v>
      </c>
      <c r="F410" t="s">
        <v>43</v>
      </c>
      <c r="G410">
        <v>7</v>
      </c>
      <c r="H410" t="s">
        <v>32</v>
      </c>
    </row>
    <row r="411" spans="1:8" x14ac:dyDescent="0.25">
      <c r="A411" s="26">
        <v>46134</v>
      </c>
      <c r="B411" t="s">
        <v>6</v>
      </c>
      <c r="C411" t="s">
        <v>48</v>
      </c>
      <c r="D411" t="s">
        <v>49</v>
      </c>
      <c r="E411" t="s">
        <v>95</v>
      </c>
      <c r="F411" t="s">
        <v>31</v>
      </c>
      <c r="G411">
        <v>14</v>
      </c>
      <c r="H411" t="s">
        <v>62</v>
      </c>
    </row>
    <row r="412" spans="1:8" x14ac:dyDescent="0.25">
      <c r="A412" s="26">
        <v>46159</v>
      </c>
      <c r="B412" t="s">
        <v>8</v>
      </c>
      <c r="C412" t="s">
        <v>87</v>
      </c>
      <c r="D412" t="s">
        <v>49</v>
      </c>
      <c r="E412" t="s">
        <v>63</v>
      </c>
      <c r="F412" t="s">
        <v>78</v>
      </c>
      <c r="G412">
        <v>8</v>
      </c>
      <c r="H412" t="s">
        <v>62</v>
      </c>
    </row>
    <row r="413" spans="1:8" x14ac:dyDescent="0.25">
      <c r="A413" s="26">
        <v>46067</v>
      </c>
      <c r="B413" t="s">
        <v>10</v>
      </c>
      <c r="C413" t="s">
        <v>28</v>
      </c>
      <c r="D413" t="s">
        <v>29</v>
      </c>
      <c r="E413" t="s">
        <v>72</v>
      </c>
      <c r="F413" t="s">
        <v>66</v>
      </c>
      <c r="G413">
        <v>3</v>
      </c>
      <c r="H413" t="s">
        <v>32</v>
      </c>
    </row>
    <row r="414" spans="1:8" x14ac:dyDescent="0.25">
      <c r="A414" s="26">
        <v>46213</v>
      </c>
      <c r="B414" t="s">
        <v>8</v>
      </c>
      <c r="C414" t="s">
        <v>28</v>
      </c>
      <c r="D414" t="s">
        <v>29</v>
      </c>
      <c r="E414" t="s">
        <v>72</v>
      </c>
      <c r="F414" t="s">
        <v>59</v>
      </c>
      <c r="G414">
        <v>15</v>
      </c>
      <c r="H414" t="s">
        <v>62</v>
      </c>
    </row>
    <row r="415" spans="1:8" x14ac:dyDescent="0.25">
      <c r="A415" s="26">
        <v>46110</v>
      </c>
      <c r="B415" t="s">
        <v>10</v>
      </c>
      <c r="C415" t="s">
        <v>48</v>
      </c>
      <c r="D415" t="s">
        <v>56</v>
      </c>
      <c r="E415" t="s">
        <v>75</v>
      </c>
      <c r="F415" t="s">
        <v>51</v>
      </c>
      <c r="G415">
        <v>5</v>
      </c>
      <c r="H415" t="s">
        <v>36</v>
      </c>
    </row>
    <row r="416" spans="1:8" x14ac:dyDescent="0.25">
      <c r="A416" s="26">
        <v>46148</v>
      </c>
      <c r="B416" t="s">
        <v>10</v>
      </c>
      <c r="C416" t="s">
        <v>48</v>
      </c>
      <c r="D416" t="s">
        <v>38</v>
      </c>
      <c r="E416" t="s">
        <v>63</v>
      </c>
      <c r="F416" t="s">
        <v>47</v>
      </c>
      <c r="G416">
        <v>2</v>
      </c>
      <c r="H416" t="s">
        <v>36</v>
      </c>
    </row>
    <row r="417" spans="1:8" x14ac:dyDescent="0.25">
      <c r="A417" s="26">
        <v>46134</v>
      </c>
      <c r="B417" t="s">
        <v>9</v>
      </c>
      <c r="C417" t="s">
        <v>71</v>
      </c>
      <c r="D417" t="s">
        <v>34</v>
      </c>
      <c r="E417" t="s">
        <v>72</v>
      </c>
      <c r="F417" t="s">
        <v>43</v>
      </c>
      <c r="G417">
        <v>14</v>
      </c>
      <c r="H417" t="s">
        <v>54</v>
      </c>
    </row>
    <row r="418" spans="1:8" x14ac:dyDescent="0.25">
      <c r="A418" s="26">
        <v>46077</v>
      </c>
      <c r="B418" t="s">
        <v>9</v>
      </c>
      <c r="C418" t="s">
        <v>28</v>
      </c>
      <c r="D418" t="s">
        <v>56</v>
      </c>
      <c r="E418" t="s">
        <v>95</v>
      </c>
      <c r="F418" t="s">
        <v>40</v>
      </c>
      <c r="G418">
        <v>5</v>
      </c>
      <c r="H418" t="s">
        <v>32</v>
      </c>
    </row>
    <row r="419" spans="1:8" x14ac:dyDescent="0.25">
      <c r="A419" s="26">
        <v>46155</v>
      </c>
      <c r="B419" t="s">
        <v>12</v>
      </c>
      <c r="C419" t="s">
        <v>28</v>
      </c>
      <c r="D419" t="s">
        <v>49</v>
      </c>
      <c r="E419" t="s">
        <v>63</v>
      </c>
      <c r="F419" t="s">
        <v>64</v>
      </c>
      <c r="G419">
        <v>13</v>
      </c>
      <c r="H419" t="s">
        <v>62</v>
      </c>
    </row>
    <row r="420" spans="1:8" x14ac:dyDescent="0.25">
      <c r="A420" s="26">
        <v>46172</v>
      </c>
      <c r="B420" t="s">
        <v>9</v>
      </c>
      <c r="C420" t="s">
        <v>28</v>
      </c>
      <c r="D420" t="s">
        <v>38</v>
      </c>
      <c r="E420" t="s">
        <v>95</v>
      </c>
      <c r="F420" t="s">
        <v>47</v>
      </c>
      <c r="G420">
        <v>3</v>
      </c>
      <c r="H420" t="s">
        <v>32</v>
      </c>
    </row>
    <row r="421" spans="1:8" x14ac:dyDescent="0.25">
      <c r="A421" s="26">
        <v>46087</v>
      </c>
      <c r="B421" t="s">
        <v>15</v>
      </c>
      <c r="C421" t="s">
        <v>28</v>
      </c>
      <c r="D421" t="s">
        <v>38</v>
      </c>
      <c r="E421" t="s">
        <v>63</v>
      </c>
      <c r="F421" t="s">
        <v>84</v>
      </c>
      <c r="G421">
        <v>8</v>
      </c>
      <c r="H421" t="s">
        <v>36</v>
      </c>
    </row>
    <row r="422" spans="1:8" x14ac:dyDescent="0.25">
      <c r="A422" s="26">
        <v>46235</v>
      </c>
      <c r="B422" t="s">
        <v>15</v>
      </c>
      <c r="C422" t="s">
        <v>48</v>
      </c>
      <c r="D422" t="s">
        <v>29</v>
      </c>
      <c r="E422" t="s">
        <v>63</v>
      </c>
      <c r="F422" t="s">
        <v>84</v>
      </c>
      <c r="G422">
        <v>1</v>
      </c>
      <c r="H422" t="s">
        <v>62</v>
      </c>
    </row>
    <row r="423" spans="1:8" x14ac:dyDescent="0.25">
      <c r="A423" s="26">
        <v>46052</v>
      </c>
      <c r="B423" t="s">
        <v>7</v>
      </c>
      <c r="C423" t="s">
        <v>71</v>
      </c>
      <c r="D423" t="s">
        <v>49</v>
      </c>
      <c r="E423" t="s">
        <v>75</v>
      </c>
      <c r="F423" t="s">
        <v>47</v>
      </c>
      <c r="G423">
        <v>5</v>
      </c>
      <c r="H423" t="s">
        <v>54</v>
      </c>
    </row>
    <row r="424" spans="1:8" x14ac:dyDescent="0.25">
      <c r="A424" s="26">
        <v>46208</v>
      </c>
      <c r="B424" t="s">
        <v>15</v>
      </c>
      <c r="C424" t="s">
        <v>71</v>
      </c>
      <c r="D424" t="s">
        <v>38</v>
      </c>
      <c r="E424" t="s">
        <v>72</v>
      </c>
      <c r="F424" t="s">
        <v>64</v>
      </c>
      <c r="G424">
        <v>8</v>
      </c>
      <c r="H424" t="s">
        <v>32</v>
      </c>
    </row>
    <row r="425" spans="1:8" x14ac:dyDescent="0.25">
      <c r="A425" s="26">
        <v>46134</v>
      </c>
      <c r="B425" t="s">
        <v>7</v>
      </c>
      <c r="C425" t="s">
        <v>28</v>
      </c>
      <c r="D425" t="s">
        <v>49</v>
      </c>
      <c r="E425" t="s">
        <v>75</v>
      </c>
      <c r="F425" t="s">
        <v>53</v>
      </c>
      <c r="G425">
        <v>4</v>
      </c>
      <c r="H425" t="s">
        <v>36</v>
      </c>
    </row>
    <row r="426" spans="1:8" x14ac:dyDescent="0.25">
      <c r="A426" s="26">
        <v>46202</v>
      </c>
      <c r="B426" t="s">
        <v>5</v>
      </c>
      <c r="C426" t="s">
        <v>71</v>
      </c>
      <c r="D426" t="s">
        <v>49</v>
      </c>
      <c r="E426" t="s">
        <v>63</v>
      </c>
      <c r="F426" t="s">
        <v>47</v>
      </c>
      <c r="G426">
        <v>4</v>
      </c>
      <c r="H426" t="s">
        <v>36</v>
      </c>
    </row>
    <row r="427" spans="1:8" x14ac:dyDescent="0.25">
      <c r="A427" s="26">
        <v>46154</v>
      </c>
      <c r="B427" t="s">
        <v>12</v>
      </c>
      <c r="C427" t="s">
        <v>71</v>
      </c>
      <c r="D427" t="s">
        <v>34</v>
      </c>
      <c r="E427" t="s">
        <v>75</v>
      </c>
      <c r="F427" t="s">
        <v>78</v>
      </c>
      <c r="G427">
        <v>10</v>
      </c>
      <c r="H427" t="s">
        <v>36</v>
      </c>
    </row>
    <row r="428" spans="1:8" x14ac:dyDescent="0.25">
      <c r="A428" s="26">
        <v>46062</v>
      </c>
      <c r="B428" t="s">
        <v>12</v>
      </c>
      <c r="C428" t="s">
        <v>28</v>
      </c>
      <c r="D428" t="s">
        <v>29</v>
      </c>
      <c r="E428" t="s">
        <v>72</v>
      </c>
      <c r="F428" t="s">
        <v>31</v>
      </c>
      <c r="G428">
        <v>8</v>
      </c>
      <c r="H428" t="s">
        <v>54</v>
      </c>
    </row>
    <row r="429" spans="1:8" x14ac:dyDescent="0.25">
      <c r="A429" s="26">
        <v>46108</v>
      </c>
      <c r="B429" t="s">
        <v>5</v>
      </c>
      <c r="C429" t="s">
        <v>71</v>
      </c>
      <c r="D429" t="s">
        <v>38</v>
      </c>
      <c r="E429" t="s">
        <v>30</v>
      </c>
      <c r="F429" t="s">
        <v>47</v>
      </c>
      <c r="G429">
        <v>5</v>
      </c>
      <c r="H429" t="s">
        <v>32</v>
      </c>
    </row>
    <row r="430" spans="1:8" x14ac:dyDescent="0.25">
      <c r="A430" s="26">
        <v>46106</v>
      </c>
      <c r="B430" t="s">
        <v>12</v>
      </c>
      <c r="C430" t="s">
        <v>71</v>
      </c>
      <c r="D430" t="s">
        <v>29</v>
      </c>
      <c r="E430" t="s">
        <v>95</v>
      </c>
      <c r="F430" t="s">
        <v>91</v>
      </c>
      <c r="G430">
        <v>2</v>
      </c>
      <c r="H430" t="s">
        <v>36</v>
      </c>
    </row>
    <row r="431" spans="1:8" x14ac:dyDescent="0.25">
      <c r="A431" s="26">
        <v>46209</v>
      </c>
      <c r="B431" t="s">
        <v>9</v>
      </c>
      <c r="C431" t="s">
        <v>71</v>
      </c>
      <c r="D431" t="s">
        <v>29</v>
      </c>
      <c r="E431" t="s">
        <v>95</v>
      </c>
      <c r="F431" t="s">
        <v>91</v>
      </c>
      <c r="G431">
        <v>6</v>
      </c>
      <c r="H431" t="s">
        <v>62</v>
      </c>
    </row>
    <row r="432" spans="1:8" x14ac:dyDescent="0.25">
      <c r="A432" s="26">
        <v>46247</v>
      </c>
      <c r="B432" t="s">
        <v>12</v>
      </c>
      <c r="C432" t="s">
        <v>71</v>
      </c>
      <c r="D432" t="s">
        <v>49</v>
      </c>
      <c r="E432" t="s">
        <v>75</v>
      </c>
      <c r="F432" t="s">
        <v>66</v>
      </c>
      <c r="G432">
        <v>7</v>
      </c>
      <c r="H432" t="s">
        <v>54</v>
      </c>
    </row>
    <row r="433" spans="1:8" x14ac:dyDescent="0.25">
      <c r="A433" s="26">
        <v>46201</v>
      </c>
      <c r="B433" t="s">
        <v>8</v>
      </c>
      <c r="C433" t="s">
        <v>28</v>
      </c>
      <c r="D433" t="s">
        <v>38</v>
      </c>
      <c r="E433" t="s">
        <v>72</v>
      </c>
      <c r="F433" t="s">
        <v>59</v>
      </c>
      <c r="G433">
        <v>3</v>
      </c>
      <c r="H433" t="s">
        <v>36</v>
      </c>
    </row>
    <row r="434" spans="1:8" x14ac:dyDescent="0.25">
      <c r="A434" s="26">
        <v>46080</v>
      </c>
      <c r="B434" t="s">
        <v>5</v>
      </c>
      <c r="C434" t="s">
        <v>28</v>
      </c>
      <c r="D434" t="s">
        <v>56</v>
      </c>
      <c r="E434" t="s">
        <v>63</v>
      </c>
      <c r="F434" t="s">
        <v>91</v>
      </c>
      <c r="G434">
        <v>5</v>
      </c>
      <c r="H434" t="s">
        <v>32</v>
      </c>
    </row>
    <row r="435" spans="1:8" x14ac:dyDescent="0.25">
      <c r="A435" s="26">
        <v>46074</v>
      </c>
      <c r="B435" t="s">
        <v>7</v>
      </c>
      <c r="C435" t="s">
        <v>87</v>
      </c>
      <c r="D435" t="s">
        <v>38</v>
      </c>
      <c r="E435" t="s">
        <v>63</v>
      </c>
      <c r="F435" t="s">
        <v>53</v>
      </c>
      <c r="G435">
        <v>3</v>
      </c>
      <c r="H435" t="s">
        <v>32</v>
      </c>
    </row>
    <row r="436" spans="1:8" x14ac:dyDescent="0.25">
      <c r="A436" s="26">
        <v>46086</v>
      </c>
      <c r="B436" t="s">
        <v>12</v>
      </c>
      <c r="C436" t="s">
        <v>87</v>
      </c>
      <c r="D436" t="s">
        <v>29</v>
      </c>
      <c r="E436" t="s">
        <v>95</v>
      </c>
      <c r="F436" t="s">
        <v>66</v>
      </c>
      <c r="G436">
        <v>7</v>
      </c>
      <c r="H436" t="s">
        <v>54</v>
      </c>
    </row>
    <row r="437" spans="1:8" x14ac:dyDescent="0.25">
      <c r="A437" s="26">
        <v>46144</v>
      </c>
      <c r="B437" t="s">
        <v>7</v>
      </c>
      <c r="C437" t="s">
        <v>71</v>
      </c>
      <c r="D437" t="s">
        <v>56</v>
      </c>
      <c r="E437" t="s">
        <v>63</v>
      </c>
      <c r="F437" t="s">
        <v>59</v>
      </c>
      <c r="G437">
        <v>3</v>
      </c>
      <c r="H437" t="s">
        <v>32</v>
      </c>
    </row>
    <row r="438" spans="1:8" x14ac:dyDescent="0.25">
      <c r="A438" s="26">
        <v>46162</v>
      </c>
      <c r="B438" t="s">
        <v>9</v>
      </c>
      <c r="C438" t="s">
        <v>28</v>
      </c>
      <c r="D438" t="s">
        <v>38</v>
      </c>
      <c r="E438" t="s">
        <v>63</v>
      </c>
      <c r="F438" t="s">
        <v>66</v>
      </c>
      <c r="G438">
        <v>8</v>
      </c>
      <c r="H438" t="s">
        <v>54</v>
      </c>
    </row>
    <row r="439" spans="1:8" x14ac:dyDescent="0.25">
      <c r="A439" s="26">
        <v>46105</v>
      </c>
      <c r="B439" t="s">
        <v>7</v>
      </c>
      <c r="C439" t="s">
        <v>71</v>
      </c>
      <c r="D439" t="s">
        <v>29</v>
      </c>
      <c r="E439" t="s">
        <v>72</v>
      </c>
      <c r="F439" t="s">
        <v>73</v>
      </c>
      <c r="G439">
        <v>3</v>
      </c>
      <c r="H439" t="s">
        <v>36</v>
      </c>
    </row>
    <row r="440" spans="1:8" x14ac:dyDescent="0.25">
      <c r="A440" s="26">
        <v>46175</v>
      </c>
      <c r="B440" t="s">
        <v>15</v>
      </c>
      <c r="C440" t="s">
        <v>48</v>
      </c>
      <c r="D440" t="s">
        <v>49</v>
      </c>
      <c r="E440" t="s">
        <v>75</v>
      </c>
      <c r="F440" t="s">
        <v>53</v>
      </c>
      <c r="G440">
        <v>5</v>
      </c>
      <c r="H440" t="s">
        <v>54</v>
      </c>
    </row>
    <row r="441" spans="1:8" x14ac:dyDescent="0.25">
      <c r="A441" s="26">
        <v>46126</v>
      </c>
      <c r="B441" t="s">
        <v>5</v>
      </c>
      <c r="C441" t="s">
        <v>71</v>
      </c>
      <c r="D441" t="s">
        <v>29</v>
      </c>
      <c r="E441" t="s">
        <v>63</v>
      </c>
      <c r="F441" t="s">
        <v>66</v>
      </c>
      <c r="G441">
        <v>3</v>
      </c>
      <c r="H441" t="s">
        <v>62</v>
      </c>
    </row>
    <row r="442" spans="1:8" x14ac:dyDescent="0.25">
      <c r="A442" s="26">
        <v>46189</v>
      </c>
      <c r="B442" t="s">
        <v>10</v>
      </c>
      <c r="C442" t="s">
        <v>28</v>
      </c>
      <c r="D442" t="s">
        <v>34</v>
      </c>
      <c r="E442" t="s">
        <v>63</v>
      </c>
      <c r="F442" t="s">
        <v>91</v>
      </c>
      <c r="G442">
        <v>13</v>
      </c>
      <c r="H442" t="s">
        <v>36</v>
      </c>
    </row>
    <row r="443" spans="1:8" x14ac:dyDescent="0.25">
      <c r="A443" s="26">
        <v>46023</v>
      </c>
      <c r="B443" t="s">
        <v>8</v>
      </c>
      <c r="C443" t="s">
        <v>71</v>
      </c>
      <c r="D443" t="s">
        <v>29</v>
      </c>
      <c r="E443" t="s">
        <v>63</v>
      </c>
      <c r="F443" t="s">
        <v>64</v>
      </c>
      <c r="G443">
        <v>12</v>
      </c>
      <c r="H443" t="s">
        <v>54</v>
      </c>
    </row>
    <row r="444" spans="1:8" x14ac:dyDescent="0.25">
      <c r="A444" s="26">
        <v>46207</v>
      </c>
      <c r="B444" t="s">
        <v>5</v>
      </c>
      <c r="C444" t="s">
        <v>71</v>
      </c>
      <c r="D444" t="s">
        <v>34</v>
      </c>
      <c r="E444" t="s">
        <v>63</v>
      </c>
      <c r="F444" t="s">
        <v>53</v>
      </c>
      <c r="G444">
        <v>3</v>
      </c>
      <c r="H444" t="s">
        <v>36</v>
      </c>
    </row>
    <row r="445" spans="1:8" x14ac:dyDescent="0.25">
      <c r="A445" s="26">
        <v>46188</v>
      </c>
      <c r="B445" t="s">
        <v>10</v>
      </c>
      <c r="C445" t="s">
        <v>87</v>
      </c>
      <c r="D445" t="s">
        <v>56</v>
      </c>
      <c r="E445" t="s">
        <v>63</v>
      </c>
      <c r="F445" t="s">
        <v>43</v>
      </c>
      <c r="G445">
        <v>2</v>
      </c>
      <c r="H445" t="s">
        <v>54</v>
      </c>
    </row>
    <row r="446" spans="1:8" x14ac:dyDescent="0.25">
      <c r="A446" s="26">
        <v>46178</v>
      </c>
      <c r="B446" t="s">
        <v>9</v>
      </c>
      <c r="C446" t="s">
        <v>28</v>
      </c>
      <c r="D446" t="s">
        <v>34</v>
      </c>
      <c r="E446" t="s">
        <v>72</v>
      </c>
      <c r="F446" t="s">
        <v>61</v>
      </c>
      <c r="G446">
        <v>14</v>
      </c>
      <c r="H446" t="s">
        <v>54</v>
      </c>
    </row>
    <row r="447" spans="1:8" x14ac:dyDescent="0.25">
      <c r="A447" s="26">
        <v>46193</v>
      </c>
      <c r="B447" t="s">
        <v>12</v>
      </c>
      <c r="C447" t="s">
        <v>28</v>
      </c>
      <c r="D447" t="s">
        <v>29</v>
      </c>
      <c r="E447" t="s">
        <v>63</v>
      </c>
      <c r="F447" t="s">
        <v>53</v>
      </c>
      <c r="G447">
        <v>4</v>
      </c>
      <c r="H447" t="s">
        <v>62</v>
      </c>
    </row>
    <row r="448" spans="1:8" x14ac:dyDescent="0.25">
      <c r="A448" s="26">
        <v>46215</v>
      </c>
      <c r="B448" t="s">
        <v>6</v>
      </c>
      <c r="C448" t="s">
        <v>28</v>
      </c>
      <c r="D448" t="s">
        <v>29</v>
      </c>
      <c r="E448" t="s">
        <v>30</v>
      </c>
      <c r="F448" t="s">
        <v>31</v>
      </c>
      <c r="G448">
        <v>4</v>
      </c>
      <c r="H448" t="s">
        <v>54</v>
      </c>
    </row>
    <row r="449" spans="1:8" x14ac:dyDescent="0.25">
      <c r="A449" s="26">
        <v>46131</v>
      </c>
      <c r="B449" t="s">
        <v>8</v>
      </c>
      <c r="C449" t="s">
        <v>28</v>
      </c>
      <c r="D449" t="s">
        <v>56</v>
      </c>
      <c r="E449" t="s">
        <v>63</v>
      </c>
      <c r="F449" t="s">
        <v>40</v>
      </c>
      <c r="G449">
        <v>4</v>
      </c>
      <c r="H449" t="s">
        <v>36</v>
      </c>
    </row>
    <row r="450" spans="1:8" x14ac:dyDescent="0.25">
      <c r="A450" s="26">
        <v>46245</v>
      </c>
      <c r="B450" t="s">
        <v>15</v>
      </c>
      <c r="C450" t="s">
        <v>87</v>
      </c>
      <c r="D450" t="s">
        <v>34</v>
      </c>
      <c r="E450" t="s">
        <v>30</v>
      </c>
      <c r="F450" t="s">
        <v>31</v>
      </c>
      <c r="G450">
        <v>1</v>
      </c>
      <c r="H450" t="s">
        <v>54</v>
      </c>
    </row>
    <row r="451" spans="1:8" x14ac:dyDescent="0.25">
      <c r="A451" s="26">
        <v>46238</v>
      </c>
      <c r="B451" t="s">
        <v>8</v>
      </c>
      <c r="C451" t="s">
        <v>28</v>
      </c>
      <c r="D451" t="s">
        <v>29</v>
      </c>
      <c r="E451" t="s">
        <v>72</v>
      </c>
      <c r="F451" t="s">
        <v>91</v>
      </c>
      <c r="G451">
        <v>5</v>
      </c>
      <c r="H451" t="s">
        <v>54</v>
      </c>
    </row>
    <row r="452" spans="1:8" x14ac:dyDescent="0.25">
      <c r="A452" s="26">
        <v>46200</v>
      </c>
      <c r="B452" t="s">
        <v>12</v>
      </c>
      <c r="C452" t="s">
        <v>28</v>
      </c>
      <c r="D452" t="s">
        <v>56</v>
      </c>
      <c r="E452" t="s">
        <v>72</v>
      </c>
      <c r="F452" t="s">
        <v>59</v>
      </c>
      <c r="G452">
        <v>5</v>
      </c>
      <c r="H452" t="s">
        <v>54</v>
      </c>
    </row>
    <row r="453" spans="1:8" x14ac:dyDescent="0.25">
      <c r="A453" s="26">
        <v>46030</v>
      </c>
      <c r="B453" t="s">
        <v>12</v>
      </c>
      <c r="C453" t="s">
        <v>28</v>
      </c>
      <c r="D453" t="s">
        <v>49</v>
      </c>
      <c r="E453" t="s">
        <v>75</v>
      </c>
      <c r="F453" t="s">
        <v>51</v>
      </c>
      <c r="G453">
        <v>3</v>
      </c>
      <c r="H453" t="s">
        <v>54</v>
      </c>
    </row>
    <row r="454" spans="1:8" x14ac:dyDescent="0.25">
      <c r="A454" s="26">
        <v>46226</v>
      </c>
      <c r="B454" t="s">
        <v>12</v>
      </c>
      <c r="C454" t="s">
        <v>28</v>
      </c>
      <c r="D454" t="s">
        <v>49</v>
      </c>
      <c r="E454" t="s">
        <v>75</v>
      </c>
      <c r="F454" t="s">
        <v>66</v>
      </c>
      <c r="G454">
        <v>11</v>
      </c>
      <c r="H454" t="s">
        <v>32</v>
      </c>
    </row>
    <row r="455" spans="1:8" x14ac:dyDescent="0.25">
      <c r="A455" s="26">
        <v>46235</v>
      </c>
      <c r="B455" t="s">
        <v>8</v>
      </c>
      <c r="C455" t="s">
        <v>71</v>
      </c>
      <c r="D455" t="s">
        <v>34</v>
      </c>
      <c r="E455" t="s">
        <v>63</v>
      </c>
      <c r="F455" t="s">
        <v>91</v>
      </c>
      <c r="G455">
        <v>9</v>
      </c>
      <c r="H455" t="s">
        <v>62</v>
      </c>
    </row>
    <row r="456" spans="1:8" x14ac:dyDescent="0.25">
      <c r="A456" s="26">
        <v>46223</v>
      </c>
      <c r="B456" t="s">
        <v>10</v>
      </c>
      <c r="C456" t="s">
        <v>28</v>
      </c>
      <c r="D456" t="s">
        <v>49</v>
      </c>
      <c r="E456" t="s">
        <v>72</v>
      </c>
      <c r="F456" t="s">
        <v>53</v>
      </c>
      <c r="G456">
        <v>15</v>
      </c>
      <c r="H456" t="s">
        <v>32</v>
      </c>
    </row>
    <row r="457" spans="1:8" x14ac:dyDescent="0.25">
      <c r="A457" s="26">
        <v>46049</v>
      </c>
      <c r="B457" t="s">
        <v>5</v>
      </c>
      <c r="C457" t="s">
        <v>71</v>
      </c>
      <c r="D457" t="s">
        <v>49</v>
      </c>
      <c r="E457" t="s">
        <v>72</v>
      </c>
      <c r="F457" t="s">
        <v>47</v>
      </c>
      <c r="G457">
        <v>10</v>
      </c>
      <c r="H457" t="s">
        <v>54</v>
      </c>
    </row>
    <row r="458" spans="1:8" x14ac:dyDescent="0.25">
      <c r="A458" s="26">
        <v>46083</v>
      </c>
      <c r="B458" t="s">
        <v>15</v>
      </c>
      <c r="C458" t="s">
        <v>28</v>
      </c>
      <c r="D458" t="s">
        <v>56</v>
      </c>
      <c r="E458" t="s">
        <v>72</v>
      </c>
      <c r="F458" t="s">
        <v>61</v>
      </c>
      <c r="G458">
        <v>5</v>
      </c>
      <c r="H458" t="s">
        <v>54</v>
      </c>
    </row>
    <row r="459" spans="1:8" x14ac:dyDescent="0.25">
      <c r="A459" s="26">
        <v>46160</v>
      </c>
      <c r="B459" t="s">
        <v>15</v>
      </c>
      <c r="C459" t="s">
        <v>28</v>
      </c>
      <c r="D459" t="s">
        <v>38</v>
      </c>
      <c r="E459" t="s">
        <v>63</v>
      </c>
      <c r="F459" t="s">
        <v>59</v>
      </c>
      <c r="G459">
        <v>9</v>
      </c>
      <c r="H459" t="s">
        <v>54</v>
      </c>
    </row>
    <row r="460" spans="1:8" x14ac:dyDescent="0.25">
      <c r="A460" s="26">
        <v>46220</v>
      </c>
      <c r="B460" t="s">
        <v>5</v>
      </c>
      <c r="C460" t="s">
        <v>28</v>
      </c>
      <c r="D460" t="s">
        <v>34</v>
      </c>
      <c r="E460" t="s">
        <v>63</v>
      </c>
      <c r="F460" t="s">
        <v>84</v>
      </c>
      <c r="G460">
        <v>1</v>
      </c>
      <c r="H460" t="s">
        <v>54</v>
      </c>
    </row>
    <row r="461" spans="1:8" x14ac:dyDescent="0.25">
      <c r="A461" s="26">
        <v>46094</v>
      </c>
      <c r="B461" t="s">
        <v>8</v>
      </c>
      <c r="C461" t="s">
        <v>71</v>
      </c>
      <c r="D461" t="s">
        <v>49</v>
      </c>
      <c r="E461" t="s">
        <v>63</v>
      </c>
      <c r="F461" t="s">
        <v>43</v>
      </c>
      <c r="G461">
        <v>8</v>
      </c>
      <c r="H461" t="s">
        <v>36</v>
      </c>
    </row>
    <row r="462" spans="1:8" x14ac:dyDescent="0.25">
      <c r="A462" s="26">
        <v>46177</v>
      </c>
      <c r="B462" t="s">
        <v>10</v>
      </c>
      <c r="C462" t="s">
        <v>87</v>
      </c>
      <c r="D462" t="s">
        <v>38</v>
      </c>
      <c r="E462" t="s">
        <v>63</v>
      </c>
      <c r="F462" t="s">
        <v>64</v>
      </c>
      <c r="G462">
        <v>8</v>
      </c>
      <c r="H462" t="s">
        <v>62</v>
      </c>
    </row>
    <row r="463" spans="1:8" x14ac:dyDescent="0.25">
      <c r="A463" s="26">
        <v>46231</v>
      </c>
      <c r="B463" t="s">
        <v>7</v>
      </c>
      <c r="C463" t="s">
        <v>87</v>
      </c>
      <c r="D463" t="s">
        <v>29</v>
      </c>
      <c r="E463" t="s">
        <v>63</v>
      </c>
      <c r="F463" t="s">
        <v>61</v>
      </c>
      <c r="G463">
        <v>9</v>
      </c>
      <c r="H463" t="s">
        <v>36</v>
      </c>
    </row>
    <row r="464" spans="1:8" x14ac:dyDescent="0.25">
      <c r="A464" s="26">
        <v>46203</v>
      </c>
      <c r="B464" t="s">
        <v>12</v>
      </c>
      <c r="C464" t="s">
        <v>71</v>
      </c>
      <c r="D464" t="s">
        <v>34</v>
      </c>
      <c r="E464" t="s">
        <v>30</v>
      </c>
      <c r="F464" t="s">
        <v>73</v>
      </c>
      <c r="G464">
        <v>10</v>
      </c>
      <c r="H464" t="s">
        <v>32</v>
      </c>
    </row>
    <row r="465" spans="1:8" x14ac:dyDescent="0.25">
      <c r="A465" s="26">
        <v>46238</v>
      </c>
      <c r="B465" t="s">
        <v>9</v>
      </c>
      <c r="C465" t="s">
        <v>87</v>
      </c>
      <c r="D465" t="s">
        <v>38</v>
      </c>
      <c r="E465" t="s">
        <v>63</v>
      </c>
      <c r="F465" t="s">
        <v>51</v>
      </c>
      <c r="G465">
        <v>6</v>
      </c>
      <c r="H465" t="s">
        <v>36</v>
      </c>
    </row>
    <row r="466" spans="1:8" x14ac:dyDescent="0.25">
      <c r="A466" s="26">
        <v>46177</v>
      </c>
      <c r="B466" t="s">
        <v>9</v>
      </c>
      <c r="C466" t="s">
        <v>28</v>
      </c>
      <c r="D466" t="s">
        <v>38</v>
      </c>
      <c r="E466" t="s">
        <v>30</v>
      </c>
      <c r="F466" t="s">
        <v>51</v>
      </c>
      <c r="G466">
        <v>4</v>
      </c>
      <c r="H466" t="s">
        <v>54</v>
      </c>
    </row>
    <row r="467" spans="1:8" x14ac:dyDescent="0.25">
      <c r="A467" s="26">
        <v>46099</v>
      </c>
      <c r="B467" t="s">
        <v>5</v>
      </c>
      <c r="C467" t="s">
        <v>28</v>
      </c>
      <c r="D467" t="s">
        <v>34</v>
      </c>
      <c r="E467" t="s">
        <v>95</v>
      </c>
      <c r="F467" t="s">
        <v>40</v>
      </c>
      <c r="G467">
        <v>4</v>
      </c>
      <c r="H467" t="s">
        <v>32</v>
      </c>
    </row>
    <row r="468" spans="1:8" x14ac:dyDescent="0.25">
      <c r="A468" s="26">
        <v>46035</v>
      </c>
      <c r="B468" t="s">
        <v>8</v>
      </c>
      <c r="C468" t="s">
        <v>28</v>
      </c>
      <c r="D468" t="s">
        <v>29</v>
      </c>
      <c r="E468" t="s">
        <v>75</v>
      </c>
      <c r="F468" t="s">
        <v>53</v>
      </c>
      <c r="G468">
        <v>14</v>
      </c>
      <c r="H468" t="s">
        <v>32</v>
      </c>
    </row>
    <row r="469" spans="1:8" x14ac:dyDescent="0.25">
      <c r="A469" s="26">
        <v>46175</v>
      </c>
      <c r="B469" t="s">
        <v>12</v>
      </c>
      <c r="C469" t="s">
        <v>28</v>
      </c>
      <c r="D469" t="s">
        <v>38</v>
      </c>
      <c r="E469" t="s">
        <v>75</v>
      </c>
      <c r="F469" t="s">
        <v>53</v>
      </c>
      <c r="G469">
        <v>8</v>
      </c>
      <c r="H469" t="s">
        <v>36</v>
      </c>
    </row>
    <row r="470" spans="1:8" x14ac:dyDescent="0.25">
      <c r="A470" s="26">
        <v>46044</v>
      </c>
      <c r="B470" t="s">
        <v>8</v>
      </c>
      <c r="C470" t="s">
        <v>28</v>
      </c>
      <c r="D470" t="s">
        <v>34</v>
      </c>
      <c r="E470" t="s">
        <v>63</v>
      </c>
      <c r="F470" t="s">
        <v>53</v>
      </c>
      <c r="G470">
        <v>3</v>
      </c>
      <c r="H470" t="s">
        <v>36</v>
      </c>
    </row>
    <row r="471" spans="1:8" x14ac:dyDescent="0.25">
      <c r="A471" s="26">
        <v>46142</v>
      </c>
      <c r="B471" t="s">
        <v>9</v>
      </c>
      <c r="C471" t="s">
        <v>71</v>
      </c>
      <c r="D471" t="s">
        <v>29</v>
      </c>
      <c r="E471" t="s">
        <v>63</v>
      </c>
      <c r="F471" t="s">
        <v>61</v>
      </c>
      <c r="G471">
        <v>10</v>
      </c>
      <c r="H471" t="s">
        <v>32</v>
      </c>
    </row>
    <row r="472" spans="1:8" x14ac:dyDescent="0.25">
      <c r="A472" s="26">
        <v>46090</v>
      </c>
      <c r="B472" t="s">
        <v>6</v>
      </c>
      <c r="C472" t="s">
        <v>48</v>
      </c>
      <c r="D472" t="s">
        <v>34</v>
      </c>
      <c r="E472" t="s">
        <v>63</v>
      </c>
      <c r="F472" t="s">
        <v>51</v>
      </c>
      <c r="G472">
        <v>7</v>
      </c>
      <c r="H472" t="s">
        <v>36</v>
      </c>
    </row>
    <row r="473" spans="1:8" x14ac:dyDescent="0.25">
      <c r="A473" s="26">
        <v>46211</v>
      </c>
      <c r="B473" t="s">
        <v>15</v>
      </c>
      <c r="C473" t="s">
        <v>28</v>
      </c>
      <c r="D473" t="s">
        <v>34</v>
      </c>
      <c r="E473" t="s">
        <v>30</v>
      </c>
      <c r="F473" t="s">
        <v>53</v>
      </c>
      <c r="G473">
        <v>6</v>
      </c>
      <c r="H473" t="s">
        <v>62</v>
      </c>
    </row>
    <row r="474" spans="1:8" x14ac:dyDescent="0.25">
      <c r="A474" s="26">
        <v>46060</v>
      </c>
      <c r="B474" t="s">
        <v>7</v>
      </c>
      <c r="C474" t="s">
        <v>28</v>
      </c>
      <c r="D474" t="s">
        <v>34</v>
      </c>
      <c r="E474" t="s">
        <v>30</v>
      </c>
      <c r="F474" t="s">
        <v>64</v>
      </c>
      <c r="G474">
        <v>13</v>
      </c>
      <c r="H474" t="s">
        <v>62</v>
      </c>
    </row>
    <row r="475" spans="1:8" x14ac:dyDescent="0.25">
      <c r="A475" s="26">
        <v>46048</v>
      </c>
      <c r="B475" t="s">
        <v>5</v>
      </c>
      <c r="C475" t="s">
        <v>71</v>
      </c>
      <c r="D475" t="s">
        <v>34</v>
      </c>
      <c r="E475" t="s">
        <v>63</v>
      </c>
      <c r="F475" t="s">
        <v>40</v>
      </c>
      <c r="G475">
        <v>4</v>
      </c>
      <c r="H475" t="s">
        <v>32</v>
      </c>
    </row>
    <row r="476" spans="1:8" x14ac:dyDescent="0.25">
      <c r="A476" s="26">
        <v>46234</v>
      </c>
      <c r="B476" t="s">
        <v>15</v>
      </c>
      <c r="C476" t="s">
        <v>28</v>
      </c>
      <c r="D476" t="s">
        <v>56</v>
      </c>
      <c r="E476" t="s">
        <v>72</v>
      </c>
      <c r="F476" t="s">
        <v>78</v>
      </c>
      <c r="G476">
        <v>3</v>
      </c>
      <c r="H476" t="s">
        <v>32</v>
      </c>
    </row>
    <row r="477" spans="1:8" x14ac:dyDescent="0.25">
      <c r="A477" s="26">
        <v>46078</v>
      </c>
      <c r="B477" t="s">
        <v>9</v>
      </c>
      <c r="C477" t="s">
        <v>71</v>
      </c>
      <c r="D477" t="s">
        <v>56</v>
      </c>
      <c r="E477" t="s">
        <v>72</v>
      </c>
      <c r="F477" t="s">
        <v>47</v>
      </c>
      <c r="G477">
        <v>13</v>
      </c>
      <c r="H477" t="s">
        <v>62</v>
      </c>
    </row>
    <row r="478" spans="1:8" x14ac:dyDescent="0.25">
      <c r="A478" s="26">
        <v>46131</v>
      </c>
      <c r="B478" t="s">
        <v>8</v>
      </c>
      <c r="C478" t="s">
        <v>71</v>
      </c>
      <c r="D478" t="s">
        <v>56</v>
      </c>
      <c r="E478" t="s">
        <v>30</v>
      </c>
      <c r="F478" t="s">
        <v>91</v>
      </c>
      <c r="G478">
        <v>9</v>
      </c>
      <c r="H478" t="s">
        <v>32</v>
      </c>
    </row>
    <row r="479" spans="1:8" x14ac:dyDescent="0.25">
      <c r="A479" s="26">
        <v>46167</v>
      </c>
      <c r="B479" t="s">
        <v>6</v>
      </c>
      <c r="C479" t="s">
        <v>71</v>
      </c>
      <c r="D479" t="s">
        <v>34</v>
      </c>
      <c r="E479" t="s">
        <v>75</v>
      </c>
      <c r="F479" t="s">
        <v>64</v>
      </c>
      <c r="G479">
        <v>10</v>
      </c>
      <c r="H479" t="s">
        <v>32</v>
      </c>
    </row>
    <row r="480" spans="1:8" x14ac:dyDescent="0.25">
      <c r="A480" s="26">
        <v>46031</v>
      </c>
      <c r="B480" t="s">
        <v>15</v>
      </c>
      <c r="C480" t="s">
        <v>71</v>
      </c>
      <c r="D480" t="s">
        <v>38</v>
      </c>
      <c r="E480" t="s">
        <v>30</v>
      </c>
      <c r="F480" t="s">
        <v>53</v>
      </c>
      <c r="G480">
        <v>6</v>
      </c>
      <c r="H480" t="s">
        <v>54</v>
      </c>
    </row>
    <row r="481" spans="1:8" x14ac:dyDescent="0.25">
      <c r="A481" s="26">
        <v>46214</v>
      </c>
      <c r="B481" t="s">
        <v>7</v>
      </c>
      <c r="C481" t="s">
        <v>71</v>
      </c>
      <c r="D481" t="s">
        <v>34</v>
      </c>
      <c r="E481" t="s">
        <v>63</v>
      </c>
      <c r="F481" t="s">
        <v>53</v>
      </c>
      <c r="G481">
        <v>15</v>
      </c>
      <c r="H481" t="s">
        <v>36</v>
      </c>
    </row>
    <row r="482" spans="1:8" x14ac:dyDescent="0.25">
      <c r="A482" s="26">
        <v>46219</v>
      </c>
      <c r="B482" t="s">
        <v>15</v>
      </c>
      <c r="C482" t="s">
        <v>28</v>
      </c>
      <c r="D482" t="s">
        <v>56</v>
      </c>
      <c r="E482" t="s">
        <v>63</v>
      </c>
      <c r="F482" t="s">
        <v>43</v>
      </c>
      <c r="G482">
        <v>11</v>
      </c>
      <c r="H482" t="s">
        <v>36</v>
      </c>
    </row>
    <row r="483" spans="1:8" x14ac:dyDescent="0.25">
      <c r="A483" s="26">
        <v>46080</v>
      </c>
      <c r="B483" t="s">
        <v>5</v>
      </c>
      <c r="C483" t="s">
        <v>71</v>
      </c>
      <c r="D483" t="s">
        <v>56</v>
      </c>
      <c r="E483" t="s">
        <v>72</v>
      </c>
      <c r="F483" t="s">
        <v>84</v>
      </c>
      <c r="G483">
        <v>9</v>
      </c>
      <c r="H483" t="s">
        <v>54</v>
      </c>
    </row>
    <row r="484" spans="1:8" x14ac:dyDescent="0.25">
      <c r="A484" s="26">
        <v>46173</v>
      </c>
      <c r="B484" t="s">
        <v>7</v>
      </c>
      <c r="C484" t="s">
        <v>28</v>
      </c>
      <c r="D484" t="s">
        <v>56</v>
      </c>
      <c r="E484" t="s">
        <v>72</v>
      </c>
      <c r="F484" t="s">
        <v>73</v>
      </c>
      <c r="G484">
        <v>8</v>
      </c>
      <c r="H484" t="s">
        <v>62</v>
      </c>
    </row>
    <row r="485" spans="1:8" x14ac:dyDescent="0.25">
      <c r="A485" s="26">
        <v>46145</v>
      </c>
      <c r="B485" t="s">
        <v>8</v>
      </c>
      <c r="C485" t="s">
        <v>28</v>
      </c>
      <c r="D485" t="s">
        <v>29</v>
      </c>
      <c r="E485" t="s">
        <v>63</v>
      </c>
      <c r="F485" t="s">
        <v>40</v>
      </c>
      <c r="G485">
        <v>13</v>
      </c>
      <c r="H485" t="s">
        <v>62</v>
      </c>
    </row>
    <row r="486" spans="1:8" x14ac:dyDescent="0.25">
      <c r="A486" s="26">
        <v>46215</v>
      </c>
      <c r="B486" t="s">
        <v>9</v>
      </c>
      <c r="C486" t="s">
        <v>71</v>
      </c>
      <c r="D486" t="s">
        <v>29</v>
      </c>
      <c r="E486" t="s">
        <v>72</v>
      </c>
      <c r="F486" t="s">
        <v>61</v>
      </c>
      <c r="G486">
        <v>6</v>
      </c>
      <c r="H486" t="s">
        <v>54</v>
      </c>
    </row>
    <row r="487" spans="1:8" x14ac:dyDescent="0.25">
      <c r="A487" s="26">
        <v>46026</v>
      </c>
      <c r="B487" t="s">
        <v>10</v>
      </c>
      <c r="C487" t="s">
        <v>71</v>
      </c>
      <c r="D487" t="s">
        <v>56</v>
      </c>
      <c r="E487" t="s">
        <v>95</v>
      </c>
      <c r="F487" t="s">
        <v>64</v>
      </c>
      <c r="G487">
        <v>3</v>
      </c>
      <c r="H487" t="s">
        <v>62</v>
      </c>
    </row>
    <row r="488" spans="1:8" x14ac:dyDescent="0.25">
      <c r="A488" s="26">
        <v>46078</v>
      </c>
      <c r="B488" t="s">
        <v>7</v>
      </c>
      <c r="C488" t="s">
        <v>28</v>
      </c>
      <c r="D488" t="s">
        <v>56</v>
      </c>
      <c r="E488" t="s">
        <v>63</v>
      </c>
      <c r="F488" t="s">
        <v>66</v>
      </c>
      <c r="G488">
        <v>8</v>
      </c>
      <c r="H488" t="s">
        <v>32</v>
      </c>
    </row>
    <row r="489" spans="1:8" x14ac:dyDescent="0.25">
      <c r="A489" s="26">
        <v>46065</v>
      </c>
      <c r="B489" t="s">
        <v>5</v>
      </c>
      <c r="C489" t="s">
        <v>28</v>
      </c>
      <c r="D489" t="s">
        <v>34</v>
      </c>
      <c r="E489" t="s">
        <v>72</v>
      </c>
      <c r="F489" t="s">
        <v>84</v>
      </c>
      <c r="G489">
        <v>15</v>
      </c>
      <c r="H489" t="s">
        <v>62</v>
      </c>
    </row>
    <row r="490" spans="1:8" x14ac:dyDescent="0.25">
      <c r="A490" s="26">
        <v>46218</v>
      </c>
      <c r="B490" t="s">
        <v>5</v>
      </c>
      <c r="C490" t="s">
        <v>28</v>
      </c>
      <c r="D490" t="s">
        <v>29</v>
      </c>
      <c r="E490" t="s">
        <v>63</v>
      </c>
      <c r="F490" t="s">
        <v>47</v>
      </c>
      <c r="G490">
        <v>2</v>
      </c>
      <c r="H490" t="s">
        <v>32</v>
      </c>
    </row>
    <row r="491" spans="1:8" x14ac:dyDescent="0.25">
      <c r="A491" s="26">
        <v>46137</v>
      </c>
      <c r="B491" t="s">
        <v>12</v>
      </c>
      <c r="C491" t="s">
        <v>28</v>
      </c>
      <c r="D491" t="s">
        <v>29</v>
      </c>
      <c r="E491" t="s">
        <v>63</v>
      </c>
      <c r="F491" t="s">
        <v>66</v>
      </c>
      <c r="G491">
        <v>10</v>
      </c>
      <c r="H491" t="s">
        <v>62</v>
      </c>
    </row>
    <row r="492" spans="1:8" x14ac:dyDescent="0.25">
      <c r="A492" s="26">
        <v>46045</v>
      </c>
      <c r="B492" t="s">
        <v>6</v>
      </c>
      <c r="C492" t="s">
        <v>28</v>
      </c>
      <c r="D492" t="s">
        <v>29</v>
      </c>
      <c r="E492" t="s">
        <v>30</v>
      </c>
      <c r="F492" t="s">
        <v>64</v>
      </c>
      <c r="G492">
        <v>5</v>
      </c>
      <c r="H492" t="s">
        <v>32</v>
      </c>
    </row>
    <row r="493" spans="1:8" x14ac:dyDescent="0.25">
      <c r="A493" s="26">
        <v>46095</v>
      </c>
      <c r="B493" t="s">
        <v>7</v>
      </c>
      <c r="C493" t="s">
        <v>28</v>
      </c>
      <c r="D493" t="s">
        <v>56</v>
      </c>
      <c r="E493" t="s">
        <v>72</v>
      </c>
      <c r="F493" t="s">
        <v>43</v>
      </c>
      <c r="G493">
        <v>15</v>
      </c>
      <c r="H493" t="s">
        <v>54</v>
      </c>
    </row>
    <row r="494" spans="1:8" x14ac:dyDescent="0.25">
      <c r="A494" s="26">
        <v>46064</v>
      </c>
      <c r="B494" t="s">
        <v>9</v>
      </c>
      <c r="C494" t="s">
        <v>28</v>
      </c>
      <c r="D494" t="s">
        <v>34</v>
      </c>
      <c r="E494" t="s">
        <v>75</v>
      </c>
      <c r="F494" t="s">
        <v>78</v>
      </c>
      <c r="G494">
        <v>15</v>
      </c>
      <c r="H494" t="s">
        <v>54</v>
      </c>
    </row>
    <row r="495" spans="1:8" x14ac:dyDescent="0.25">
      <c r="A495" s="26">
        <v>46154</v>
      </c>
      <c r="B495" t="s">
        <v>8</v>
      </c>
      <c r="C495" t="s">
        <v>87</v>
      </c>
      <c r="D495" t="s">
        <v>29</v>
      </c>
      <c r="E495" t="s">
        <v>63</v>
      </c>
      <c r="F495" t="s">
        <v>40</v>
      </c>
      <c r="G495">
        <v>10</v>
      </c>
      <c r="H495" t="s">
        <v>36</v>
      </c>
    </row>
    <row r="496" spans="1:8" x14ac:dyDescent="0.25">
      <c r="A496" s="26">
        <v>46079</v>
      </c>
      <c r="B496" t="s">
        <v>9</v>
      </c>
      <c r="C496" t="s">
        <v>87</v>
      </c>
      <c r="D496" t="s">
        <v>29</v>
      </c>
      <c r="E496" t="s">
        <v>63</v>
      </c>
      <c r="F496" t="s">
        <v>43</v>
      </c>
      <c r="G496">
        <v>5</v>
      </c>
      <c r="H496" t="s">
        <v>32</v>
      </c>
    </row>
    <row r="497" spans="1:8" x14ac:dyDescent="0.25">
      <c r="A497" s="26">
        <v>46133</v>
      </c>
      <c r="B497" t="s">
        <v>7</v>
      </c>
      <c r="C497" t="s">
        <v>87</v>
      </c>
      <c r="D497" t="s">
        <v>56</v>
      </c>
      <c r="E497" t="s">
        <v>95</v>
      </c>
      <c r="F497" t="s">
        <v>64</v>
      </c>
      <c r="G497">
        <v>5</v>
      </c>
      <c r="H497" t="s">
        <v>54</v>
      </c>
    </row>
    <row r="498" spans="1:8" x14ac:dyDescent="0.25">
      <c r="A498" s="26">
        <v>46198</v>
      </c>
      <c r="B498" t="s">
        <v>6</v>
      </c>
      <c r="C498" t="s">
        <v>87</v>
      </c>
      <c r="D498" t="s">
        <v>34</v>
      </c>
      <c r="E498" t="s">
        <v>72</v>
      </c>
      <c r="F498" t="s">
        <v>31</v>
      </c>
      <c r="G498">
        <v>8</v>
      </c>
      <c r="H498" t="s">
        <v>32</v>
      </c>
    </row>
    <row r="499" spans="1:8" x14ac:dyDescent="0.25">
      <c r="A499" s="26">
        <v>46175</v>
      </c>
      <c r="B499" t="s">
        <v>10</v>
      </c>
      <c r="C499" t="s">
        <v>28</v>
      </c>
      <c r="D499" t="s">
        <v>38</v>
      </c>
      <c r="E499" t="s">
        <v>75</v>
      </c>
      <c r="F499" t="s">
        <v>91</v>
      </c>
      <c r="G499">
        <v>3</v>
      </c>
      <c r="H499" t="s">
        <v>32</v>
      </c>
    </row>
    <row r="500" spans="1:8" x14ac:dyDescent="0.25">
      <c r="A500" s="26">
        <v>46184</v>
      </c>
      <c r="B500" t="s">
        <v>9</v>
      </c>
      <c r="C500" t="s">
        <v>71</v>
      </c>
      <c r="D500" t="s">
        <v>38</v>
      </c>
      <c r="E500" t="s">
        <v>63</v>
      </c>
      <c r="F500" t="s">
        <v>40</v>
      </c>
      <c r="G500">
        <v>5</v>
      </c>
      <c r="H500" t="s">
        <v>62</v>
      </c>
    </row>
    <row r="501" spans="1:8" x14ac:dyDescent="0.25">
      <c r="A501" s="26">
        <v>46218</v>
      </c>
      <c r="B501" t="s">
        <v>7</v>
      </c>
      <c r="C501" t="s">
        <v>71</v>
      </c>
      <c r="D501" t="s">
        <v>29</v>
      </c>
      <c r="E501" t="s">
        <v>63</v>
      </c>
      <c r="F501" t="s">
        <v>66</v>
      </c>
      <c r="G501">
        <v>4</v>
      </c>
      <c r="H501" t="s">
        <v>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A1B4-8F41-47D1-B4CC-598389BBCE36}">
  <dimension ref="A1:H1000"/>
  <sheetViews>
    <sheetView workbookViewId="0">
      <selection activeCell="D26" sqref="D26"/>
    </sheetView>
  </sheetViews>
  <sheetFormatPr defaultColWidth="14.42578125" defaultRowHeight="15" customHeight="1" x14ac:dyDescent="0.25"/>
  <cols>
    <col min="1" max="1" width="12" customWidth="1"/>
    <col min="2" max="2" width="16" customWidth="1"/>
    <col min="3" max="3" width="14" customWidth="1"/>
    <col min="4" max="4" width="12" customWidth="1"/>
    <col min="5" max="5" width="18" customWidth="1"/>
    <col min="6" max="6" width="14" customWidth="1"/>
    <col min="7" max="7" width="13" customWidth="1"/>
    <col min="8" max="8" width="15.7109375" customWidth="1"/>
    <col min="9" max="25" width="8.7109375" customWidth="1"/>
  </cols>
  <sheetData>
    <row r="1" spans="1:8" ht="17.25" customHeight="1" x14ac:dyDescent="0.25">
      <c r="A1" s="25" t="s">
        <v>1</v>
      </c>
      <c r="B1" s="25" t="s">
        <v>0</v>
      </c>
      <c r="C1" s="25" t="s">
        <v>20</v>
      </c>
      <c r="D1" s="25" t="s">
        <v>22</v>
      </c>
      <c r="E1" s="25" t="s">
        <v>23</v>
      </c>
      <c r="F1" s="25" t="s">
        <v>24</v>
      </c>
      <c r="G1" s="25" t="s">
        <v>25</v>
      </c>
      <c r="H1" s="25" t="s">
        <v>26</v>
      </c>
    </row>
    <row r="2" spans="1:8" ht="14.25" customHeight="1" x14ac:dyDescent="0.25">
      <c r="A2" s="14">
        <v>46161</v>
      </c>
      <c r="B2" s="6" t="s">
        <v>27</v>
      </c>
      <c r="C2" s="6" t="s">
        <v>28</v>
      </c>
      <c r="D2" s="6" t="s">
        <v>29</v>
      </c>
      <c r="E2" s="6" t="s">
        <v>30</v>
      </c>
      <c r="F2" s="6" t="s">
        <v>31</v>
      </c>
      <c r="G2" s="7">
        <v>7</v>
      </c>
      <c r="H2" s="6" t="s">
        <v>32</v>
      </c>
    </row>
    <row r="3" spans="1:8" ht="14.25" customHeight="1" x14ac:dyDescent="0.25">
      <c r="A3" s="15">
        <v>46199</v>
      </c>
      <c r="B3" s="9" t="s">
        <v>33</v>
      </c>
      <c r="C3" s="9" t="s">
        <v>28</v>
      </c>
      <c r="D3" s="9" t="s">
        <v>34</v>
      </c>
      <c r="E3" s="9" t="s">
        <v>35</v>
      </c>
      <c r="F3" s="9" t="s">
        <v>31</v>
      </c>
      <c r="G3" s="10">
        <v>1</v>
      </c>
      <c r="H3" s="9" t="s">
        <v>36</v>
      </c>
    </row>
    <row r="4" spans="1:8" ht="14.25" customHeight="1" x14ac:dyDescent="0.25">
      <c r="A4" s="14">
        <v>46172</v>
      </c>
      <c r="B4" s="6" t="s">
        <v>7</v>
      </c>
      <c r="C4" s="6" t="s">
        <v>37</v>
      </c>
      <c r="D4" s="6" t="s">
        <v>38</v>
      </c>
      <c r="E4" s="6" t="s">
        <v>39</v>
      </c>
      <c r="F4" s="6" t="s">
        <v>40</v>
      </c>
      <c r="G4" s="7">
        <v>7</v>
      </c>
      <c r="H4" s="6" t="s">
        <v>32</v>
      </c>
    </row>
    <row r="5" spans="1:8" ht="14.25" customHeight="1" x14ac:dyDescent="0.25">
      <c r="A5" s="15">
        <v>46214</v>
      </c>
      <c r="B5" s="9" t="s">
        <v>41</v>
      </c>
      <c r="C5" s="9" t="s">
        <v>42</v>
      </c>
      <c r="D5" s="9" t="s">
        <v>34</v>
      </c>
      <c r="E5" s="9" t="s">
        <v>35</v>
      </c>
      <c r="F5" s="9" t="s">
        <v>43</v>
      </c>
      <c r="G5" s="10">
        <v>6</v>
      </c>
      <c r="H5" s="9" t="s">
        <v>32</v>
      </c>
    </row>
    <row r="6" spans="1:8" ht="14.25" customHeight="1" x14ac:dyDescent="0.25">
      <c r="A6" s="14">
        <v>46130</v>
      </c>
      <c r="B6" s="6" t="s">
        <v>44</v>
      </c>
      <c r="C6" s="6" t="s">
        <v>45</v>
      </c>
      <c r="D6" s="6" t="s">
        <v>29</v>
      </c>
      <c r="E6" s="6" t="s">
        <v>46</v>
      </c>
      <c r="F6" s="6" t="s">
        <v>47</v>
      </c>
      <c r="G6" s="7">
        <v>6</v>
      </c>
      <c r="H6" s="6" t="s">
        <v>32</v>
      </c>
    </row>
    <row r="7" spans="1:8" ht="14.25" customHeight="1" x14ac:dyDescent="0.25">
      <c r="A7" s="15">
        <v>46093</v>
      </c>
      <c r="B7" s="9" t="s">
        <v>9</v>
      </c>
      <c r="C7" s="9" t="s">
        <v>48</v>
      </c>
      <c r="D7" s="9" t="s">
        <v>49</v>
      </c>
      <c r="E7" s="9" t="s">
        <v>50</v>
      </c>
      <c r="F7" s="9" t="s">
        <v>51</v>
      </c>
      <c r="G7" s="10">
        <v>6</v>
      </c>
      <c r="H7" s="9" t="s">
        <v>36</v>
      </c>
    </row>
    <row r="8" spans="1:8" ht="14.25" customHeight="1" x14ac:dyDescent="0.25">
      <c r="A8" s="14">
        <v>46191</v>
      </c>
      <c r="B8" s="6" t="s">
        <v>52</v>
      </c>
      <c r="C8" s="6" t="s">
        <v>28</v>
      </c>
      <c r="D8" s="6" t="s">
        <v>38</v>
      </c>
      <c r="E8" s="6" t="s">
        <v>39</v>
      </c>
      <c r="F8" s="6" t="s">
        <v>53</v>
      </c>
      <c r="G8" s="7">
        <v>13</v>
      </c>
      <c r="H8" s="6" t="s">
        <v>54</v>
      </c>
    </row>
    <row r="9" spans="1:8" ht="14.25" customHeight="1" x14ac:dyDescent="0.25">
      <c r="A9" s="15">
        <v>46212</v>
      </c>
      <c r="B9" s="9" t="s">
        <v>55</v>
      </c>
      <c r="C9" s="9" t="s">
        <v>28</v>
      </c>
      <c r="D9" s="9" t="s">
        <v>56</v>
      </c>
      <c r="E9" s="9" t="s">
        <v>57</v>
      </c>
      <c r="F9" s="9" t="s">
        <v>53</v>
      </c>
      <c r="G9" s="10">
        <v>12</v>
      </c>
      <c r="H9" s="9" t="s">
        <v>54</v>
      </c>
    </row>
    <row r="10" spans="1:8" ht="14.25" customHeight="1" x14ac:dyDescent="0.25">
      <c r="A10" s="14">
        <v>46038</v>
      </c>
      <c r="B10" s="6" t="s">
        <v>7</v>
      </c>
      <c r="C10" s="6" t="s">
        <v>58</v>
      </c>
      <c r="D10" s="6" t="s">
        <v>38</v>
      </c>
      <c r="E10" s="6" t="s">
        <v>39</v>
      </c>
      <c r="F10" s="6" t="s">
        <v>59</v>
      </c>
      <c r="G10" s="7">
        <v>10</v>
      </c>
      <c r="H10" s="6" t="s">
        <v>54</v>
      </c>
    </row>
    <row r="11" spans="1:8" ht="14.25" customHeight="1" x14ac:dyDescent="0.25">
      <c r="A11" s="15">
        <v>46182</v>
      </c>
      <c r="B11" s="9" t="s">
        <v>60</v>
      </c>
      <c r="C11" s="9" t="s">
        <v>28</v>
      </c>
      <c r="D11" s="9" t="s">
        <v>34</v>
      </c>
      <c r="E11" s="9" t="s">
        <v>39</v>
      </c>
      <c r="F11" s="9" t="s">
        <v>61</v>
      </c>
      <c r="G11" s="10">
        <v>15</v>
      </c>
      <c r="H11" s="9" t="s">
        <v>62</v>
      </c>
    </row>
    <row r="12" spans="1:8" ht="14.25" customHeight="1" x14ac:dyDescent="0.25">
      <c r="A12" s="14">
        <v>46132</v>
      </c>
      <c r="B12" s="6" t="s">
        <v>44</v>
      </c>
      <c r="C12" s="6" t="s">
        <v>28</v>
      </c>
      <c r="D12" s="6" t="s">
        <v>56</v>
      </c>
      <c r="E12" s="6" t="s">
        <v>63</v>
      </c>
      <c r="F12" s="6" t="s">
        <v>64</v>
      </c>
      <c r="G12" s="7">
        <v>8</v>
      </c>
      <c r="H12" s="6" t="s">
        <v>32</v>
      </c>
    </row>
    <row r="13" spans="1:8" ht="14.25" customHeight="1" x14ac:dyDescent="0.25">
      <c r="A13" s="15">
        <v>46097</v>
      </c>
      <c r="B13" s="9" t="s">
        <v>33</v>
      </c>
      <c r="C13" s="9" t="s">
        <v>45</v>
      </c>
      <c r="D13" s="9" t="s">
        <v>38</v>
      </c>
      <c r="E13" s="9" t="s">
        <v>63</v>
      </c>
      <c r="F13" s="9" t="s">
        <v>59</v>
      </c>
      <c r="G13" s="10">
        <v>9</v>
      </c>
      <c r="H13" s="9" t="s">
        <v>54</v>
      </c>
    </row>
    <row r="14" spans="1:8" ht="14.25" customHeight="1" x14ac:dyDescent="0.25">
      <c r="A14" s="14">
        <v>46146</v>
      </c>
      <c r="B14" s="6" t="s">
        <v>65</v>
      </c>
      <c r="C14" s="6" t="s">
        <v>42</v>
      </c>
      <c r="D14" s="6" t="s">
        <v>38</v>
      </c>
      <c r="E14" s="6" t="s">
        <v>30</v>
      </c>
      <c r="F14" s="6" t="s">
        <v>66</v>
      </c>
      <c r="G14" s="7">
        <v>14</v>
      </c>
      <c r="H14" s="6" t="s">
        <v>32</v>
      </c>
    </row>
    <row r="15" spans="1:8" ht="14.25" customHeight="1" x14ac:dyDescent="0.25">
      <c r="A15" s="15">
        <v>46031</v>
      </c>
      <c r="B15" s="9" t="s">
        <v>67</v>
      </c>
      <c r="C15" s="9" t="s">
        <v>58</v>
      </c>
      <c r="D15" s="9" t="s">
        <v>38</v>
      </c>
      <c r="E15" s="9" t="s">
        <v>57</v>
      </c>
      <c r="F15" s="9" t="s">
        <v>40</v>
      </c>
      <c r="G15" s="10">
        <v>4</v>
      </c>
      <c r="H15" s="9" t="s">
        <v>36</v>
      </c>
    </row>
    <row r="16" spans="1:8" ht="14.25" customHeight="1" x14ac:dyDescent="0.25">
      <c r="A16" s="14">
        <v>46199</v>
      </c>
      <c r="B16" s="6" t="s">
        <v>68</v>
      </c>
      <c r="C16" s="6" t="s">
        <v>37</v>
      </c>
      <c r="D16" s="6" t="s">
        <v>29</v>
      </c>
      <c r="E16" s="6" t="s">
        <v>69</v>
      </c>
      <c r="F16" s="6" t="s">
        <v>31</v>
      </c>
      <c r="G16" s="7">
        <v>6</v>
      </c>
      <c r="H16" s="6" t="s">
        <v>36</v>
      </c>
    </row>
    <row r="17" spans="1:8" ht="14.25" customHeight="1" x14ac:dyDescent="0.25">
      <c r="A17" s="15">
        <v>46226</v>
      </c>
      <c r="B17" s="9" t="s">
        <v>70</v>
      </c>
      <c r="C17" s="9" t="s">
        <v>71</v>
      </c>
      <c r="D17" s="9" t="s">
        <v>38</v>
      </c>
      <c r="E17" s="9" t="s">
        <v>72</v>
      </c>
      <c r="F17" s="9" t="s">
        <v>73</v>
      </c>
      <c r="G17" s="10">
        <v>10</v>
      </c>
      <c r="H17" s="9" t="s">
        <v>54</v>
      </c>
    </row>
    <row r="18" spans="1:8" ht="14.25" customHeight="1" x14ac:dyDescent="0.25">
      <c r="A18" s="14">
        <v>46125</v>
      </c>
      <c r="B18" s="6" t="s">
        <v>41</v>
      </c>
      <c r="C18" s="6" t="s">
        <v>74</v>
      </c>
      <c r="D18" s="6" t="s">
        <v>29</v>
      </c>
      <c r="E18" s="6" t="s">
        <v>75</v>
      </c>
      <c r="F18" s="6" t="s">
        <v>40</v>
      </c>
      <c r="G18" s="7">
        <v>7</v>
      </c>
      <c r="H18" s="6" t="s">
        <v>32</v>
      </c>
    </row>
    <row r="19" spans="1:8" ht="14.25" customHeight="1" x14ac:dyDescent="0.25">
      <c r="A19" s="15">
        <v>46162</v>
      </c>
      <c r="B19" s="9" t="s">
        <v>76</v>
      </c>
      <c r="C19" s="9" t="s">
        <v>77</v>
      </c>
      <c r="D19" s="9" t="s">
        <v>49</v>
      </c>
      <c r="E19" s="9" t="s">
        <v>46</v>
      </c>
      <c r="F19" s="9" t="s">
        <v>47</v>
      </c>
      <c r="G19" s="10">
        <v>7</v>
      </c>
      <c r="H19" s="9" t="s">
        <v>62</v>
      </c>
    </row>
    <row r="20" spans="1:8" ht="14.25" customHeight="1" x14ac:dyDescent="0.25">
      <c r="A20" s="14">
        <v>46112</v>
      </c>
      <c r="B20" s="6" t="s">
        <v>10</v>
      </c>
      <c r="C20" s="6" t="s">
        <v>74</v>
      </c>
      <c r="D20" s="6" t="s">
        <v>34</v>
      </c>
      <c r="E20" s="6" t="s">
        <v>39</v>
      </c>
      <c r="F20" s="6" t="s">
        <v>47</v>
      </c>
      <c r="G20" s="7">
        <v>11</v>
      </c>
      <c r="H20" s="6" t="s">
        <v>54</v>
      </c>
    </row>
    <row r="21" spans="1:8" ht="14.25" customHeight="1" x14ac:dyDescent="0.25">
      <c r="A21" s="15">
        <v>46147</v>
      </c>
      <c r="B21" s="9" t="s">
        <v>41</v>
      </c>
      <c r="C21" s="9" t="s">
        <v>42</v>
      </c>
      <c r="D21" s="9" t="s">
        <v>29</v>
      </c>
      <c r="E21" s="9" t="s">
        <v>50</v>
      </c>
      <c r="F21" s="9" t="s">
        <v>78</v>
      </c>
      <c r="G21" s="10">
        <v>6</v>
      </c>
      <c r="H21" s="9" t="s">
        <v>54</v>
      </c>
    </row>
    <row r="22" spans="1:8" ht="14.25" customHeight="1" x14ac:dyDescent="0.25">
      <c r="A22" s="14">
        <v>46241</v>
      </c>
      <c r="B22" s="6" t="s">
        <v>5</v>
      </c>
      <c r="C22" s="6" t="s">
        <v>28</v>
      </c>
      <c r="D22" s="6" t="s">
        <v>29</v>
      </c>
      <c r="E22" s="6" t="s">
        <v>46</v>
      </c>
      <c r="F22" s="6" t="s">
        <v>66</v>
      </c>
      <c r="G22" s="7">
        <v>8</v>
      </c>
      <c r="H22" s="6" t="s">
        <v>36</v>
      </c>
    </row>
    <row r="23" spans="1:8" ht="14.25" customHeight="1" x14ac:dyDescent="0.25">
      <c r="A23" s="15">
        <v>46217</v>
      </c>
      <c r="B23" s="9" t="s">
        <v>79</v>
      </c>
      <c r="C23" s="9" t="s">
        <v>71</v>
      </c>
      <c r="D23" s="9" t="s">
        <v>38</v>
      </c>
      <c r="E23" s="9" t="s">
        <v>75</v>
      </c>
      <c r="F23" s="9" t="s">
        <v>59</v>
      </c>
      <c r="G23" s="10">
        <v>5</v>
      </c>
      <c r="H23" s="9" t="s">
        <v>62</v>
      </c>
    </row>
    <row r="24" spans="1:8" ht="14.25" customHeight="1" x14ac:dyDescent="0.25">
      <c r="A24" s="14">
        <v>46034</v>
      </c>
      <c r="B24" s="6" t="s">
        <v>60</v>
      </c>
      <c r="C24" s="6" t="s">
        <v>58</v>
      </c>
      <c r="D24" s="6" t="s">
        <v>38</v>
      </c>
      <c r="E24" s="6" t="s">
        <v>80</v>
      </c>
      <c r="F24" s="6" t="s">
        <v>78</v>
      </c>
      <c r="G24" s="7">
        <v>15</v>
      </c>
      <c r="H24" s="6" t="s">
        <v>36</v>
      </c>
    </row>
    <row r="25" spans="1:8" ht="14.25" customHeight="1" x14ac:dyDescent="0.25">
      <c r="A25" s="15">
        <v>46050</v>
      </c>
      <c r="B25" s="9" t="s">
        <v>9</v>
      </c>
      <c r="C25" s="9" t="s">
        <v>37</v>
      </c>
      <c r="D25" s="9" t="s">
        <v>38</v>
      </c>
      <c r="E25" s="9" t="s">
        <v>81</v>
      </c>
      <c r="F25" s="9" t="s">
        <v>61</v>
      </c>
      <c r="G25" s="10">
        <v>1</v>
      </c>
      <c r="H25" s="9" t="s">
        <v>36</v>
      </c>
    </row>
    <row r="26" spans="1:8" ht="14.25" customHeight="1" x14ac:dyDescent="0.25">
      <c r="A26" s="14">
        <v>46035</v>
      </c>
      <c r="B26" s="6" t="s">
        <v>8</v>
      </c>
      <c r="C26" s="6" t="s">
        <v>77</v>
      </c>
      <c r="D26" s="6" t="s">
        <v>49</v>
      </c>
      <c r="E26" s="6" t="s">
        <v>63</v>
      </c>
      <c r="F26" s="6" t="s">
        <v>51</v>
      </c>
      <c r="G26" s="7">
        <v>12</v>
      </c>
      <c r="H26" s="6" t="s">
        <v>54</v>
      </c>
    </row>
    <row r="27" spans="1:8" ht="14.25" customHeight="1" x14ac:dyDescent="0.25">
      <c r="A27" s="15">
        <v>46094</v>
      </c>
      <c r="B27" s="9" t="s">
        <v>33</v>
      </c>
      <c r="C27" s="9" t="s">
        <v>42</v>
      </c>
      <c r="D27" s="9" t="s">
        <v>38</v>
      </c>
      <c r="E27" s="9" t="s">
        <v>75</v>
      </c>
      <c r="F27" s="9" t="s">
        <v>64</v>
      </c>
      <c r="G27" s="10">
        <v>9</v>
      </c>
      <c r="H27" s="9" t="s">
        <v>62</v>
      </c>
    </row>
    <row r="28" spans="1:8" ht="14.25" customHeight="1" x14ac:dyDescent="0.25">
      <c r="A28" s="14">
        <v>46214</v>
      </c>
      <c r="B28" s="6" t="s">
        <v>67</v>
      </c>
      <c r="C28" s="6" t="s">
        <v>28</v>
      </c>
      <c r="D28" s="6" t="s">
        <v>38</v>
      </c>
      <c r="E28" s="6" t="s">
        <v>39</v>
      </c>
      <c r="F28" s="6" t="s">
        <v>51</v>
      </c>
      <c r="G28" s="7">
        <v>5</v>
      </c>
      <c r="H28" s="6" t="s">
        <v>62</v>
      </c>
    </row>
    <row r="29" spans="1:8" ht="14.25" customHeight="1" x14ac:dyDescent="0.25">
      <c r="A29" s="15">
        <v>46091</v>
      </c>
      <c r="B29" s="9" t="s">
        <v>33</v>
      </c>
      <c r="C29" s="9" t="s">
        <v>77</v>
      </c>
      <c r="D29" s="9" t="s">
        <v>38</v>
      </c>
      <c r="E29" s="9" t="s">
        <v>63</v>
      </c>
      <c r="F29" s="9" t="s">
        <v>78</v>
      </c>
      <c r="G29" s="10">
        <v>8</v>
      </c>
      <c r="H29" s="9" t="s">
        <v>32</v>
      </c>
    </row>
    <row r="30" spans="1:8" ht="14.25" customHeight="1" x14ac:dyDescent="0.25">
      <c r="A30" s="14">
        <v>46142</v>
      </c>
      <c r="B30" s="6" t="s">
        <v>60</v>
      </c>
      <c r="C30" s="6" t="s">
        <v>58</v>
      </c>
      <c r="D30" s="6" t="s">
        <v>29</v>
      </c>
      <c r="E30" s="6" t="s">
        <v>82</v>
      </c>
      <c r="F30" s="6" t="s">
        <v>40</v>
      </c>
      <c r="G30" s="7">
        <v>2</v>
      </c>
      <c r="H30" s="6" t="s">
        <v>32</v>
      </c>
    </row>
    <row r="31" spans="1:8" ht="14.25" customHeight="1" x14ac:dyDescent="0.25">
      <c r="A31" s="15">
        <v>46068</v>
      </c>
      <c r="B31" s="9" t="s">
        <v>83</v>
      </c>
      <c r="C31" s="9" t="s">
        <v>28</v>
      </c>
      <c r="D31" s="9" t="s">
        <v>49</v>
      </c>
      <c r="E31" s="9" t="s">
        <v>69</v>
      </c>
      <c r="F31" s="9" t="s">
        <v>84</v>
      </c>
      <c r="G31" s="10">
        <v>7</v>
      </c>
      <c r="H31" s="9" t="s">
        <v>54</v>
      </c>
    </row>
    <row r="32" spans="1:8" ht="14.25" customHeight="1" x14ac:dyDescent="0.25">
      <c r="A32" s="14">
        <v>46219</v>
      </c>
      <c r="B32" s="6" t="s">
        <v>85</v>
      </c>
      <c r="C32" s="6" t="s">
        <v>58</v>
      </c>
      <c r="D32" s="6" t="s">
        <v>29</v>
      </c>
      <c r="E32" s="6" t="s">
        <v>80</v>
      </c>
      <c r="F32" s="6" t="s">
        <v>66</v>
      </c>
      <c r="G32" s="7">
        <v>12</v>
      </c>
      <c r="H32" s="6" t="s">
        <v>62</v>
      </c>
    </row>
    <row r="33" spans="1:8" ht="14.25" customHeight="1" x14ac:dyDescent="0.25">
      <c r="A33" s="15">
        <v>46185</v>
      </c>
      <c r="B33" s="9" t="s">
        <v>86</v>
      </c>
      <c r="C33" s="9" t="s">
        <v>58</v>
      </c>
      <c r="D33" s="9" t="s">
        <v>49</v>
      </c>
      <c r="E33" s="9" t="s">
        <v>46</v>
      </c>
      <c r="F33" s="9" t="s">
        <v>78</v>
      </c>
      <c r="G33" s="10">
        <v>15</v>
      </c>
      <c r="H33" s="9" t="s">
        <v>36</v>
      </c>
    </row>
    <row r="34" spans="1:8" ht="14.25" customHeight="1" x14ac:dyDescent="0.25">
      <c r="A34" s="14">
        <v>46236</v>
      </c>
      <c r="B34" s="6" t="s">
        <v>41</v>
      </c>
      <c r="C34" s="6" t="s">
        <v>37</v>
      </c>
      <c r="D34" s="6" t="s">
        <v>29</v>
      </c>
      <c r="E34" s="6" t="s">
        <v>72</v>
      </c>
      <c r="F34" s="6" t="s">
        <v>31</v>
      </c>
      <c r="G34" s="7">
        <v>7</v>
      </c>
      <c r="H34" s="6" t="s">
        <v>62</v>
      </c>
    </row>
    <row r="35" spans="1:8" ht="14.25" customHeight="1" x14ac:dyDescent="0.25">
      <c r="A35" s="15">
        <v>46111</v>
      </c>
      <c r="B35" s="9" t="s">
        <v>79</v>
      </c>
      <c r="C35" s="9" t="s">
        <v>58</v>
      </c>
      <c r="D35" s="9" t="s">
        <v>34</v>
      </c>
      <c r="E35" s="9" t="s">
        <v>35</v>
      </c>
      <c r="F35" s="9" t="s">
        <v>61</v>
      </c>
      <c r="G35" s="10">
        <v>10</v>
      </c>
      <c r="H35" s="9" t="s">
        <v>32</v>
      </c>
    </row>
    <row r="36" spans="1:8" ht="14.25" customHeight="1" x14ac:dyDescent="0.25">
      <c r="A36" s="14">
        <v>46132</v>
      </c>
      <c r="B36" s="6" t="s">
        <v>27</v>
      </c>
      <c r="C36" s="6" t="s">
        <v>87</v>
      </c>
      <c r="D36" s="6" t="s">
        <v>38</v>
      </c>
      <c r="E36" s="6" t="s">
        <v>35</v>
      </c>
      <c r="F36" s="6" t="s">
        <v>73</v>
      </c>
      <c r="G36" s="7">
        <v>7</v>
      </c>
      <c r="H36" s="6" t="s">
        <v>32</v>
      </c>
    </row>
    <row r="37" spans="1:8" ht="14.25" customHeight="1" x14ac:dyDescent="0.25">
      <c r="A37" s="15">
        <v>46228</v>
      </c>
      <c r="B37" s="9" t="s">
        <v>41</v>
      </c>
      <c r="C37" s="9" t="s">
        <v>58</v>
      </c>
      <c r="D37" s="9" t="s">
        <v>29</v>
      </c>
      <c r="E37" s="9" t="s">
        <v>57</v>
      </c>
      <c r="F37" s="9" t="s">
        <v>43</v>
      </c>
      <c r="G37" s="10">
        <v>5</v>
      </c>
      <c r="H37" s="9" t="s">
        <v>36</v>
      </c>
    </row>
    <row r="38" spans="1:8" ht="14.25" customHeight="1" x14ac:dyDescent="0.25">
      <c r="A38" s="14">
        <v>46176</v>
      </c>
      <c r="B38" s="6" t="s">
        <v>8</v>
      </c>
      <c r="C38" s="6" t="s">
        <v>37</v>
      </c>
      <c r="D38" s="6" t="s">
        <v>29</v>
      </c>
      <c r="E38" s="6" t="s">
        <v>63</v>
      </c>
      <c r="F38" s="6" t="s">
        <v>64</v>
      </c>
      <c r="G38" s="7">
        <v>11</v>
      </c>
      <c r="H38" s="6" t="s">
        <v>32</v>
      </c>
    </row>
    <row r="39" spans="1:8" ht="14.25" customHeight="1" x14ac:dyDescent="0.25">
      <c r="A39" s="15">
        <v>46226</v>
      </c>
      <c r="B39" s="9" t="s">
        <v>88</v>
      </c>
      <c r="C39" s="9" t="s">
        <v>77</v>
      </c>
      <c r="D39" s="9" t="s">
        <v>29</v>
      </c>
      <c r="E39" s="9" t="s">
        <v>82</v>
      </c>
      <c r="F39" s="9" t="s">
        <v>78</v>
      </c>
      <c r="G39" s="10">
        <v>10</v>
      </c>
      <c r="H39" s="9" t="s">
        <v>32</v>
      </c>
    </row>
    <row r="40" spans="1:8" ht="14.25" customHeight="1" x14ac:dyDescent="0.25">
      <c r="A40" s="14">
        <v>46228</v>
      </c>
      <c r="B40" s="6" t="s">
        <v>33</v>
      </c>
      <c r="C40" s="6" t="s">
        <v>87</v>
      </c>
      <c r="D40" s="6" t="s">
        <v>38</v>
      </c>
      <c r="E40" s="6" t="s">
        <v>46</v>
      </c>
      <c r="F40" s="6" t="s">
        <v>53</v>
      </c>
      <c r="G40" s="7">
        <v>10</v>
      </c>
      <c r="H40" s="6" t="s">
        <v>62</v>
      </c>
    </row>
    <row r="41" spans="1:8" ht="14.25" customHeight="1" x14ac:dyDescent="0.25">
      <c r="A41" s="15">
        <v>46176</v>
      </c>
      <c r="B41" s="9" t="s">
        <v>60</v>
      </c>
      <c r="C41" s="9" t="s">
        <v>28</v>
      </c>
      <c r="D41" s="9" t="s">
        <v>29</v>
      </c>
      <c r="E41" s="9" t="s">
        <v>80</v>
      </c>
      <c r="F41" s="9" t="s">
        <v>66</v>
      </c>
      <c r="G41" s="10">
        <v>13</v>
      </c>
      <c r="H41" s="9" t="s">
        <v>32</v>
      </c>
    </row>
    <row r="42" spans="1:8" ht="14.25" customHeight="1" x14ac:dyDescent="0.25">
      <c r="A42" s="14">
        <v>46090</v>
      </c>
      <c r="B42" s="6" t="s">
        <v>85</v>
      </c>
      <c r="C42" s="6" t="s">
        <v>58</v>
      </c>
      <c r="D42" s="6" t="s">
        <v>49</v>
      </c>
      <c r="E42" s="6" t="s">
        <v>39</v>
      </c>
      <c r="F42" s="6" t="s">
        <v>53</v>
      </c>
      <c r="G42" s="7">
        <v>7</v>
      </c>
      <c r="H42" s="6" t="s">
        <v>54</v>
      </c>
    </row>
    <row r="43" spans="1:8" ht="14.25" customHeight="1" x14ac:dyDescent="0.25">
      <c r="A43" s="15">
        <v>46072</v>
      </c>
      <c r="B43" s="9" t="s">
        <v>8</v>
      </c>
      <c r="C43" s="9" t="s">
        <v>89</v>
      </c>
      <c r="D43" s="9" t="s">
        <v>38</v>
      </c>
      <c r="E43" s="9" t="s">
        <v>30</v>
      </c>
      <c r="F43" s="9" t="s">
        <v>40</v>
      </c>
      <c r="G43" s="10">
        <v>14</v>
      </c>
      <c r="H43" s="9" t="s">
        <v>54</v>
      </c>
    </row>
    <row r="44" spans="1:8" ht="14.25" customHeight="1" x14ac:dyDescent="0.25">
      <c r="A44" s="14">
        <v>46220</v>
      </c>
      <c r="B44" s="6" t="s">
        <v>60</v>
      </c>
      <c r="C44" s="6" t="s">
        <v>74</v>
      </c>
      <c r="D44" s="6" t="s">
        <v>38</v>
      </c>
      <c r="E44" s="6" t="s">
        <v>46</v>
      </c>
      <c r="F44" s="6" t="s">
        <v>51</v>
      </c>
      <c r="G44" s="7">
        <v>13</v>
      </c>
      <c r="H44" s="6" t="s">
        <v>62</v>
      </c>
    </row>
    <row r="45" spans="1:8" ht="14.25" customHeight="1" x14ac:dyDescent="0.25">
      <c r="A45" s="15">
        <v>46127</v>
      </c>
      <c r="B45" s="9" t="s">
        <v>6</v>
      </c>
      <c r="C45" s="9" t="s">
        <v>87</v>
      </c>
      <c r="D45" s="9" t="s">
        <v>29</v>
      </c>
      <c r="E45" s="9" t="s">
        <v>30</v>
      </c>
      <c r="F45" s="9" t="s">
        <v>73</v>
      </c>
      <c r="G45" s="10">
        <v>3</v>
      </c>
      <c r="H45" s="9" t="s">
        <v>36</v>
      </c>
    </row>
    <row r="46" spans="1:8" ht="14.25" customHeight="1" x14ac:dyDescent="0.25">
      <c r="A46" s="14">
        <v>46131</v>
      </c>
      <c r="B46" s="6" t="s">
        <v>8</v>
      </c>
      <c r="C46" s="6" t="s">
        <v>58</v>
      </c>
      <c r="D46" s="6" t="s">
        <v>38</v>
      </c>
      <c r="E46" s="6" t="s">
        <v>81</v>
      </c>
      <c r="F46" s="6" t="s">
        <v>47</v>
      </c>
      <c r="G46" s="7">
        <v>1</v>
      </c>
      <c r="H46" s="6" t="s">
        <v>32</v>
      </c>
    </row>
    <row r="47" spans="1:8" ht="14.25" customHeight="1" x14ac:dyDescent="0.25">
      <c r="A47" s="15">
        <v>46165</v>
      </c>
      <c r="B47" s="9" t="s">
        <v>79</v>
      </c>
      <c r="C47" s="9" t="s">
        <v>28</v>
      </c>
      <c r="D47" s="9" t="s">
        <v>29</v>
      </c>
      <c r="E47" s="9" t="s">
        <v>46</v>
      </c>
      <c r="F47" s="9" t="s">
        <v>66</v>
      </c>
      <c r="G47" s="10">
        <v>9</v>
      </c>
      <c r="H47" s="9" t="s">
        <v>62</v>
      </c>
    </row>
    <row r="48" spans="1:8" ht="14.25" customHeight="1" x14ac:dyDescent="0.25">
      <c r="A48" s="14">
        <v>46237</v>
      </c>
      <c r="B48" s="6" t="s">
        <v>8</v>
      </c>
      <c r="C48" s="6" t="s">
        <v>37</v>
      </c>
      <c r="D48" s="6" t="s">
        <v>38</v>
      </c>
      <c r="E48" s="6" t="s">
        <v>82</v>
      </c>
      <c r="F48" s="6" t="s">
        <v>84</v>
      </c>
      <c r="G48" s="7">
        <v>5</v>
      </c>
      <c r="H48" s="6" t="s">
        <v>62</v>
      </c>
    </row>
    <row r="49" spans="1:8" ht="14.25" customHeight="1" x14ac:dyDescent="0.25">
      <c r="A49" s="15">
        <v>46086</v>
      </c>
      <c r="B49" s="9" t="s">
        <v>60</v>
      </c>
      <c r="C49" s="9" t="s">
        <v>77</v>
      </c>
      <c r="D49" s="9" t="s">
        <v>34</v>
      </c>
      <c r="E49" s="9" t="s">
        <v>50</v>
      </c>
      <c r="F49" s="9" t="s">
        <v>53</v>
      </c>
      <c r="G49" s="10">
        <v>11</v>
      </c>
      <c r="H49" s="9" t="s">
        <v>62</v>
      </c>
    </row>
    <row r="50" spans="1:8" ht="14.25" customHeight="1" x14ac:dyDescent="0.25">
      <c r="A50" s="14">
        <v>46110</v>
      </c>
      <c r="B50" s="6" t="s">
        <v>90</v>
      </c>
      <c r="C50" s="6" t="s">
        <v>58</v>
      </c>
      <c r="D50" s="6" t="s">
        <v>34</v>
      </c>
      <c r="E50" s="6" t="s">
        <v>82</v>
      </c>
      <c r="F50" s="6" t="s">
        <v>53</v>
      </c>
      <c r="G50" s="7">
        <v>6</v>
      </c>
      <c r="H50" s="6" t="s">
        <v>36</v>
      </c>
    </row>
    <row r="51" spans="1:8" ht="14.25" customHeight="1" x14ac:dyDescent="0.25">
      <c r="A51" s="15">
        <v>46200</v>
      </c>
      <c r="B51" s="9" t="s">
        <v>44</v>
      </c>
      <c r="C51" s="9" t="s">
        <v>42</v>
      </c>
      <c r="D51" s="9" t="s">
        <v>49</v>
      </c>
      <c r="E51" s="9" t="s">
        <v>82</v>
      </c>
      <c r="F51" s="9" t="s">
        <v>91</v>
      </c>
      <c r="G51" s="10">
        <v>1</v>
      </c>
      <c r="H51" s="9" t="s">
        <v>62</v>
      </c>
    </row>
    <row r="52" spans="1:8" ht="14.25" customHeight="1" x14ac:dyDescent="0.25">
      <c r="A52" s="14">
        <v>46240</v>
      </c>
      <c r="B52" s="6" t="s">
        <v>86</v>
      </c>
      <c r="C52" s="6" t="s">
        <v>71</v>
      </c>
      <c r="D52" s="6" t="s">
        <v>29</v>
      </c>
      <c r="E52" s="6" t="s">
        <v>39</v>
      </c>
      <c r="F52" s="6" t="s">
        <v>84</v>
      </c>
      <c r="G52" s="7">
        <v>4</v>
      </c>
      <c r="H52" s="6" t="s">
        <v>32</v>
      </c>
    </row>
    <row r="53" spans="1:8" ht="14.25" customHeight="1" x14ac:dyDescent="0.25">
      <c r="A53" s="15">
        <v>46051</v>
      </c>
      <c r="B53" s="9" t="s">
        <v>67</v>
      </c>
      <c r="C53" s="9" t="s">
        <v>42</v>
      </c>
      <c r="D53" s="9" t="s">
        <v>34</v>
      </c>
      <c r="E53" s="9" t="s">
        <v>39</v>
      </c>
      <c r="F53" s="9" t="s">
        <v>64</v>
      </c>
      <c r="G53" s="10">
        <v>5</v>
      </c>
      <c r="H53" s="9" t="s">
        <v>54</v>
      </c>
    </row>
    <row r="54" spans="1:8" ht="14.25" customHeight="1" x14ac:dyDescent="0.25">
      <c r="A54" s="14">
        <v>46086</v>
      </c>
      <c r="B54" s="6" t="s">
        <v>27</v>
      </c>
      <c r="C54" s="6" t="s">
        <v>28</v>
      </c>
      <c r="D54" s="6" t="s">
        <v>34</v>
      </c>
      <c r="E54" s="6" t="s">
        <v>82</v>
      </c>
      <c r="F54" s="6" t="s">
        <v>31</v>
      </c>
      <c r="G54" s="7">
        <v>4</v>
      </c>
      <c r="H54" s="6" t="s">
        <v>36</v>
      </c>
    </row>
    <row r="55" spans="1:8" ht="14.25" customHeight="1" x14ac:dyDescent="0.25">
      <c r="A55" s="15">
        <v>46069</v>
      </c>
      <c r="B55" s="9" t="s">
        <v>85</v>
      </c>
      <c r="C55" s="9" t="s">
        <v>58</v>
      </c>
      <c r="D55" s="9" t="s">
        <v>34</v>
      </c>
      <c r="E55" s="9" t="s">
        <v>72</v>
      </c>
      <c r="F55" s="9" t="s">
        <v>40</v>
      </c>
      <c r="G55" s="10">
        <v>1</v>
      </c>
      <c r="H55" s="9" t="s">
        <v>62</v>
      </c>
    </row>
    <row r="56" spans="1:8" ht="14.25" customHeight="1" x14ac:dyDescent="0.25">
      <c r="A56" s="14">
        <v>46109</v>
      </c>
      <c r="B56" s="6" t="s">
        <v>9</v>
      </c>
      <c r="C56" s="6" t="s">
        <v>58</v>
      </c>
      <c r="D56" s="6" t="s">
        <v>29</v>
      </c>
      <c r="E56" s="6" t="s">
        <v>35</v>
      </c>
      <c r="F56" s="6" t="s">
        <v>78</v>
      </c>
      <c r="G56" s="7">
        <v>4</v>
      </c>
      <c r="H56" s="6" t="s">
        <v>32</v>
      </c>
    </row>
    <row r="57" spans="1:8" ht="14.25" customHeight="1" x14ac:dyDescent="0.25">
      <c r="A57" s="15">
        <v>46114</v>
      </c>
      <c r="B57" s="9" t="s">
        <v>5</v>
      </c>
      <c r="C57" s="9" t="s">
        <v>77</v>
      </c>
      <c r="D57" s="9" t="s">
        <v>34</v>
      </c>
      <c r="E57" s="9" t="s">
        <v>46</v>
      </c>
      <c r="F57" s="9" t="s">
        <v>43</v>
      </c>
      <c r="G57" s="10">
        <v>5</v>
      </c>
      <c r="H57" s="9" t="s">
        <v>36</v>
      </c>
    </row>
    <row r="58" spans="1:8" ht="14.25" customHeight="1" x14ac:dyDescent="0.25">
      <c r="A58" s="14">
        <v>46175</v>
      </c>
      <c r="B58" s="6" t="s">
        <v>92</v>
      </c>
      <c r="C58" s="6" t="s">
        <v>74</v>
      </c>
      <c r="D58" s="6" t="s">
        <v>34</v>
      </c>
      <c r="E58" s="6" t="s">
        <v>80</v>
      </c>
      <c r="F58" s="6" t="s">
        <v>61</v>
      </c>
      <c r="G58" s="7">
        <v>2</v>
      </c>
      <c r="H58" s="6" t="s">
        <v>54</v>
      </c>
    </row>
    <row r="59" spans="1:8" ht="14.25" customHeight="1" x14ac:dyDescent="0.25">
      <c r="A59" s="15">
        <v>46045</v>
      </c>
      <c r="B59" s="9" t="s">
        <v>68</v>
      </c>
      <c r="C59" s="9" t="s">
        <v>58</v>
      </c>
      <c r="D59" s="9" t="s">
        <v>29</v>
      </c>
      <c r="E59" s="9" t="s">
        <v>50</v>
      </c>
      <c r="F59" s="9" t="s">
        <v>40</v>
      </c>
      <c r="G59" s="10">
        <v>1</v>
      </c>
      <c r="H59" s="9" t="s">
        <v>32</v>
      </c>
    </row>
    <row r="60" spans="1:8" ht="14.25" customHeight="1" x14ac:dyDescent="0.25">
      <c r="A60" s="14">
        <v>46230</v>
      </c>
      <c r="B60" s="6" t="s">
        <v>79</v>
      </c>
      <c r="C60" s="6" t="s">
        <v>71</v>
      </c>
      <c r="D60" s="6" t="s">
        <v>38</v>
      </c>
      <c r="E60" s="6" t="s">
        <v>30</v>
      </c>
      <c r="F60" s="6" t="s">
        <v>31</v>
      </c>
      <c r="G60" s="7">
        <v>15</v>
      </c>
      <c r="H60" s="6" t="s">
        <v>32</v>
      </c>
    </row>
    <row r="61" spans="1:8" ht="14.25" customHeight="1" x14ac:dyDescent="0.25">
      <c r="A61" s="15">
        <v>46196</v>
      </c>
      <c r="B61" s="9" t="s">
        <v>41</v>
      </c>
      <c r="C61" s="9" t="s">
        <v>58</v>
      </c>
      <c r="D61" s="9" t="s">
        <v>38</v>
      </c>
      <c r="E61" s="9" t="s">
        <v>80</v>
      </c>
      <c r="F61" s="9" t="s">
        <v>47</v>
      </c>
      <c r="G61" s="10">
        <v>11</v>
      </c>
      <c r="H61" s="9" t="s">
        <v>62</v>
      </c>
    </row>
    <row r="62" spans="1:8" ht="14.25" customHeight="1" x14ac:dyDescent="0.25">
      <c r="A62" s="14">
        <v>46121</v>
      </c>
      <c r="B62" s="6" t="s">
        <v>10</v>
      </c>
      <c r="C62" s="6" t="s">
        <v>93</v>
      </c>
      <c r="D62" s="6" t="s">
        <v>29</v>
      </c>
      <c r="E62" s="6" t="s">
        <v>63</v>
      </c>
      <c r="F62" s="6" t="s">
        <v>51</v>
      </c>
      <c r="G62" s="7">
        <v>10</v>
      </c>
      <c r="H62" s="6" t="s">
        <v>36</v>
      </c>
    </row>
    <row r="63" spans="1:8" ht="14.25" customHeight="1" x14ac:dyDescent="0.25">
      <c r="A63" s="15">
        <v>46194</v>
      </c>
      <c r="B63" s="9" t="s">
        <v>52</v>
      </c>
      <c r="C63" s="9" t="s">
        <v>37</v>
      </c>
      <c r="D63" s="9" t="s">
        <v>56</v>
      </c>
      <c r="E63" s="9" t="s">
        <v>80</v>
      </c>
      <c r="F63" s="9" t="s">
        <v>43</v>
      </c>
      <c r="G63" s="10">
        <v>9</v>
      </c>
      <c r="H63" s="9" t="s">
        <v>36</v>
      </c>
    </row>
    <row r="64" spans="1:8" ht="14.25" customHeight="1" x14ac:dyDescent="0.25">
      <c r="A64" s="14">
        <v>46081</v>
      </c>
      <c r="B64" s="6" t="s">
        <v>6</v>
      </c>
      <c r="C64" s="6" t="s">
        <v>58</v>
      </c>
      <c r="D64" s="6" t="s">
        <v>49</v>
      </c>
      <c r="E64" s="6" t="s">
        <v>35</v>
      </c>
      <c r="F64" s="6" t="s">
        <v>31</v>
      </c>
      <c r="G64" s="7">
        <v>1</v>
      </c>
      <c r="H64" s="6" t="s">
        <v>32</v>
      </c>
    </row>
    <row r="65" spans="1:8" ht="14.25" customHeight="1" x14ac:dyDescent="0.25">
      <c r="A65" s="15">
        <v>46197</v>
      </c>
      <c r="B65" s="9" t="s">
        <v>60</v>
      </c>
      <c r="C65" s="9" t="s">
        <v>28</v>
      </c>
      <c r="D65" s="9" t="s">
        <v>38</v>
      </c>
      <c r="E65" s="9" t="s">
        <v>69</v>
      </c>
      <c r="F65" s="9" t="s">
        <v>61</v>
      </c>
      <c r="G65" s="10">
        <v>8</v>
      </c>
      <c r="H65" s="9" t="s">
        <v>32</v>
      </c>
    </row>
    <row r="66" spans="1:8" ht="14.25" customHeight="1" x14ac:dyDescent="0.25">
      <c r="A66" s="14">
        <v>46112</v>
      </c>
      <c r="B66" s="6" t="s">
        <v>67</v>
      </c>
      <c r="C66" s="6" t="s">
        <v>77</v>
      </c>
      <c r="D66" s="6" t="s">
        <v>38</v>
      </c>
      <c r="E66" s="6" t="s">
        <v>80</v>
      </c>
      <c r="F66" s="6" t="s">
        <v>66</v>
      </c>
      <c r="G66" s="7">
        <v>5</v>
      </c>
      <c r="H66" s="6" t="s">
        <v>32</v>
      </c>
    </row>
    <row r="67" spans="1:8" ht="14.25" customHeight="1" x14ac:dyDescent="0.25">
      <c r="A67" s="15">
        <v>46124</v>
      </c>
      <c r="B67" s="9" t="s">
        <v>70</v>
      </c>
      <c r="C67" s="9" t="s">
        <v>71</v>
      </c>
      <c r="D67" s="9" t="s">
        <v>34</v>
      </c>
      <c r="E67" s="9" t="s">
        <v>94</v>
      </c>
      <c r="F67" s="9" t="s">
        <v>40</v>
      </c>
      <c r="G67" s="10">
        <v>14</v>
      </c>
      <c r="H67" s="9" t="s">
        <v>36</v>
      </c>
    </row>
    <row r="68" spans="1:8" ht="14.25" customHeight="1" x14ac:dyDescent="0.25">
      <c r="A68" s="14">
        <v>46161</v>
      </c>
      <c r="B68" s="6" t="s">
        <v>83</v>
      </c>
      <c r="C68" s="6" t="s">
        <v>74</v>
      </c>
      <c r="D68" s="6" t="s">
        <v>56</v>
      </c>
      <c r="E68" s="6" t="s">
        <v>39</v>
      </c>
      <c r="F68" s="6" t="s">
        <v>47</v>
      </c>
      <c r="G68" s="7">
        <v>14</v>
      </c>
      <c r="H68" s="6" t="s">
        <v>62</v>
      </c>
    </row>
    <row r="69" spans="1:8" ht="14.25" customHeight="1" x14ac:dyDescent="0.25">
      <c r="A69" s="15">
        <v>46028</v>
      </c>
      <c r="B69" s="9" t="s">
        <v>79</v>
      </c>
      <c r="C69" s="9" t="s">
        <v>37</v>
      </c>
      <c r="D69" s="9" t="s">
        <v>34</v>
      </c>
      <c r="E69" s="9" t="s">
        <v>39</v>
      </c>
      <c r="F69" s="9" t="s">
        <v>78</v>
      </c>
      <c r="G69" s="10">
        <v>8</v>
      </c>
      <c r="H69" s="9" t="s">
        <v>62</v>
      </c>
    </row>
    <row r="70" spans="1:8" ht="14.25" customHeight="1" x14ac:dyDescent="0.25">
      <c r="A70" s="14">
        <v>46179</v>
      </c>
      <c r="B70" s="6" t="s">
        <v>6</v>
      </c>
      <c r="C70" s="6" t="s">
        <v>37</v>
      </c>
      <c r="D70" s="6" t="s">
        <v>34</v>
      </c>
      <c r="E70" s="6" t="s">
        <v>46</v>
      </c>
      <c r="F70" s="6" t="s">
        <v>73</v>
      </c>
      <c r="G70" s="7">
        <v>7</v>
      </c>
      <c r="H70" s="6" t="s">
        <v>32</v>
      </c>
    </row>
    <row r="71" spans="1:8" ht="14.25" customHeight="1" x14ac:dyDescent="0.25">
      <c r="A71" s="15">
        <v>46182</v>
      </c>
      <c r="B71" s="9" t="s">
        <v>85</v>
      </c>
      <c r="C71" s="9" t="s">
        <v>89</v>
      </c>
      <c r="D71" s="9" t="s">
        <v>38</v>
      </c>
      <c r="E71" s="9" t="s">
        <v>39</v>
      </c>
      <c r="F71" s="9" t="s">
        <v>73</v>
      </c>
      <c r="G71" s="10">
        <v>7</v>
      </c>
      <c r="H71" s="9" t="s">
        <v>62</v>
      </c>
    </row>
    <row r="72" spans="1:8" ht="14.25" customHeight="1" x14ac:dyDescent="0.25">
      <c r="A72" s="14">
        <v>46085</v>
      </c>
      <c r="B72" s="6" t="s">
        <v>27</v>
      </c>
      <c r="C72" s="6" t="s">
        <v>28</v>
      </c>
      <c r="D72" s="6" t="s">
        <v>38</v>
      </c>
      <c r="E72" s="6" t="s">
        <v>57</v>
      </c>
      <c r="F72" s="6" t="s">
        <v>51</v>
      </c>
      <c r="G72" s="7">
        <v>8</v>
      </c>
      <c r="H72" s="6" t="s">
        <v>54</v>
      </c>
    </row>
    <row r="73" spans="1:8" ht="14.25" customHeight="1" x14ac:dyDescent="0.25">
      <c r="A73" s="15">
        <v>46213</v>
      </c>
      <c r="B73" s="9" t="s">
        <v>70</v>
      </c>
      <c r="C73" s="9" t="s">
        <v>71</v>
      </c>
      <c r="D73" s="9" t="s">
        <v>38</v>
      </c>
      <c r="E73" s="9" t="s">
        <v>63</v>
      </c>
      <c r="F73" s="9" t="s">
        <v>47</v>
      </c>
      <c r="G73" s="10">
        <v>9</v>
      </c>
      <c r="H73" s="9" t="s">
        <v>62</v>
      </c>
    </row>
    <row r="74" spans="1:8" ht="14.25" customHeight="1" x14ac:dyDescent="0.25">
      <c r="A74" s="14">
        <v>46089</v>
      </c>
      <c r="B74" s="6" t="s">
        <v>41</v>
      </c>
      <c r="C74" s="6" t="s">
        <v>37</v>
      </c>
      <c r="D74" s="6" t="s">
        <v>56</v>
      </c>
      <c r="E74" s="6" t="s">
        <v>72</v>
      </c>
      <c r="F74" s="6" t="s">
        <v>47</v>
      </c>
      <c r="G74" s="7">
        <v>5</v>
      </c>
      <c r="H74" s="6" t="s">
        <v>36</v>
      </c>
    </row>
    <row r="75" spans="1:8" ht="14.25" customHeight="1" x14ac:dyDescent="0.25">
      <c r="A75" s="15">
        <v>46174</v>
      </c>
      <c r="B75" s="9" t="s">
        <v>41</v>
      </c>
      <c r="C75" s="9" t="s">
        <v>58</v>
      </c>
      <c r="D75" s="9" t="s">
        <v>49</v>
      </c>
      <c r="E75" s="9" t="s">
        <v>80</v>
      </c>
      <c r="F75" s="9" t="s">
        <v>73</v>
      </c>
      <c r="G75" s="10">
        <v>9</v>
      </c>
      <c r="H75" s="9" t="s">
        <v>54</v>
      </c>
    </row>
    <row r="76" spans="1:8" ht="14.25" customHeight="1" x14ac:dyDescent="0.25">
      <c r="A76" s="14">
        <v>46077</v>
      </c>
      <c r="B76" s="6" t="s">
        <v>10</v>
      </c>
      <c r="C76" s="6" t="s">
        <v>45</v>
      </c>
      <c r="D76" s="6" t="s">
        <v>56</v>
      </c>
      <c r="E76" s="6" t="s">
        <v>46</v>
      </c>
      <c r="F76" s="6" t="s">
        <v>66</v>
      </c>
      <c r="G76" s="7">
        <v>7</v>
      </c>
      <c r="H76" s="6" t="s">
        <v>36</v>
      </c>
    </row>
    <row r="77" spans="1:8" ht="14.25" customHeight="1" x14ac:dyDescent="0.25">
      <c r="A77" s="15">
        <v>46148</v>
      </c>
      <c r="B77" s="9" t="s">
        <v>10</v>
      </c>
      <c r="C77" s="9" t="s">
        <v>58</v>
      </c>
      <c r="D77" s="9" t="s">
        <v>38</v>
      </c>
      <c r="E77" s="9" t="s">
        <v>39</v>
      </c>
      <c r="F77" s="9" t="s">
        <v>31</v>
      </c>
      <c r="G77" s="10">
        <v>13</v>
      </c>
      <c r="H77" s="9" t="s">
        <v>54</v>
      </c>
    </row>
    <row r="78" spans="1:8" ht="14.25" customHeight="1" x14ac:dyDescent="0.25">
      <c r="A78" s="14">
        <v>46058</v>
      </c>
      <c r="B78" s="6" t="s">
        <v>90</v>
      </c>
      <c r="C78" s="6" t="s">
        <v>58</v>
      </c>
      <c r="D78" s="6" t="s">
        <v>49</v>
      </c>
      <c r="E78" s="6" t="s">
        <v>69</v>
      </c>
      <c r="F78" s="6" t="s">
        <v>51</v>
      </c>
      <c r="G78" s="7">
        <v>8</v>
      </c>
      <c r="H78" s="6" t="s">
        <v>36</v>
      </c>
    </row>
    <row r="79" spans="1:8" ht="14.25" customHeight="1" x14ac:dyDescent="0.25">
      <c r="A79" s="15">
        <v>46084</v>
      </c>
      <c r="B79" s="9" t="s">
        <v>76</v>
      </c>
      <c r="C79" s="9" t="s">
        <v>45</v>
      </c>
      <c r="D79" s="9" t="s">
        <v>56</v>
      </c>
      <c r="E79" s="9" t="s">
        <v>57</v>
      </c>
      <c r="F79" s="9" t="s">
        <v>73</v>
      </c>
      <c r="G79" s="10">
        <v>11</v>
      </c>
      <c r="H79" s="9" t="s">
        <v>62</v>
      </c>
    </row>
    <row r="80" spans="1:8" ht="14.25" customHeight="1" x14ac:dyDescent="0.25">
      <c r="A80" s="14">
        <v>46133</v>
      </c>
      <c r="B80" s="6" t="s">
        <v>79</v>
      </c>
      <c r="C80" s="6" t="s">
        <v>28</v>
      </c>
      <c r="D80" s="6" t="s">
        <v>38</v>
      </c>
      <c r="E80" s="6" t="s">
        <v>46</v>
      </c>
      <c r="F80" s="6" t="s">
        <v>59</v>
      </c>
      <c r="G80" s="7">
        <v>11</v>
      </c>
      <c r="H80" s="6" t="s">
        <v>36</v>
      </c>
    </row>
    <row r="81" spans="1:8" ht="14.25" customHeight="1" x14ac:dyDescent="0.25">
      <c r="A81" s="15">
        <v>46219</v>
      </c>
      <c r="B81" s="9" t="s">
        <v>15</v>
      </c>
      <c r="C81" s="9" t="s">
        <v>58</v>
      </c>
      <c r="D81" s="9" t="s">
        <v>34</v>
      </c>
      <c r="E81" s="9" t="s">
        <v>94</v>
      </c>
      <c r="F81" s="9" t="s">
        <v>91</v>
      </c>
      <c r="G81" s="10">
        <v>15</v>
      </c>
      <c r="H81" s="9" t="s">
        <v>36</v>
      </c>
    </row>
    <row r="82" spans="1:8" ht="14.25" customHeight="1" x14ac:dyDescent="0.25">
      <c r="A82" s="14">
        <v>46090</v>
      </c>
      <c r="B82" s="6" t="s">
        <v>9</v>
      </c>
      <c r="C82" s="6" t="s">
        <v>45</v>
      </c>
      <c r="D82" s="6" t="s">
        <v>56</v>
      </c>
      <c r="E82" s="6" t="s">
        <v>72</v>
      </c>
      <c r="F82" s="6" t="s">
        <v>78</v>
      </c>
      <c r="G82" s="7">
        <v>10</v>
      </c>
      <c r="H82" s="6" t="s">
        <v>32</v>
      </c>
    </row>
    <row r="83" spans="1:8" ht="14.25" customHeight="1" x14ac:dyDescent="0.25">
      <c r="A83" s="15">
        <v>46117</v>
      </c>
      <c r="B83" s="9" t="s">
        <v>41</v>
      </c>
      <c r="C83" s="9" t="s">
        <v>48</v>
      </c>
      <c r="D83" s="9" t="s">
        <v>56</v>
      </c>
      <c r="E83" s="9" t="s">
        <v>69</v>
      </c>
      <c r="F83" s="9" t="s">
        <v>61</v>
      </c>
      <c r="G83" s="10">
        <v>4</v>
      </c>
      <c r="H83" s="9" t="s">
        <v>32</v>
      </c>
    </row>
    <row r="84" spans="1:8" ht="14.25" customHeight="1" x14ac:dyDescent="0.25">
      <c r="A84" s="14">
        <v>46097</v>
      </c>
      <c r="B84" s="6" t="s">
        <v>44</v>
      </c>
      <c r="C84" s="6" t="s">
        <v>71</v>
      </c>
      <c r="D84" s="6" t="s">
        <v>38</v>
      </c>
      <c r="E84" s="6" t="s">
        <v>80</v>
      </c>
      <c r="F84" s="6" t="s">
        <v>64</v>
      </c>
      <c r="G84" s="7">
        <v>7</v>
      </c>
      <c r="H84" s="6" t="s">
        <v>62</v>
      </c>
    </row>
    <row r="85" spans="1:8" ht="14.25" customHeight="1" x14ac:dyDescent="0.25">
      <c r="A85" s="15">
        <v>46041</v>
      </c>
      <c r="B85" s="9" t="s">
        <v>7</v>
      </c>
      <c r="C85" s="9" t="s">
        <v>42</v>
      </c>
      <c r="D85" s="9" t="s">
        <v>49</v>
      </c>
      <c r="E85" s="9" t="s">
        <v>81</v>
      </c>
      <c r="F85" s="9" t="s">
        <v>84</v>
      </c>
      <c r="G85" s="10">
        <v>7</v>
      </c>
      <c r="H85" s="9" t="s">
        <v>54</v>
      </c>
    </row>
    <row r="86" spans="1:8" ht="14.25" customHeight="1" x14ac:dyDescent="0.25">
      <c r="A86" s="14">
        <v>46187</v>
      </c>
      <c r="B86" s="6" t="s">
        <v>8</v>
      </c>
      <c r="C86" s="6" t="s">
        <v>28</v>
      </c>
      <c r="D86" s="6" t="s">
        <v>38</v>
      </c>
      <c r="E86" s="6" t="s">
        <v>69</v>
      </c>
      <c r="F86" s="6" t="s">
        <v>40</v>
      </c>
      <c r="G86" s="7">
        <v>13</v>
      </c>
      <c r="H86" s="6" t="s">
        <v>62</v>
      </c>
    </row>
    <row r="87" spans="1:8" ht="14.25" customHeight="1" x14ac:dyDescent="0.25">
      <c r="A87" s="15">
        <v>46144</v>
      </c>
      <c r="B87" s="9" t="s">
        <v>6</v>
      </c>
      <c r="C87" s="9" t="s">
        <v>42</v>
      </c>
      <c r="D87" s="9" t="s">
        <v>38</v>
      </c>
      <c r="E87" s="9" t="s">
        <v>57</v>
      </c>
      <c r="F87" s="9" t="s">
        <v>84</v>
      </c>
      <c r="G87" s="10">
        <v>12</v>
      </c>
      <c r="H87" s="9" t="s">
        <v>32</v>
      </c>
    </row>
    <row r="88" spans="1:8" ht="14.25" customHeight="1" x14ac:dyDescent="0.25">
      <c r="A88" s="14">
        <v>46057</v>
      </c>
      <c r="B88" s="6" t="s">
        <v>44</v>
      </c>
      <c r="C88" s="6" t="s">
        <v>45</v>
      </c>
      <c r="D88" s="6" t="s">
        <v>29</v>
      </c>
      <c r="E88" s="6" t="s">
        <v>94</v>
      </c>
      <c r="F88" s="6" t="s">
        <v>31</v>
      </c>
      <c r="G88" s="7">
        <v>14</v>
      </c>
      <c r="H88" s="6" t="s">
        <v>54</v>
      </c>
    </row>
    <row r="89" spans="1:8" ht="14.25" customHeight="1" x14ac:dyDescent="0.25">
      <c r="A89" s="15">
        <v>46067</v>
      </c>
      <c r="B89" s="9" t="s">
        <v>67</v>
      </c>
      <c r="C89" s="9" t="s">
        <v>28</v>
      </c>
      <c r="D89" s="9" t="s">
        <v>56</v>
      </c>
      <c r="E89" s="9" t="s">
        <v>39</v>
      </c>
      <c r="F89" s="9" t="s">
        <v>84</v>
      </c>
      <c r="G89" s="10">
        <v>8</v>
      </c>
      <c r="H89" s="9" t="s">
        <v>54</v>
      </c>
    </row>
    <row r="90" spans="1:8" ht="14.25" customHeight="1" x14ac:dyDescent="0.25">
      <c r="A90" s="14">
        <v>46099</v>
      </c>
      <c r="B90" s="6" t="s">
        <v>41</v>
      </c>
      <c r="C90" s="6" t="s">
        <v>58</v>
      </c>
      <c r="D90" s="6" t="s">
        <v>38</v>
      </c>
      <c r="E90" s="6" t="s">
        <v>46</v>
      </c>
      <c r="F90" s="6" t="s">
        <v>61</v>
      </c>
      <c r="G90" s="7">
        <v>3</v>
      </c>
      <c r="H90" s="6" t="s">
        <v>32</v>
      </c>
    </row>
    <row r="91" spans="1:8" ht="14.25" customHeight="1" x14ac:dyDescent="0.25">
      <c r="A91" s="15">
        <v>46090</v>
      </c>
      <c r="B91" s="9" t="s">
        <v>7</v>
      </c>
      <c r="C91" s="9" t="s">
        <v>42</v>
      </c>
      <c r="D91" s="9" t="s">
        <v>34</v>
      </c>
      <c r="E91" s="9" t="s">
        <v>75</v>
      </c>
      <c r="F91" s="9" t="s">
        <v>51</v>
      </c>
      <c r="G91" s="10">
        <v>8</v>
      </c>
      <c r="H91" s="9" t="s">
        <v>36</v>
      </c>
    </row>
    <row r="92" spans="1:8" ht="14.25" customHeight="1" x14ac:dyDescent="0.25">
      <c r="A92" s="14">
        <v>46111</v>
      </c>
      <c r="B92" s="6" t="s">
        <v>15</v>
      </c>
      <c r="C92" s="6" t="s">
        <v>48</v>
      </c>
      <c r="D92" s="6" t="s">
        <v>38</v>
      </c>
      <c r="E92" s="6" t="s">
        <v>82</v>
      </c>
      <c r="F92" s="6" t="s">
        <v>51</v>
      </c>
      <c r="G92" s="7">
        <v>14</v>
      </c>
      <c r="H92" s="6" t="s">
        <v>32</v>
      </c>
    </row>
    <row r="93" spans="1:8" ht="14.25" customHeight="1" x14ac:dyDescent="0.25">
      <c r="A93" s="15">
        <v>46204</v>
      </c>
      <c r="B93" s="9" t="s">
        <v>79</v>
      </c>
      <c r="C93" s="9" t="s">
        <v>58</v>
      </c>
      <c r="D93" s="9" t="s">
        <v>38</v>
      </c>
      <c r="E93" s="9" t="s">
        <v>80</v>
      </c>
      <c r="F93" s="9" t="s">
        <v>40</v>
      </c>
      <c r="G93" s="10">
        <v>7</v>
      </c>
      <c r="H93" s="9" t="s">
        <v>62</v>
      </c>
    </row>
    <row r="94" spans="1:8" ht="14.25" customHeight="1" x14ac:dyDescent="0.25">
      <c r="A94" s="14">
        <v>46246</v>
      </c>
      <c r="B94" s="6" t="s">
        <v>90</v>
      </c>
      <c r="C94" s="6" t="s">
        <v>93</v>
      </c>
      <c r="D94" s="6" t="s">
        <v>56</v>
      </c>
      <c r="E94" s="6" t="s">
        <v>46</v>
      </c>
      <c r="F94" s="6" t="s">
        <v>47</v>
      </c>
      <c r="G94" s="7">
        <v>5</v>
      </c>
      <c r="H94" s="6" t="s">
        <v>54</v>
      </c>
    </row>
    <row r="95" spans="1:8" ht="14.25" customHeight="1" x14ac:dyDescent="0.25">
      <c r="A95" s="15">
        <v>46033</v>
      </c>
      <c r="B95" s="9" t="s">
        <v>10</v>
      </c>
      <c r="C95" s="9" t="s">
        <v>28</v>
      </c>
      <c r="D95" s="9" t="s">
        <v>38</v>
      </c>
      <c r="E95" s="9" t="s">
        <v>80</v>
      </c>
      <c r="F95" s="9" t="s">
        <v>40</v>
      </c>
      <c r="G95" s="10">
        <v>14</v>
      </c>
      <c r="H95" s="9" t="s">
        <v>54</v>
      </c>
    </row>
    <row r="96" spans="1:8" ht="14.25" customHeight="1" x14ac:dyDescent="0.25">
      <c r="A96" s="14">
        <v>46203</v>
      </c>
      <c r="B96" s="6" t="s">
        <v>88</v>
      </c>
      <c r="C96" s="6" t="s">
        <v>87</v>
      </c>
      <c r="D96" s="6" t="s">
        <v>29</v>
      </c>
      <c r="E96" s="6" t="s">
        <v>63</v>
      </c>
      <c r="F96" s="6" t="s">
        <v>53</v>
      </c>
      <c r="G96" s="7">
        <v>6</v>
      </c>
      <c r="H96" s="6" t="s">
        <v>54</v>
      </c>
    </row>
    <row r="97" spans="1:8" ht="14.25" customHeight="1" x14ac:dyDescent="0.25">
      <c r="A97" s="15">
        <v>46044</v>
      </c>
      <c r="B97" s="9" t="s">
        <v>15</v>
      </c>
      <c r="C97" s="9" t="s">
        <v>77</v>
      </c>
      <c r="D97" s="9" t="s">
        <v>29</v>
      </c>
      <c r="E97" s="9" t="s">
        <v>35</v>
      </c>
      <c r="F97" s="9" t="s">
        <v>40</v>
      </c>
      <c r="G97" s="10">
        <v>7</v>
      </c>
      <c r="H97" s="9" t="s">
        <v>36</v>
      </c>
    </row>
    <row r="98" spans="1:8" ht="14.25" customHeight="1" x14ac:dyDescent="0.25">
      <c r="A98" s="14">
        <v>46223</v>
      </c>
      <c r="B98" s="6" t="s">
        <v>6</v>
      </c>
      <c r="C98" s="6" t="s">
        <v>58</v>
      </c>
      <c r="D98" s="6" t="s">
        <v>38</v>
      </c>
      <c r="E98" s="6" t="s">
        <v>63</v>
      </c>
      <c r="F98" s="6" t="s">
        <v>43</v>
      </c>
      <c r="G98" s="7">
        <v>9</v>
      </c>
      <c r="H98" s="6" t="s">
        <v>32</v>
      </c>
    </row>
    <row r="99" spans="1:8" ht="14.25" customHeight="1" x14ac:dyDescent="0.25">
      <c r="A99" s="15">
        <v>46118</v>
      </c>
      <c r="B99" s="9" t="s">
        <v>27</v>
      </c>
      <c r="C99" s="9" t="s">
        <v>37</v>
      </c>
      <c r="D99" s="9" t="s">
        <v>49</v>
      </c>
      <c r="E99" s="9" t="s">
        <v>75</v>
      </c>
      <c r="F99" s="9" t="s">
        <v>51</v>
      </c>
      <c r="G99" s="10">
        <v>10</v>
      </c>
      <c r="H99" s="9" t="s">
        <v>36</v>
      </c>
    </row>
    <row r="100" spans="1:8" ht="14.25" customHeight="1" x14ac:dyDescent="0.25">
      <c r="A100" s="14">
        <v>46034</v>
      </c>
      <c r="B100" s="6" t="s">
        <v>85</v>
      </c>
      <c r="C100" s="6" t="s">
        <v>71</v>
      </c>
      <c r="D100" s="6" t="s">
        <v>29</v>
      </c>
      <c r="E100" s="6" t="s">
        <v>35</v>
      </c>
      <c r="F100" s="6" t="s">
        <v>78</v>
      </c>
      <c r="G100" s="7">
        <v>6</v>
      </c>
      <c r="H100" s="6" t="s">
        <v>36</v>
      </c>
    </row>
    <row r="101" spans="1:8" ht="14.25" customHeight="1" x14ac:dyDescent="0.25">
      <c r="A101" s="15">
        <v>46197</v>
      </c>
      <c r="B101" s="9" t="s">
        <v>10</v>
      </c>
      <c r="C101" s="9" t="s">
        <v>89</v>
      </c>
      <c r="D101" s="9" t="s">
        <v>56</v>
      </c>
      <c r="E101" s="9" t="s">
        <v>39</v>
      </c>
      <c r="F101" s="9" t="s">
        <v>47</v>
      </c>
      <c r="G101" s="10">
        <v>12</v>
      </c>
      <c r="H101" s="9" t="s">
        <v>36</v>
      </c>
    </row>
    <row r="102" spans="1:8" ht="14.25" customHeight="1" x14ac:dyDescent="0.25">
      <c r="A102" s="14">
        <v>46101</v>
      </c>
      <c r="B102" s="6" t="s">
        <v>41</v>
      </c>
      <c r="C102" s="6" t="s">
        <v>45</v>
      </c>
      <c r="D102" s="6" t="s">
        <v>56</v>
      </c>
      <c r="E102" s="6" t="s">
        <v>69</v>
      </c>
      <c r="F102" s="6" t="s">
        <v>64</v>
      </c>
      <c r="G102" s="7">
        <v>4</v>
      </c>
      <c r="H102" s="6" t="s">
        <v>32</v>
      </c>
    </row>
    <row r="103" spans="1:8" ht="14.25" customHeight="1" x14ac:dyDescent="0.25">
      <c r="A103" s="15">
        <v>46216</v>
      </c>
      <c r="B103" s="9" t="s">
        <v>83</v>
      </c>
      <c r="C103" s="9" t="s">
        <v>28</v>
      </c>
      <c r="D103" s="9" t="s">
        <v>34</v>
      </c>
      <c r="E103" s="9" t="s">
        <v>72</v>
      </c>
      <c r="F103" s="9" t="s">
        <v>51</v>
      </c>
      <c r="G103" s="10">
        <v>8</v>
      </c>
      <c r="H103" s="9" t="s">
        <v>62</v>
      </c>
    </row>
    <row r="104" spans="1:8" ht="14.25" customHeight="1" x14ac:dyDescent="0.25">
      <c r="A104" s="14">
        <v>46040</v>
      </c>
      <c r="B104" s="6" t="s">
        <v>76</v>
      </c>
      <c r="C104" s="6" t="s">
        <v>37</v>
      </c>
      <c r="D104" s="6" t="s">
        <v>49</v>
      </c>
      <c r="E104" s="6" t="s">
        <v>46</v>
      </c>
      <c r="F104" s="6" t="s">
        <v>31</v>
      </c>
      <c r="G104" s="7">
        <v>8</v>
      </c>
      <c r="H104" s="6" t="s">
        <v>54</v>
      </c>
    </row>
    <row r="105" spans="1:8" ht="14.25" customHeight="1" x14ac:dyDescent="0.25">
      <c r="A105" s="15">
        <v>46187</v>
      </c>
      <c r="B105" s="9" t="s">
        <v>88</v>
      </c>
      <c r="C105" s="9" t="s">
        <v>48</v>
      </c>
      <c r="D105" s="9" t="s">
        <v>56</v>
      </c>
      <c r="E105" s="9" t="s">
        <v>69</v>
      </c>
      <c r="F105" s="9" t="s">
        <v>47</v>
      </c>
      <c r="G105" s="10">
        <v>6</v>
      </c>
      <c r="H105" s="9" t="s">
        <v>36</v>
      </c>
    </row>
    <row r="106" spans="1:8" ht="14.25" customHeight="1" x14ac:dyDescent="0.25">
      <c r="A106" s="14">
        <v>46185</v>
      </c>
      <c r="B106" s="6" t="s">
        <v>83</v>
      </c>
      <c r="C106" s="6" t="s">
        <v>89</v>
      </c>
      <c r="D106" s="6" t="s">
        <v>34</v>
      </c>
      <c r="E106" s="6" t="s">
        <v>57</v>
      </c>
      <c r="F106" s="6" t="s">
        <v>31</v>
      </c>
      <c r="G106" s="7">
        <v>9</v>
      </c>
      <c r="H106" s="6" t="s">
        <v>36</v>
      </c>
    </row>
    <row r="107" spans="1:8" ht="14.25" customHeight="1" x14ac:dyDescent="0.25">
      <c r="A107" s="15">
        <v>46240</v>
      </c>
      <c r="B107" s="9" t="s">
        <v>8</v>
      </c>
      <c r="C107" s="9" t="s">
        <v>71</v>
      </c>
      <c r="D107" s="9" t="s">
        <v>56</v>
      </c>
      <c r="E107" s="9" t="s">
        <v>82</v>
      </c>
      <c r="F107" s="9" t="s">
        <v>47</v>
      </c>
      <c r="G107" s="10">
        <v>2</v>
      </c>
      <c r="H107" s="9" t="s">
        <v>62</v>
      </c>
    </row>
    <row r="108" spans="1:8" ht="14.25" customHeight="1" x14ac:dyDescent="0.25">
      <c r="A108" s="14">
        <v>46040</v>
      </c>
      <c r="B108" s="6" t="s">
        <v>85</v>
      </c>
      <c r="C108" s="6" t="s">
        <v>28</v>
      </c>
      <c r="D108" s="6" t="s">
        <v>56</v>
      </c>
      <c r="E108" s="6" t="s">
        <v>69</v>
      </c>
      <c r="F108" s="6" t="s">
        <v>59</v>
      </c>
      <c r="G108" s="7">
        <v>4</v>
      </c>
      <c r="H108" s="6" t="s">
        <v>54</v>
      </c>
    </row>
    <row r="109" spans="1:8" ht="14.25" customHeight="1" x14ac:dyDescent="0.25">
      <c r="A109" s="15">
        <v>46144</v>
      </c>
      <c r="B109" s="9" t="s">
        <v>27</v>
      </c>
      <c r="C109" s="9" t="s">
        <v>28</v>
      </c>
      <c r="D109" s="9" t="s">
        <v>29</v>
      </c>
      <c r="E109" s="9" t="s">
        <v>69</v>
      </c>
      <c r="F109" s="9" t="s">
        <v>47</v>
      </c>
      <c r="G109" s="10">
        <v>15</v>
      </c>
      <c r="H109" s="9" t="s">
        <v>54</v>
      </c>
    </row>
    <row r="110" spans="1:8" ht="14.25" customHeight="1" x14ac:dyDescent="0.25">
      <c r="A110" s="14">
        <v>46130</v>
      </c>
      <c r="B110" s="6" t="s">
        <v>8</v>
      </c>
      <c r="C110" s="6" t="s">
        <v>48</v>
      </c>
      <c r="D110" s="6" t="s">
        <v>29</v>
      </c>
      <c r="E110" s="6" t="s">
        <v>82</v>
      </c>
      <c r="F110" s="6" t="s">
        <v>53</v>
      </c>
      <c r="G110" s="7">
        <v>15</v>
      </c>
      <c r="H110" s="6" t="s">
        <v>32</v>
      </c>
    </row>
    <row r="111" spans="1:8" ht="14.25" customHeight="1" x14ac:dyDescent="0.25">
      <c r="A111" s="15">
        <v>46074</v>
      </c>
      <c r="B111" s="9" t="s">
        <v>70</v>
      </c>
      <c r="C111" s="9" t="s">
        <v>58</v>
      </c>
      <c r="D111" s="9" t="s">
        <v>38</v>
      </c>
      <c r="E111" s="9" t="s">
        <v>63</v>
      </c>
      <c r="F111" s="9" t="s">
        <v>73</v>
      </c>
      <c r="G111" s="10">
        <v>8</v>
      </c>
      <c r="H111" s="9" t="s">
        <v>36</v>
      </c>
    </row>
    <row r="112" spans="1:8" ht="14.25" customHeight="1" x14ac:dyDescent="0.25">
      <c r="A112" s="14">
        <v>46193</v>
      </c>
      <c r="B112" s="6" t="s">
        <v>5</v>
      </c>
      <c r="C112" s="6" t="s">
        <v>77</v>
      </c>
      <c r="D112" s="6" t="s">
        <v>56</v>
      </c>
      <c r="E112" s="6" t="s">
        <v>50</v>
      </c>
      <c r="F112" s="6" t="s">
        <v>47</v>
      </c>
      <c r="G112" s="7">
        <v>7</v>
      </c>
      <c r="H112" s="6" t="s">
        <v>36</v>
      </c>
    </row>
    <row r="113" spans="1:8" ht="14.25" customHeight="1" x14ac:dyDescent="0.25">
      <c r="A113" s="15">
        <v>46137</v>
      </c>
      <c r="B113" s="9" t="s">
        <v>15</v>
      </c>
      <c r="C113" s="9" t="s">
        <v>71</v>
      </c>
      <c r="D113" s="9" t="s">
        <v>29</v>
      </c>
      <c r="E113" s="9" t="s">
        <v>63</v>
      </c>
      <c r="F113" s="9" t="s">
        <v>61</v>
      </c>
      <c r="G113" s="10">
        <v>8</v>
      </c>
      <c r="H113" s="9" t="s">
        <v>32</v>
      </c>
    </row>
    <row r="114" spans="1:8" ht="14.25" customHeight="1" x14ac:dyDescent="0.25">
      <c r="A114" s="14">
        <v>46172</v>
      </c>
      <c r="B114" s="6" t="s">
        <v>5</v>
      </c>
      <c r="C114" s="6" t="s">
        <v>37</v>
      </c>
      <c r="D114" s="6" t="s">
        <v>29</v>
      </c>
      <c r="E114" s="6" t="s">
        <v>75</v>
      </c>
      <c r="F114" s="6" t="s">
        <v>51</v>
      </c>
      <c r="G114" s="7">
        <v>13</v>
      </c>
      <c r="H114" s="6" t="s">
        <v>54</v>
      </c>
    </row>
    <row r="115" spans="1:8" ht="14.25" customHeight="1" x14ac:dyDescent="0.25">
      <c r="A115" s="15">
        <v>46081</v>
      </c>
      <c r="B115" s="9" t="s">
        <v>60</v>
      </c>
      <c r="C115" s="9" t="s">
        <v>37</v>
      </c>
      <c r="D115" s="9" t="s">
        <v>38</v>
      </c>
      <c r="E115" s="9" t="s">
        <v>35</v>
      </c>
      <c r="F115" s="9" t="s">
        <v>47</v>
      </c>
      <c r="G115" s="10">
        <v>14</v>
      </c>
      <c r="H115" s="9" t="s">
        <v>32</v>
      </c>
    </row>
    <row r="116" spans="1:8" ht="14.25" customHeight="1" x14ac:dyDescent="0.25">
      <c r="A116" s="14">
        <v>46154</v>
      </c>
      <c r="B116" s="6" t="s">
        <v>5</v>
      </c>
      <c r="C116" s="6" t="s">
        <v>37</v>
      </c>
      <c r="D116" s="6" t="s">
        <v>38</v>
      </c>
      <c r="E116" s="6" t="s">
        <v>39</v>
      </c>
      <c r="F116" s="6" t="s">
        <v>91</v>
      </c>
      <c r="G116" s="7">
        <v>12</v>
      </c>
      <c r="H116" s="6" t="s">
        <v>54</v>
      </c>
    </row>
    <row r="117" spans="1:8" ht="14.25" customHeight="1" x14ac:dyDescent="0.25">
      <c r="A117" s="15">
        <v>46075</v>
      </c>
      <c r="B117" s="9" t="s">
        <v>92</v>
      </c>
      <c r="C117" s="9" t="s">
        <v>74</v>
      </c>
      <c r="D117" s="9" t="s">
        <v>38</v>
      </c>
      <c r="E117" s="9" t="s">
        <v>46</v>
      </c>
      <c r="F117" s="9" t="s">
        <v>64</v>
      </c>
      <c r="G117" s="10">
        <v>10</v>
      </c>
      <c r="H117" s="9" t="s">
        <v>36</v>
      </c>
    </row>
    <row r="118" spans="1:8" ht="14.25" customHeight="1" x14ac:dyDescent="0.25">
      <c r="A118" s="14">
        <v>46146</v>
      </c>
      <c r="B118" s="6" t="s">
        <v>85</v>
      </c>
      <c r="C118" s="6" t="s">
        <v>58</v>
      </c>
      <c r="D118" s="6" t="s">
        <v>49</v>
      </c>
      <c r="E118" s="6" t="s">
        <v>46</v>
      </c>
      <c r="F118" s="6" t="s">
        <v>73</v>
      </c>
      <c r="G118" s="7">
        <v>6</v>
      </c>
      <c r="H118" s="6" t="s">
        <v>36</v>
      </c>
    </row>
    <row r="119" spans="1:8" ht="14.25" customHeight="1" x14ac:dyDescent="0.25">
      <c r="A119" s="15">
        <v>46197</v>
      </c>
      <c r="B119" s="9" t="s">
        <v>27</v>
      </c>
      <c r="C119" s="9" t="s">
        <v>74</v>
      </c>
      <c r="D119" s="9" t="s">
        <v>56</v>
      </c>
      <c r="E119" s="9" t="s">
        <v>72</v>
      </c>
      <c r="F119" s="9" t="s">
        <v>31</v>
      </c>
      <c r="G119" s="10">
        <v>13</v>
      </c>
      <c r="H119" s="9" t="s">
        <v>36</v>
      </c>
    </row>
    <row r="120" spans="1:8" ht="14.25" customHeight="1" x14ac:dyDescent="0.25">
      <c r="A120" s="14">
        <v>46101</v>
      </c>
      <c r="B120" s="6" t="s">
        <v>7</v>
      </c>
      <c r="C120" s="6" t="s">
        <v>37</v>
      </c>
      <c r="D120" s="6" t="s">
        <v>38</v>
      </c>
      <c r="E120" s="6" t="s">
        <v>46</v>
      </c>
      <c r="F120" s="6" t="s">
        <v>40</v>
      </c>
      <c r="G120" s="7">
        <v>4</v>
      </c>
      <c r="H120" s="6" t="s">
        <v>62</v>
      </c>
    </row>
    <row r="121" spans="1:8" ht="14.25" customHeight="1" x14ac:dyDescent="0.25">
      <c r="A121" s="15">
        <v>46162</v>
      </c>
      <c r="B121" s="9" t="s">
        <v>8</v>
      </c>
      <c r="C121" s="9" t="s">
        <v>28</v>
      </c>
      <c r="D121" s="9" t="s">
        <v>34</v>
      </c>
      <c r="E121" s="9" t="s">
        <v>46</v>
      </c>
      <c r="F121" s="9" t="s">
        <v>47</v>
      </c>
      <c r="G121" s="10">
        <v>12</v>
      </c>
      <c r="H121" s="9" t="s">
        <v>32</v>
      </c>
    </row>
    <row r="122" spans="1:8" ht="14.25" customHeight="1" x14ac:dyDescent="0.25">
      <c r="A122" s="14">
        <v>46248</v>
      </c>
      <c r="B122" s="6" t="s">
        <v>5</v>
      </c>
      <c r="C122" s="6" t="s">
        <v>28</v>
      </c>
      <c r="D122" s="6" t="s">
        <v>38</v>
      </c>
      <c r="E122" s="6" t="s">
        <v>82</v>
      </c>
      <c r="F122" s="6" t="s">
        <v>53</v>
      </c>
      <c r="G122" s="7">
        <v>5</v>
      </c>
      <c r="H122" s="6" t="s">
        <v>62</v>
      </c>
    </row>
    <row r="123" spans="1:8" ht="14.25" customHeight="1" x14ac:dyDescent="0.25">
      <c r="A123" s="15">
        <v>46049</v>
      </c>
      <c r="B123" s="9" t="s">
        <v>33</v>
      </c>
      <c r="C123" s="9" t="s">
        <v>93</v>
      </c>
      <c r="D123" s="9" t="s">
        <v>29</v>
      </c>
      <c r="E123" s="9" t="s">
        <v>30</v>
      </c>
      <c r="F123" s="9" t="s">
        <v>61</v>
      </c>
      <c r="G123" s="10">
        <v>7</v>
      </c>
      <c r="H123" s="9" t="s">
        <v>32</v>
      </c>
    </row>
    <row r="124" spans="1:8" ht="14.25" customHeight="1" x14ac:dyDescent="0.25">
      <c r="A124" s="14">
        <v>46190</v>
      </c>
      <c r="B124" s="6" t="s">
        <v>6</v>
      </c>
      <c r="C124" s="6" t="s">
        <v>37</v>
      </c>
      <c r="D124" s="6" t="s">
        <v>56</v>
      </c>
      <c r="E124" s="6" t="s">
        <v>57</v>
      </c>
      <c r="F124" s="6" t="s">
        <v>47</v>
      </c>
      <c r="G124" s="7">
        <v>15</v>
      </c>
      <c r="H124" s="6" t="s">
        <v>32</v>
      </c>
    </row>
    <row r="125" spans="1:8" ht="14.25" customHeight="1" x14ac:dyDescent="0.25">
      <c r="A125" s="15">
        <v>46175</v>
      </c>
      <c r="B125" s="9" t="s">
        <v>67</v>
      </c>
      <c r="C125" s="9" t="s">
        <v>28</v>
      </c>
      <c r="D125" s="9" t="s">
        <v>29</v>
      </c>
      <c r="E125" s="9" t="s">
        <v>46</v>
      </c>
      <c r="F125" s="9" t="s">
        <v>64</v>
      </c>
      <c r="G125" s="10">
        <v>15</v>
      </c>
      <c r="H125" s="9" t="s">
        <v>32</v>
      </c>
    </row>
    <row r="126" spans="1:8" ht="14.25" customHeight="1" x14ac:dyDescent="0.25">
      <c r="A126" s="14">
        <v>46050</v>
      </c>
      <c r="B126" s="6" t="s">
        <v>76</v>
      </c>
      <c r="C126" s="6" t="s">
        <v>28</v>
      </c>
      <c r="D126" s="6" t="s">
        <v>29</v>
      </c>
      <c r="E126" s="6" t="s">
        <v>46</v>
      </c>
      <c r="F126" s="6" t="s">
        <v>73</v>
      </c>
      <c r="G126" s="7">
        <v>5</v>
      </c>
      <c r="H126" s="6" t="s">
        <v>32</v>
      </c>
    </row>
    <row r="127" spans="1:8" ht="14.25" customHeight="1" x14ac:dyDescent="0.25">
      <c r="A127" s="15">
        <v>46205</v>
      </c>
      <c r="B127" s="9" t="s">
        <v>68</v>
      </c>
      <c r="C127" s="9" t="s">
        <v>45</v>
      </c>
      <c r="D127" s="9" t="s">
        <v>49</v>
      </c>
      <c r="E127" s="9" t="s">
        <v>81</v>
      </c>
      <c r="F127" s="9" t="s">
        <v>84</v>
      </c>
      <c r="G127" s="10">
        <v>3</v>
      </c>
      <c r="H127" s="9" t="s">
        <v>54</v>
      </c>
    </row>
    <row r="128" spans="1:8" ht="14.25" customHeight="1" x14ac:dyDescent="0.25">
      <c r="A128" s="14">
        <v>46121</v>
      </c>
      <c r="B128" s="6" t="s">
        <v>60</v>
      </c>
      <c r="C128" s="6" t="s">
        <v>37</v>
      </c>
      <c r="D128" s="6" t="s">
        <v>49</v>
      </c>
      <c r="E128" s="6" t="s">
        <v>30</v>
      </c>
      <c r="F128" s="6" t="s">
        <v>31</v>
      </c>
      <c r="G128" s="7">
        <v>14</v>
      </c>
      <c r="H128" s="6" t="s">
        <v>54</v>
      </c>
    </row>
    <row r="129" spans="1:8" ht="14.25" customHeight="1" x14ac:dyDescent="0.25">
      <c r="A129" s="15">
        <v>46056</v>
      </c>
      <c r="B129" s="9" t="s">
        <v>79</v>
      </c>
      <c r="C129" s="9" t="s">
        <v>37</v>
      </c>
      <c r="D129" s="9" t="s">
        <v>34</v>
      </c>
      <c r="E129" s="9" t="s">
        <v>39</v>
      </c>
      <c r="F129" s="9" t="s">
        <v>66</v>
      </c>
      <c r="G129" s="10">
        <v>7</v>
      </c>
      <c r="H129" s="9" t="s">
        <v>54</v>
      </c>
    </row>
    <row r="130" spans="1:8" ht="14.25" customHeight="1" x14ac:dyDescent="0.25">
      <c r="A130" s="14">
        <v>46222</v>
      </c>
      <c r="B130" s="6" t="s">
        <v>70</v>
      </c>
      <c r="C130" s="6" t="s">
        <v>93</v>
      </c>
      <c r="D130" s="6" t="s">
        <v>56</v>
      </c>
      <c r="E130" s="6" t="s">
        <v>69</v>
      </c>
      <c r="F130" s="6" t="s">
        <v>43</v>
      </c>
      <c r="G130" s="7">
        <v>8</v>
      </c>
      <c r="H130" s="6" t="s">
        <v>54</v>
      </c>
    </row>
    <row r="131" spans="1:8" ht="14.25" customHeight="1" x14ac:dyDescent="0.25">
      <c r="A131" s="15">
        <v>46210</v>
      </c>
      <c r="B131" s="9" t="s">
        <v>8</v>
      </c>
      <c r="C131" s="9" t="s">
        <v>58</v>
      </c>
      <c r="D131" s="9" t="s">
        <v>38</v>
      </c>
      <c r="E131" s="9" t="s">
        <v>82</v>
      </c>
      <c r="F131" s="9" t="s">
        <v>43</v>
      </c>
      <c r="G131" s="10">
        <v>3</v>
      </c>
      <c r="H131" s="9" t="s">
        <v>36</v>
      </c>
    </row>
    <row r="132" spans="1:8" ht="14.25" customHeight="1" x14ac:dyDescent="0.25">
      <c r="A132" s="14">
        <v>46065</v>
      </c>
      <c r="B132" s="6" t="s">
        <v>67</v>
      </c>
      <c r="C132" s="6" t="s">
        <v>37</v>
      </c>
      <c r="D132" s="6" t="s">
        <v>56</v>
      </c>
      <c r="E132" s="6" t="s">
        <v>82</v>
      </c>
      <c r="F132" s="6" t="s">
        <v>91</v>
      </c>
      <c r="G132" s="7">
        <v>10</v>
      </c>
      <c r="H132" s="6" t="s">
        <v>36</v>
      </c>
    </row>
    <row r="133" spans="1:8" ht="14.25" customHeight="1" x14ac:dyDescent="0.25">
      <c r="A133" s="15">
        <v>46025</v>
      </c>
      <c r="B133" s="9" t="s">
        <v>70</v>
      </c>
      <c r="C133" s="9" t="s">
        <v>37</v>
      </c>
      <c r="D133" s="9" t="s">
        <v>29</v>
      </c>
      <c r="E133" s="9" t="s">
        <v>39</v>
      </c>
      <c r="F133" s="9" t="s">
        <v>73</v>
      </c>
      <c r="G133" s="10">
        <v>15</v>
      </c>
      <c r="H133" s="9" t="s">
        <v>62</v>
      </c>
    </row>
    <row r="134" spans="1:8" ht="14.25" customHeight="1" x14ac:dyDescent="0.25">
      <c r="A134" s="14">
        <v>46163</v>
      </c>
      <c r="B134" s="6" t="s">
        <v>90</v>
      </c>
      <c r="C134" s="6" t="s">
        <v>37</v>
      </c>
      <c r="D134" s="6" t="s">
        <v>38</v>
      </c>
      <c r="E134" s="6" t="s">
        <v>95</v>
      </c>
      <c r="F134" s="6" t="s">
        <v>91</v>
      </c>
      <c r="G134" s="7">
        <v>8</v>
      </c>
      <c r="H134" s="6" t="s">
        <v>54</v>
      </c>
    </row>
    <row r="135" spans="1:8" ht="14.25" customHeight="1" x14ac:dyDescent="0.25">
      <c r="A135" s="15">
        <v>46233</v>
      </c>
      <c r="B135" s="9" t="s">
        <v>41</v>
      </c>
      <c r="C135" s="9" t="s">
        <v>77</v>
      </c>
      <c r="D135" s="9" t="s">
        <v>38</v>
      </c>
      <c r="E135" s="9" t="s">
        <v>80</v>
      </c>
      <c r="F135" s="9" t="s">
        <v>61</v>
      </c>
      <c r="G135" s="10">
        <v>9</v>
      </c>
      <c r="H135" s="9" t="s">
        <v>62</v>
      </c>
    </row>
    <row r="136" spans="1:8" ht="14.25" customHeight="1" x14ac:dyDescent="0.25">
      <c r="A136" s="14">
        <v>46223</v>
      </c>
      <c r="B136" s="6" t="s">
        <v>15</v>
      </c>
      <c r="C136" s="6" t="s">
        <v>28</v>
      </c>
      <c r="D136" s="6" t="s">
        <v>34</v>
      </c>
      <c r="E136" s="6" t="s">
        <v>72</v>
      </c>
      <c r="F136" s="6" t="s">
        <v>78</v>
      </c>
      <c r="G136" s="7">
        <v>10</v>
      </c>
      <c r="H136" s="6" t="s">
        <v>32</v>
      </c>
    </row>
    <row r="137" spans="1:8" ht="14.25" customHeight="1" x14ac:dyDescent="0.25">
      <c r="A137" s="15">
        <v>46121</v>
      </c>
      <c r="B137" s="9" t="s">
        <v>12</v>
      </c>
      <c r="C137" s="9" t="s">
        <v>28</v>
      </c>
      <c r="D137" s="9" t="s">
        <v>29</v>
      </c>
      <c r="E137" s="9" t="s">
        <v>30</v>
      </c>
      <c r="F137" s="9" t="s">
        <v>59</v>
      </c>
      <c r="G137" s="10">
        <v>6</v>
      </c>
      <c r="H137" s="9" t="s">
        <v>36</v>
      </c>
    </row>
    <row r="138" spans="1:8" ht="14.25" customHeight="1" x14ac:dyDescent="0.25">
      <c r="A138" s="14">
        <v>46173</v>
      </c>
      <c r="B138" s="6" t="s">
        <v>52</v>
      </c>
      <c r="C138" s="6" t="s">
        <v>28</v>
      </c>
      <c r="D138" s="6" t="s">
        <v>49</v>
      </c>
      <c r="E138" s="6" t="s">
        <v>82</v>
      </c>
      <c r="F138" s="6" t="s">
        <v>73</v>
      </c>
      <c r="G138" s="7">
        <v>7</v>
      </c>
      <c r="H138" s="6" t="s">
        <v>36</v>
      </c>
    </row>
    <row r="139" spans="1:8" ht="14.25" customHeight="1" x14ac:dyDescent="0.25">
      <c r="A139" s="15">
        <v>46219</v>
      </c>
      <c r="B139" s="9" t="s">
        <v>41</v>
      </c>
      <c r="C139" s="9" t="s">
        <v>87</v>
      </c>
      <c r="D139" s="9" t="s">
        <v>29</v>
      </c>
      <c r="E139" s="9" t="s">
        <v>81</v>
      </c>
      <c r="F139" s="9" t="s">
        <v>51</v>
      </c>
      <c r="G139" s="10">
        <v>15</v>
      </c>
      <c r="H139" s="9" t="s">
        <v>54</v>
      </c>
    </row>
    <row r="140" spans="1:8" ht="14.25" customHeight="1" x14ac:dyDescent="0.25">
      <c r="A140" s="14">
        <v>46203</v>
      </c>
      <c r="B140" s="6" t="s">
        <v>5</v>
      </c>
      <c r="C140" s="6" t="s">
        <v>58</v>
      </c>
      <c r="D140" s="6" t="s">
        <v>49</v>
      </c>
      <c r="E140" s="6" t="s">
        <v>72</v>
      </c>
      <c r="F140" s="6" t="s">
        <v>59</v>
      </c>
      <c r="G140" s="7">
        <v>11</v>
      </c>
      <c r="H140" s="6" t="s">
        <v>32</v>
      </c>
    </row>
    <row r="141" spans="1:8" ht="14.25" customHeight="1" x14ac:dyDescent="0.25">
      <c r="A141" s="15">
        <v>46156</v>
      </c>
      <c r="B141" s="9" t="s">
        <v>52</v>
      </c>
      <c r="C141" s="9" t="s">
        <v>71</v>
      </c>
      <c r="D141" s="9" t="s">
        <v>29</v>
      </c>
      <c r="E141" s="9" t="s">
        <v>35</v>
      </c>
      <c r="F141" s="9" t="s">
        <v>40</v>
      </c>
      <c r="G141" s="10">
        <v>8</v>
      </c>
      <c r="H141" s="9" t="s">
        <v>36</v>
      </c>
    </row>
    <row r="142" spans="1:8" ht="14.25" customHeight="1" x14ac:dyDescent="0.25">
      <c r="A142" s="14">
        <v>46244</v>
      </c>
      <c r="B142" s="6" t="s">
        <v>5</v>
      </c>
      <c r="C142" s="6" t="s">
        <v>58</v>
      </c>
      <c r="D142" s="6" t="s">
        <v>38</v>
      </c>
      <c r="E142" s="6" t="s">
        <v>69</v>
      </c>
      <c r="F142" s="6" t="s">
        <v>66</v>
      </c>
      <c r="G142" s="7">
        <v>8</v>
      </c>
      <c r="H142" s="6" t="s">
        <v>32</v>
      </c>
    </row>
    <row r="143" spans="1:8" ht="14.25" customHeight="1" x14ac:dyDescent="0.25">
      <c r="A143" s="15">
        <v>46050</v>
      </c>
      <c r="B143" s="9" t="s">
        <v>52</v>
      </c>
      <c r="C143" s="9" t="s">
        <v>42</v>
      </c>
      <c r="D143" s="9" t="s">
        <v>56</v>
      </c>
      <c r="E143" s="9" t="s">
        <v>35</v>
      </c>
      <c r="F143" s="9" t="s">
        <v>59</v>
      </c>
      <c r="G143" s="10">
        <v>2</v>
      </c>
      <c r="H143" s="9" t="s">
        <v>62</v>
      </c>
    </row>
    <row r="144" spans="1:8" ht="14.25" customHeight="1" x14ac:dyDescent="0.25">
      <c r="A144" s="14">
        <v>46069</v>
      </c>
      <c r="B144" s="6" t="s">
        <v>60</v>
      </c>
      <c r="C144" s="6" t="s">
        <v>37</v>
      </c>
      <c r="D144" s="6" t="s">
        <v>29</v>
      </c>
      <c r="E144" s="6" t="s">
        <v>46</v>
      </c>
      <c r="F144" s="6" t="s">
        <v>51</v>
      </c>
      <c r="G144" s="7">
        <v>12</v>
      </c>
      <c r="H144" s="6" t="s">
        <v>36</v>
      </c>
    </row>
    <row r="145" spans="1:8" ht="14.25" customHeight="1" x14ac:dyDescent="0.25">
      <c r="A145" s="15">
        <v>46229</v>
      </c>
      <c r="B145" s="9" t="s">
        <v>92</v>
      </c>
      <c r="C145" s="9" t="s">
        <v>28</v>
      </c>
      <c r="D145" s="9" t="s">
        <v>49</v>
      </c>
      <c r="E145" s="9" t="s">
        <v>69</v>
      </c>
      <c r="F145" s="9" t="s">
        <v>91</v>
      </c>
      <c r="G145" s="10">
        <v>13</v>
      </c>
      <c r="H145" s="9" t="s">
        <v>54</v>
      </c>
    </row>
    <row r="146" spans="1:8" ht="14.25" customHeight="1" x14ac:dyDescent="0.25">
      <c r="A146" s="14">
        <v>46109</v>
      </c>
      <c r="B146" s="6" t="s">
        <v>6</v>
      </c>
      <c r="C146" s="6" t="s">
        <v>71</v>
      </c>
      <c r="D146" s="6" t="s">
        <v>34</v>
      </c>
      <c r="E146" s="6" t="s">
        <v>57</v>
      </c>
      <c r="F146" s="6" t="s">
        <v>91</v>
      </c>
      <c r="G146" s="7">
        <v>3</v>
      </c>
      <c r="H146" s="6" t="s">
        <v>32</v>
      </c>
    </row>
    <row r="147" spans="1:8" ht="14.25" customHeight="1" x14ac:dyDescent="0.25">
      <c r="A147" s="15">
        <v>46130</v>
      </c>
      <c r="B147" s="9" t="s">
        <v>9</v>
      </c>
      <c r="C147" s="9" t="s">
        <v>58</v>
      </c>
      <c r="D147" s="9" t="s">
        <v>34</v>
      </c>
      <c r="E147" s="9" t="s">
        <v>72</v>
      </c>
      <c r="F147" s="9" t="s">
        <v>61</v>
      </c>
      <c r="G147" s="10">
        <v>11</v>
      </c>
      <c r="H147" s="9" t="s">
        <v>36</v>
      </c>
    </row>
    <row r="148" spans="1:8" ht="14.25" customHeight="1" x14ac:dyDescent="0.25">
      <c r="A148" s="14">
        <v>46194</v>
      </c>
      <c r="B148" s="6" t="s">
        <v>79</v>
      </c>
      <c r="C148" s="6" t="s">
        <v>37</v>
      </c>
      <c r="D148" s="6" t="s">
        <v>29</v>
      </c>
      <c r="E148" s="6" t="s">
        <v>82</v>
      </c>
      <c r="F148" s="6" t="s">
        <v>47</v>
      </c>
      <c r="G148" s="7">
        <v>3</v>
      </c>
      <c r="H148" s="6" t="s">
        <v>32</v>
      </c>
    </row>
    <row r="149" spans="1:8" ht="14.25" customHeight="1" x14ac:dyDescent="0.25">
      <c r="A149" s="15">
        <v>46060</v>
      </c>
      <c r="B149" s="9" t="s">
        <v>10</v>
      </c>
      <c r="C149" s="9" t="s">
        <v>89</v>
      </c>
      <c r="D149" s="9" t="s">
        <v>38</v>
      </c>
      <c r="E149" s="9" t="s">
        <v>82</v>
      </c>
      <c r="F149" s="9" t="s">
        <v>47</v>
      </c>
      <c r="G149" s="10">
        <v>14</v>
      </c>
      <c r="H149" s="9" t="s">
        <v>36</v>
      </c>
    </row>
    <row r="150" spans="1:8" ht="14.25" customHeight="1" x14ac:dyDescent="0.25">
      <c r="A150" s="14">
        <v>46065</v>
      </c>
      <c r="B150" s="6" t="s">
        <v>15</v>
      </c>
      <c r="C150" s="6" t="s">
        <v>45</v>
      </c>
      <c r="D150" s="6" t="s">
        <v>56</v>
      </c>
      <c r="E150" s="6" t="s">
        <v>63</v>
      </c>
      <c r="F150" s="6" t="s">
        <v>47</v>
      </c>
      <c r="G150" s="7">
        <v>1</v>
      </c>
      <c r="H150" s="6" t="s">
        <v>54</v>
      </c>
    </row>
    <row r="151" spans="1:8" ht="14.25" customHeight="1" x14ac:dyDescent="0.25">
      <c r="A151" s="15">
        <v>46166</v>
      </c>
      <c r="B151" s="9" t="s">
        <v>79</v>
      </c>
      <c r="C151" s="9" t="s">
        <v>28</v>
      </c>
      <c r="D151" s="9" t="s">
        <v>38</v>
      </c>
      <c r="E151" s="9" t="s">
        <v>75</v>
      </c>
      <c r="F151" s="9" t="s">
        <v>91</v>
      </c>
      <c r="G151" s="10">
        <v>10</v>
      </c>
      <c r="H151" s="9" t="s">
        <v>32</v>
      </c>
    </row>
    <row r="152" spans="1:8" ht="14.25" customHeight="1" x14ac:dyDescent="0.25">
      <c r="A152" s="14">
        <v>46210</v>
      </c>
      <c r="B152" s="6" t="s">
        <v>83</v>
      </c>
      <c r="C152" s="6" t="s">
        <v>37</v>
      </c>
      <c r="D152" s="6" t="s">
        <v>38</v>
      </c>
      <c r="E152" s="6" t="s">
        <v>50</v>
      </c>
      <c r="F152" s="6" t="s">
        <v>43</v>
      </c>
      <c r="G152" s="7">
        <v>7</v>
      </c>
      <c r="H152" s="6" t="s">
        <v>32</v>
      </c>
    </row>
    <row r="153" spans="1:8" ht="14.25" customHeight="1" x14ac:dyDescent="0.25">
      <c r="A153" s="15">
        <v>46125</v>
      </c>
      <c r="B153" s="9" t="s">
        <v>67</v>
      </c>
      <c r="C153" s="9" t="s">
        <v>93</v>
      </c>
      <c r="D153" s="9" t="s">
        <v>56</v>
      </c>
      <c r="E153" s="9" t="s">
        <v>72</v>
      </c>
      <c r="F153" s="9" t="s">
        <v>73</v>
      </c>
      <c r="G153" s="10">
        <v>6</v>
      </c>
      <c r="H153" s="9" t="s">
        <v>62</v>
      </c>
    </row>
    <row r="154" spans="1:8" ht="14.25" customHeight="1" x14ac:dyDescent="0.25">
      <c r="A154" s="14">
        <v>46199</v>
      </c>
      <c r="B154" s="6" t="s">
        <v>79</v>
      </c>
      <c r="C154" s="6" t="s">
        <v>42</v>
      </c>
      <c r="D154" s="6" t="s">
        <v>56</v>
      </c>
      <c r="E154" s="6" t="s">
        <v>50</v>
      </c>
      <c r="F154" s="6" t="s">
        <v>64</v>
      </c>
      <c r="G154" s="7">
        <v>8</v>
      </c>
      <c r="H154" s="6" t="s">
        <v>32</v>
      </c>
    </row>
    <row r="155" spans="1:8" ht="14.25" customHeight="1" x14ac:dyDescent="0.25">
      <c r="A155" s="15">
        <v>46092</v>
      </c>
      <c r="B155" s="9" t="s">
        <v>41</v>
      </c>
      <c r="C155" s="9" t="s">
        <v>28</v>
      </c>
      <c r="D155" s="9" t="s">
        <v>38</v>
      </c>
      <c r="E155" s="9" t="s">
        <v>69</v>
      </c>
      <c r="F155" s="9" t="s">
        <v>43</v>
      </c>
      <c r="G155" s="10">
        <v>13</v>
      </c>
      <c r="H155" s="9" t="s">
        <v>36</v>
      </c>
    </row>
    <row r="156" spans="1:8" ht="14.25" customHeight="1" x14ac:dyDescent="0.25">
      <c r="A156" s="14">
        <v>46194</v>
      </c>
      <c r="B156" s="6" t="s">
        <v>52</v>
      </c>
      <c r="C156" s="6" t="s">
        <v>58</v>
      </c>
      <c r="D156" s="6" t="s">
        <v>34</v>
      </c>
      <c r="E156" s="6" t="s">
        <v>57</v>
      </c>
      <c r="F156" s="6" t="s">
        <v>40</v>
      </c>
      <c r="G156" s="7">
        <v>11</v>
      </c>
      <c r="H156" s="6" t="s">
        <v>36</v>
      </c>
    </row>
    <row r="157" spans="1:8" ht="14.25" customHeight="1" x14ac:dyDescent="0.25">
      <c r="A157" s="15">
        <v>46179</v>
      </c>
      <c r="B157" s="9" t="s">
        <v>85</v>
      </c>
      <c r="C157" s="9" t="s">
        <v>58</v>
      </c>
      <c r="D157" s="9" t="s">
        <v>56</v>
      </c>
      <c r="E157" s="9" t="s">
        <v>69</v>
      </c>
      <c r="F157" s="9" t="s">
        <v>51</v>
      </c>
      <c r="G157" s="10">
        <v>8</v>
      </c>
      <c r="H157" s="9" t="s">
        <v>62</v>
      </c>
    </row>
    <row r="158" spans="1:8" ht="14.25" customHeight="1" x14ac:dyDescent="0.25">
      <c r="A158" s="14">
        <v>46024</v>
      </c>
      <c r="B158" s="6" t="s">
        <v>33</v>
      </c>
      <c r="C158" s="6" t="s">
        <v>37</v>
      </c>
      <c r="D158" s="6" t="s">
        <v>34</v>
      </c>
      <c r="E158" s="6" t="s">
        <v>80</v>
      </c>
      <c r="F158" s="6" t="s">
        <v>61</v>
      </c>
      <c r="G158" s="7">
        <v>13</v>
      </c>
      <c r="H158" s="6" t="s">
        <v>62</v>
      </c>
    </row>
    <row r="159" spans="1:8" ht="14.25" customHeight="1" x14ac:dyDescent="0.25">
      <c r="A159" s="15">
        <v>46024</v>
      </c>
      <c r="B159" s="9" t="s">
        <v>83</v>
      </c>
      <c r="C159" s="9" t="s">
        <v>42</v>
      </c>
      <c r="D159" s="9" t="s">
        <v>49</v>
      </c>
      <c r="E159" s="9" t="s">
        <v>82</v>
      </c>
      <c r="F159" s="9" t="s">
        <v>40</v>
      </c>
      <c r="G159" s="10">
        <v>12</v>
      </c>
      <c r="H159" s="9" t="s">
        <v>54</v>
      </c>
    </row>
    <row r="160" spans="1:8" ht="14.25" customHeight="1" x14ac:dyDescent="0.25">
      <c r="A160" s="14">
        <v>46106</v>
      </c>
      <c r="B160" s="6" t="s">
        <v>44</v>
      </c>
      <c r="C160" s="6" t="s">
        <v>45</v>
      </c>
      <c r="D160" s="6" t="s">
        <v>38</v>
      </c>
      <c r="E160" s="6" t="s">
        <v>39</v>
      </c>
      <c r="F160" s="6" t="s">
        <v>64</v>
      </c>
      <c r="G160" s="7">
        <v>1</v>
      </c>
      <c r="H160" s="6" t="s">
        <v>36</v>
      </c>
    </row>
    <row r="161" spans="1:8" ht="14.25" customHeight="1" x14ac:dyDescent="0.25">
      <c r="A161" s="15">
        <v>46187</v>
      </c>
      <c r="B161" s="9" t="s">
        <v>90</v>
      </c>
      <c r="C161" s="9" t="s">
        <v>37</v>
      </c>
      <c r="D161" s="9" t="s">
        <v>29</v>
      </c>
      <c r="E161" s="9" t="s">
        <v>63</v>
      </c>
      <c r="F161" s="9" t="s">
        <v>47</v>
      </c>
      <c r="G161" s="10">
        <v>10</v>
      </c>
      <c r="H161" s="9" t="s">
        <v>62</v>
      </c>
    </row>
    <row r="162" spans="1:8" ht="14.25" customHeight="1" x14ac:dyDescent="0.25">
      <c r="A162" s="14">
        <v>46124</v>
      </c>
      <c r="B162" s="6" t="s">
        <v>83</v>
      </c>
      <c r="C162" s="6" t="s">
        <v>77</v>
      </c>
      <c r="D162" s="6" t="s">
        <v>29</v>
      </c>
      <c r="E162" s="6" t="s">
        <v>80</v>
      </c>
      <c r="F162" s="6" t="s">
        <v>47</v>
      </c>
      <c r="G162" s="7">
        <v>15</v>
      </c>
      <c r="H162" s="6" t="s">
        <v>54</v>
      </c>
    </row>
    <row r="163" spans="1:8" ht="14.25" customHeight="1" x14ac:dyDescent="0.25">
      <c r="A163" s="15">
        <v>46086</v>
      </c>
      <c r="B163" s="9" t="s">
        <v>15</v>
      </c>
      <c r="C163" s="9" t="s">
        <v>28</v>
      </c>
      <c r="D163" s="9" t="s">
        <v>56</v>
      </c>
      <c r="E163" s="9" t="s">
        <v>63</v>
      </c>
      <c r="F163" s="9" t="s">
        <v>43</v>
      </c>
      <c r="G163" s="10">
        <v>3</v>
      </c>
      <c r="H163" s="9" t="s">
        <v>62</v>
      </c>
    </row>
    <row r="164" spans="1:8" ht="14.25" customHeight="1" x14ac:dyDescent="0.25">
      <c r="A164" s="14">
        <v>46028</v>
      </c>
      <c r="B164" s="6" t="s">
        <v>44</v>
      </c>
      <c r="C164" s="6" t="s">
        <v>77</v>
      </c>
      <c r="D164" s="6" t="s">
        <v>49</v>
      </c>
      <c r="E164" s="6" t="s">
        <v>80</v>
      </c>
      <c r="F164" s="6" t="s">
        <v>40</v>
      </c>
      <c r="G164" s="7">
        <v>1</v>
      </c>
      <c r="H164" s="6" t="s">
        <v>32</v>
      </c>
    </row>
    <row r="165" spans="1:8" ht="14.25" customHeight="1" x14ac:dyDescent="0.25">
      <c r="A165" s="15">
        <v>46218</v>
      </c>
      <c r="B165" s="9" t="s">
        <v>33</v>
      </c>
      <c r="C165" s="9" t="s">
        <v>77</v>
      </c>
      <c r="D165" s="9" t="s">
        <v>29</v>
      </c>
      <c r="E165" s="9" t="s">
        <v>46</v>
      </c>
      <c r="F165" s="9" t="s">
        <v>51</v>
      </c>
      <c r="G165" s="10">
        <v>9</v>
      </c>
      <c r="H165" s="9" t="s">
        <v>54</v>
      </c>
    </row>
    <row r="166" spans="1:8" ht="14.25" customHeight="1" x14ac:dyDescent="0.25">
      <c r="A166" s="14">
        <v>46147</v>
      </c>
      <c r="B166" s="6" t="s">
        <v>7</v>
      </c>
      <c r="C166" s="6" t="s">
        <v>42</v>
      </c>
      <c r="D166" s="6" t="s">
        <v>34</v>
      </c>
      <c r="E166" s="6" t="s">
        <v>69</v>
      </c>
      <c r="F166" s="6" t="s">
        <v>61</v>
      </c>
      <c r="G166" s="7">
        <v>13</v>
      </c>
      <c r="H166" s="6" t="s">
        <v>32</v>
      </c>
    </row>
    <row r="167" spans="1:8" ht="14.25" customHeight="1" x14ac:dyDescent="0.25">
      <c r="A167" s="15">
        <v>46187</v>
      </c>
      <c r="B167" s="9" t="s">
        <v>15</v>
      </c>
      <c r="C167" s="9" t="s">
        <v>87</v>
      </c>
      <c r="D167" s="9" t="s">
        <v>34</v>
      </c>
      <c r="E167" s="9" t="s">
        <v>63</v>
      </c>
      <c r="F167" s="9" t="s">
        <v>73</v>
      </c>
      <c r="G167" s="10">
        <v>10</v>
      </c>
      <c r="H167" s="9" t="s">
        <v>36</v>
      </c>
    </row>
    <row r="168" spans="1:8" ht="14.25" customHeight="1" x14ac:dyDescent="0.25">
      <c r="A168" s="14">
        <v>46179</v>
      </c>
      <c r="B168" s="6" t="s">
        <v>5</v>
      </c>
      <c r="C168" s="6" t="s">
        <v>28</v>
      </c>
      <c r="D168" s="6" t="s">
        <v>38</v>
      </c>
      <c r="E168" s="6" t="s">
        <v>30</v>
      </c>
      <c r="F168" s="6" t="s">
        <v>78</v>
      </c>
      <c r="G168" s="7">
        <v>10</v>
      </c>
      <c r="H168" s="6" t="s">
        <v>32</v>
      </c>
    </row>
    <row r="169" spans="1:8" ht="14.25" customHeight="1" x14ac:dyDescent="0.25">
      <c r="A169" s="15">
        <v>46220</v>
      </c>
      <c r="B169" s="9" t="s">
        <v>92</v>
      </c>
      <c r="C169" s="9" t="s">
        <v>58</v>
      </c>
      <c r="D169" s="9" t="s">
        <v>56</v>
      </c>
      <c r="E169" s="9" t="s">
        <v>82</v>
      </c>
      <c r="F169" s="9" t="s">
        <v>53</v>
      </c>
      <c r="G169" s="10">
        <v>15</v>
      </c>
      <c r="H169" s="9" t="s">
        <v>36</v>
      </c>
    </row>
    <row r="170" spans="1:8" ht="14.25" customHeight="1" x14ac:dyDescent="0.25">
      <c r="A170" s="14">
        <v>46140</v>
      </c>
      <c r="B170" s="6" t="s">
        <v>76</v>
      </c>
      <c r="C170" s="6" t="s">
        <v>45</v>
      </c>
      <c r="D170" s="6" t="s">
        <v>29</v>
      </c>
      <c r="E170" s="6" t="s">
        <v>82</v>
      </c>
      <c r="F170" s="6" t="s">
        <v>59</v>
      </c>
      <c r="G170" s="7">
        <v>9</v>
      </c>
      <c r="H170" s="6" t="s">
        <v>62</v>
      </c>
    </row>
    <row r="171" spans="1:8" ht="14.25" customHeight="1" x14ac:dyDescent="0.25">
      <c r="A171" s="15">
        <v>46198</v>
      </c>
      <c r="B171" s="9" t="s">
        <v>79</v>
      </c>
      <c r="C171" s="9" t="s">
        <v>45</v>
      </c>
      <c r="D171" s="9" t="s">
        <v>56</v>
      </c>
      <c r="E171" s="9" t="s">
        <v>81</v>
      </c>
      <c r="F171" s="9" t="s">
        <v>78</v>
      </c>
      <c r="G171" s="10">
        <v>14</v>
      </c>
      <c r="H171" s="9" t="s">
        <v>54</v>
      </c>
    </row>
    <row r="172" spans="1:8" ht="14.25" customHeight="1" x14ac:dyDescent="0.25">
      <c r="A172" s="14">
        <v>46120</v>
      </c>
      <c r="B172" s="6" t="s">
        <v>12</v>
      </c>
      <c r="C172" s="6" t="s">
        <v>28</v>
      </c>
      <c r="D172" s="6" t="s">
        <v>34</v>
      </c>
      <c r="E172" s="6" t="s">
        <v>46</v>
      </c>
      <c r="F172" s="6" t="s">
        <v>51</v>
      </c>
      <c r="G172" s="7">
        <v>14</v>
      </c>
      <c r="H172" s="6" t="s">
        <v>62</v>
      </c>
    </row>
    <row r="173" spans="1:8" ht="14.25" customHeight="1" x14ac:dyDescent="0.25">
      <c r="A173" s="15">
        <v>46246</v>
      </c>
      <c r="B173" s="9" t="s">
        <v>9</v>
      </c>
      <c r="C173" s="9" t="s">
        <v>37</v>
      </c>
      <c r="D173" s="9" t="s">
        <v>34</v>
      </c>
      <c r="E173" s="9" t="s">
        <v>72</v>
      </c>
      <c r="F173" s="9" t="s">
        <v>53</v>
      </c>
      <c r="G173" s="10">
        <v>10</v>
      </c>
      <c r="H173" s="9" t="s">
        <v>36</v>
      </c>
    </row>
    <row r="174" spans="1:8" ht="14.25" customHeight="1" x14ac:dyDescent="0.25">
      <c r="A174" s="14">
        <v>46072</v>
      </c>
      <c r="B174" s="6" t="s">
        <v>79</v>
      </c>
      <c r="C174" s="6" t="s">
        <v>45</v>
      </c>
      <c r="D174" s="6" t="s">
        <v>38</v>
      </c>
      <c r="E174" s="6" t="s">
        <v>82</v>
      </c>
      <c r="F174" s="6" t="s">
        <v>59</v>
      </c>
      <c r="G174" s="7">
        <v>15</v>
      </c>
      <c r="H174" s="6" t="s">
        <v>32</v>
      </c>
    </row>
    <row r="175" spans="1:8" ht="14.25" customHeight="1" x14ac:dyDescent="0.25">
      <c r="A175" s="15">
        <v>46197</v>
      </c>
      <c r="B175" s="9" t="s">
        <v>70</v>
      </c>
      <c r="C175" s="9" t="s">
        <v>77</v>
      </c>
      <c r="D175" s="9" t="s">
        <v>49</v>
      </c>
      <c r="E175" s="9" t="s">
        <v>94</v>
      </c>
      <c r="F175" s="9" t="s">
        <v>61</v>
      </c>
      <c r="G175" s="10">
        <v>5</v>
      </c>
      <c r="H175" s="9" t="s">
        <v>62</v>
      </c>
    </row>
    <row r="176" spans="1:8" ht="14.25" customHeight="1" x14ac:dyDescent="0.25">
      <c r="A176" s="14">
        <v>46057</v>
      </c>
      <c r="B176" s="6" t="s">
        <v>7</v>
      </c>
      <c r="C176" s="6" t="s">
        <v>28</v>
      </c>
      <c r="D176" s="6" t="s">
        <v>56</v>
      </c>
      <c r="E176" s="6" t="s">
        <v>94</v>
      </c>
      <c r="F176" s="6" t="s">
        <v>61</v>
      </c>
      <c r="G176" s="7">
        <v>15</v>
      </c>
      <c r="H176" s="6" t="s">
        <v>32</v>
      </c>
    </row>
    <row r="177" spans="1:8" ht="14.25" customHeight="1" x14ac:dyDescent="0.25">
      <c r="A177" s="15">
        <v>46033</v>
      </c>
      <c r="B177" s="9" t="s">
        <v>9</v>
      </c>
      <c r="C177" s="9" t="s">
        <v>45</v>
      </c>
      <c r="D177" s="9" t="s">
        <v>34</v>
      </c>
      <c r="E177" s="9" t="s">
        <v>57</v>
      </c>
      <c r="F177" s="9" t="s">
        <v>73</v>
      </c>
      <c r="G177" s="10">
        <v>13</v>
      </c>
      <c r="H177" s="9" t="s">
        <v>54</v>
      </c>
    </row>
    <row r="178" spans="1:8" ht="14.25" customHeight="1" x14ac:dyDescent="0.25">
      <c r="A178" s="14">
        <v>46241</v>
      </c>
      <c r="B178" s="6" t="s">
        <v>79</v>
      </c>
      <c r="C178" s="6" t="s">
        <v>89</v>
      </c>
      <c r="D178" s="6" t="s">
        <v>38</v>
      </c>
      <c r="E178" s="6" t="s">
        <v>57</v>
      </c>
      <c r="F178" s="6" t="s">
        <v>40</v>
      </c>
      <c r="G178" s="7">
        <v>9</v>
      </c>
      <c r="H178" s="6" t="s">
        <v>54</v>
      </c>
    </row>
    <row r="179" spans="1:8" ht="14.25" customHeight="1" x14ac:dyDescent="0.25">
      <c r="A179" s="15">
        <v>46123</v>
      </c>
      <c r="B179" s="9" t="s">
        <v>70</v>
      </c>
      <c r="C179" s="9" t="s">
        <v>48</v>
      </c>
      <c r="D179" s="9" t="s">
        <v>34</v>
      </c>
      <c r="E179" s="9" t="s">
        <v>39</v>
      </c>
      <c r="F179" s="9" t="s">
        <v>73</v>
      </c>
      <c r="G179" s="10">
        <v>9</v>
      </c>
      <c r="H179" s="9" t="s">
        <v>36</v>
      </c>
    </row>
    <row r="180" spans="1:8" ht="14.25" customHeight="1" x14ac:dyDescent="0.25">
      <c r="A180" s="14">
        <v>46026</v>
      </c>
      <c r="B180" s="6" t="s">
        <v>15</v>
      </c>
      <c r="C180" s="6" t="s">
        <v>77</v>
      </c>
      <c r="D180" s="6" t="s">
        <v>38</v>
      </c>
      <c r="E180" s="6" t="s">
        <v>46</v>
      </c>
      <c r="F180" s="6" t="s">
        <v>78</v>
      </c>
      <c r="G180" s="7">
        <v>9</v>
      </c>
      <c r="H180" s="6" t="s">
        <v>36</v>
      </c>
    </row>
    <row r="181" spans="1:8" ht="14.25" customHeight="1" x14ac:dyDescent="0.25">
      <c r="A181" s="15">
        <v>46089</v>
      </c>
      <c r="B181" s="9" t="s">
        <v>92</v>
      </c>
      <c r="C181" s="9" t="s">
        <v>28</v>
      </c>
      <c r="D181" s="9" t="s">
        <v>49</v>
      </c>
      <c r="E181" s="9" t="s">
        <v>94</v>
      </c>
      <c r="F181" s="9" t="s">
        <v>59</v>
      </c>
      <c r="G181" s="10">
        <v>3</v>
      </c>
      <c r="H181" s="9" t="s">
        <v>54</v>
      </c>
    </row>
    <row r="182" spans="1:8" ht="14.25" customHeight="1" x14ac:dyDescent="0.25">
      <c r="A182" s="14">
        <v>46106</v>
      </c>
      <c r="B182" s="6" t="s">
        <v>85</v>
      </c>
      <c r="C182" s="6" t="s">
        <v>45</v>
      </c>
      <c r="D182" s="6" t="s">
        <v>56</v>
      </c>
      <c r="E182" s="6" t="s">
        <v>82</v>
      </c>
      <c r="F182" s="6" t="s">
        <v>51</v>
      </c>
      <c r="G182" s="7">
        <v>2</v>
      </c>
      <c r="H182" s="6" t="s">
        <v>62</v>
      </c>
    </row>
    <row r="183" spans="1:8" ht="14.25" customHeight="1" x14ac:dyDescent="0.25">
      <c r="A183" s="15">
        <v>46165</v>
      </c>
      <c r="B183" s="9" t="s">
        <v>44</v>
      </c>
      <c r="C183" s="9" t="s">
        <v>42</v>
      </c>
      <c r="D183" s="9" t="s">
        <v>29</v>
      </c>
      <c r="E183" s="9" t="s">
        <v>80</v>
      </c>
      <c r="F183" s="9" t="s">
        <v>64</v>
      </c>
      <c r="G183" s="10">
        <v>6</v>
      </c>
      <c r="H183" s="9" t="s">
        <v>32</v>
      </c>
    </row>
    <row r="184" spans="1:8" ht="14.25" customHeight="1" x14ac:dyDescent="0.25">
      <c r="A184" s="14">
        <v>46153</v>
      </c>
      <c r="B184" s="6" t="s">
        <v>68</v>
      </c>
      <c r="C184" s="6" t="s">
        <v>87</v>
      </c>
      <c r="D184" s="6" t="s">
        <v>56</v>
      </c>
      <c r="E184" s="6" t="s">
        <v>69</v>
      </c>
      <c r="F184" s="6" t="s">
        <v>53</v>
      </c>
      <c r="G184" s="7">
        <v>4</v>
      </c>
      <c r="H184" s="6" t="s">
        <v>36</v>
      </c>
    </row>
    <row r="185" spans="1:8" ht="14.25" customHeight="1" x14ac:dyDescent="0.25">
      <c r="A185" s="15">
        <v>46211</v>
      </c>
      <c r="B185" s="9" t="s">
        <v>88</v>
      </c>
      <c r="C185" s="9" t="s">
        <v>58</v>
      </c>
      <c r="D185" s="9" t="s">
        <v>34</v>
      </c>
      <c r="E185" s="9" t="s">
        <v>82</v>
      </c>
      <c r="F185" s="9" t="s">
        <v>66</v>
      </c>
      <c r="G185" s="10">
        <v>7</v>
      </c>
      <c r="H185" s="9" t="s">
        <v>36</v>
      </c>
    </row>
    <row r="186" spans="1:8" ht="14.25" customHeight="1" x14ac:dyDescent="0.25">
      <c r="A186" s="14">
        <v>46084</v>
      </c>
      <c r="B186" s="6" t="s">
        <v>33</v>
      </c>
      <c r="C186" s="6" t="s">
        <v>77</v>
      </c>
      <c r="D186" s="6" t="s">
        <v>49</v>
      </c>
      <c r="E186" s="6" t="s">
        <v>72</v>
      </c>
      <c r="F186" s="6" t="s">
        <v>43</v>
      </c>
      <c r="G186" s="7">
        <v>14</v>
      </c>
      <c r="H186" s="6" t="s">
        <v>36</v>
      </c>
    </row>
    <row r="187" spans="1:8" ht="14.25" customHeight="1" x14ac:dyDescent="0.25">
      <c r="A187" s="15">
        <v>46094</v>
      </c>
      <c r="B187" s="9" t="s">
        <v>33</v>
      </c>
      <c r="C187" s="9" t="s">
        <v>42</v>
      </c>
      <c r="D187" s="9" t="s">
        <v>29</v>
      </c>
      <c r="E187" s="9" t="s">
        <v>35</v>
      </c>
      <c r="F187" s="9" t="s">
        <v>84</v>
      </c>
      <c r="G187" s="10">
        <v>12</v>
      </c>
      <c r="H187" s="9" t="s">
        <v>32</v>
      </c>
    </row>
    <row r="188" spans="1:8" ht="14.25" customHeight="1" x14ac:dyDescent="0.25">
      <c r="A188" s="14">
        <v>46239</v>
      </c>
      <c r="B188" s="6" t="s">
        <v>76</v>
      </c>
      <c r="C188" s="6" t="s">
        <v>58</v>
      </c>
      <c r="D188" s="6" t="s">
        <v>29</v>
      </c>
      <c r="E188" s="6" t="s">
        <v>82</v>
      </c>
      <c r="F188" s="6" t="s">
        <v>47</v>
      </c>
      <c r="G188" s="7">
        <v>11</v>
      </c>
      <c r="H188" s="6" t="s">
        <v>36</v>
      </c>
    </row>
    <row r="189" spans="1:8" ht="14.25" customHeight="1" x14ac:dyDescent="0.25">
      <c r="A189" s="15">
        <v>46175</v>
      </c>
      <c r="B189" s="9" t="s">
        <v>88</v>
      </c>
      <c r="C189" s="9" t="s">
        <v>48</v>
      </c>
      <c r="D189" s="9" t="s">
        <v>38</v>
      </c>
      <c r="E189" s="9" t="s">
        <v>69</v>
      </c>
      <c r="F189" s="9" t="s">
        <v>47</v>
      </c>
      <c r="G189" s="10">
        <v>4</v>
      </c>
      <c r="H189" s="9" t="s">
        <v>32</v>
      </c>
    </row>
    <row r="190" spans="1:8" ht="14.25" customHeight="1" x14ac:dyDescent="0.25">
      <c r="A190" s="14">
        <v>46039</v>
      </c>
      <c r="B190" s="6" t="s">
        <v>60</v>
      </c>
      <c r="C190" s="6" t="s">
        <v>28</v>
      </c>
      <c r="D190" s="6" t="s">
        <v>29</v>
      </c>
      <c r="E190" s="6" t="s">
        <v>30</v>
      </c>
      <c r="F190" s="6" t="s">
        <v>78</v>
      </c>
      <c r="G190" s="7">
        <v>4</v>
      </c>
      <c r="H190" s="6" t="s">
        <v>32</v>
      </c>
    </row>
    <row r="191" spans="1:8" ht="14.25" customHeight="1" x14ac:dyDescent="0.25">
      <c r="A191" s="15">
        <v>46210</v>
      </c>
      <c r="B191" s="9" t="s">
        <v>76</v>
      </c>
      <c r="C191" s="9" t="s">
        <v>37</v>
      </c>
      <c r="D191" s="9" t="s">
        <v>34</v>
      </c>
      <c r="E191" s="9" t="s">
        <v>72</v>
      </c>
      <c r="F191" s="9" t="s">
        <v>66</v>
      </c>
      <c r="G191" s="10">
        <v>3</v>
      </c>
      <c r="H191" s="9" t="s">
        <v>36</v>
      </c>
    </row>
    <row r="192" spans="1:8" ht="14.25" customHeight="1" x14ac:dyDescent="0.25">
      <c r="A192" s="14">
        <v>46165</v>
      </c>
      <c r="B192" s="6" t="s">
        <v>79</v>
      </c>
      <c r="C192" s="6" t="s">
        <v>77</v>
      </c>
      <c r="D192" s="6" t="s">
        <v>56</v>
      </c>
      <c r="E192" s="6" t="s">
        <v>75</v>
      </c>
      <c r="F192" s="6" t="s">
        <v>59</v>
      </c>
      <c r="G192" s="7">
        <v>15</v>
      </c>
      <c r="H192" s="6" t="s">
        <v>36</v>
      </c>
    </row>
    <row r="193" spans="1:8" ht="14.25" customHeight="1" x14ac:dyDescent="0.25">
      <c r="A193" s="15">
        <v>46072</v>
      </c>
      <c r="B193" s="9" t="s">
        <v>27</v>
      </c>
      <c r="C193" s="9" t="s">
        <v>42</v>
      </c>
      <c r="D193" s="9" t="s">
        <v>49</v>
      </c>
      <c r="E193" s="9" t="s">
        <v>95</v>
      </c>
      <c r="F193" s="9" t="s">
        <v>59</v>
      </c>
      <c r="G193" s="10">
        <v>9</v>
      </c>
      <c r="H193" s="9" t="s">
        <v>36</v>
      </c>
    </row>
    <row r="194" spans="1:8" ht="14.25" customHeight="1" x14ac:dyDescent="0.25">
      <c r="A194" s="14">
        <v>46118</v>
      </c>
      <c r="B194" s="6" t="s">
        <v>52</v>
      </c>
      <c r="C194" s="6" t="s">
        <v>89</v>
      </c>
      <c r="D194" s="6" t="s">
        <v>49</v>
      </c>
      <c r="E194" s="6" t="s">
        <v>82</v>
      </c>
      <c r="F194" s="6" t="s">
        <v>53</v>
      </c>
      <c r="G194" s="7">
        <v>12</v>
      </c>
      <c r="H194" s="6" t="s">
        <v>32</v>
      </c>
    </row>
    <row r="195" spans="1:8" ht="14.25" customHeight="1" x14ac:dyDescent="0.25">
      <c r="A195" s="15">
        <v>46105</v>
      </c>
      <c r="B195" s="9" t="s">
        <v>79</v>
      </c>
      <c r="C195" s="9" t="s">
        <v>89</v>
      </c>
      <c r="D195" s="9" t="s">
        <v>49</v>
      </c>
      <c r="E195" s="9" t="s">
        <v>72</v>
      </c>
      <c r="F195" s="9" t="s">
        <v>51</v>
      </c>
      <c r="G195" s="10">
        <v>5</v>
      </c>
      <c r="H195" s="9" t="s">
        <v>54</v>
      </c>
    </row>
    <row r="196" spans="1:8" ht="14.25" customHeight="1" x14ac:dyDescent="0.25">
      <c r="A196" s="14">
        <v>46117</v>
      </c>
      <c r="B196" s="6" t="s">
        <v>44</v>
      </c>
      <c r="C196" s="6" t="s">
        <v>37</v>
      </c>
      <c r="D196" s="6" t="s">
        <v>56</v>
      </c>
      <c r="E196" s="6" t="s">
        <v>63</v>
      </c>
      <c r="F196" s="6" t="s">
        <v>61</v>
      </c>
      <c r="G196" s="7">
        <v>4</v>
      </c>
      <c r="H196" s="6" t="s">
        <v>62</v>
      </c>
    </row>
    <row r="197" spans="1:8" ht="14.25" customHeight="1" x14ac:dyDescent="0.25">
      <c r="A197" s="15">
        <v>46223</v>
      </c>
      <c r="B197" s="9" t="s">
        <v>83</v>
      </c>
      <c r="C197" s="9" t="s">
        <v>48</v>
      </c>
      <c r="D197" s="9" t="s">
        <v>49</v>
      </c>
      <c r="E197" s="9" t="s">
        <v>69</v>
      </c>
      <c r="F197" s="9" t="s">
        <v>91</v>
      </c>
      <c r="G197" s="10">
        <v>10</v>
      </c>
      <c r="H197" s="9" t="s">
        <v>36</v>
      </c>
    </row>
    <row r="198" spans="1:8" ht="14.25" customHeight="1" x14ac:dyDescent="0.25">
      <c r="A198" s="14">
        <v>46221</v>
      </c>
      <c r="B198" s="6" t="s">
        <v>90</v>
      </c>
      <c r="C198" s="6" t="s">
        <v>74</v>
      </c>
      <c r="D198" s="6" t="s">
        <v>29</v>
      </c>
      <c r="E198" s="6" t="s">
        <v>95</v>
      </c>
      <c r="F198" s="6" t="s">
        <v>51</v>
      </c>
      <c r="G198" s="7">
        <v>4</v>
      </c>
      <c r="H198" s="6" t="s">
        <v>62</v>
      </c>
    </row>
    <row r="199" spans="1:8" ht="14.25" customHeight="1" x14ac:dyDescent="0.25">
      <c r="A199" s="15">
        <v>46248</v>
      </c>
      <c r="B199" s="9" t="s">
        <v>85</v>
      </c>
      <c r="C199" s="9" t="s">
        <v>77</v>
      </c>
      <c r="D199" s="9" t="s">
        <v>38</v>
      </c>
      <c r="E199" s="9" t="s">
        <v>46</v>
      </c>
      <c r="F199" s="9" t="s">
        <v>53</v>
      </c>
      <c r="G199" s="10">
        <v>1</v>
      </c>
      <c r="H199" s="9" t="s">
        <v>32</v>
      </c>
    </row>
    <row r="200" spans="1:8" ht="14.25" customHeight="1" x14ac:dyDescent="0.25">
      <c r="A200" s="14">
        <v>46054</v>
      </c>
      <c r="B200" s="6" t="s">
        <v>5</v>
      </c>
      <c r="C200" s="6" t="s">
        <v>37</v>
      </c>
      <c r="D200" s="6" t="s">
        <v>49</v>
      </c>
      <c r="E200" s="6" t="s">
        <v>63</v>
      </c>
      <c r="F200" s="6" t="s">
        <v>66</v>
      </c>
      <c r="G200" s="7">
        <v>13</v>
      </c>
      <c r="H200" s="6" t="s">
        <v>36</v>
      </c>
    </row>
    <row r="201" spans="1:8" ht="14.25" customHeight="1" x14ac:dyDescent="0.25">
      <c r="A201" s="15">
        <v>46094</v>
      </c>
      <c r="B201" s="9" t="s">
        <v>33</v>
      </c>
      <c r="C201" s="9" t="s">
        <v>89</v>
      </c>
      <c r="D201" s="9" t="s">
        <v>56</v>
      </c>
      <c r="E201" s="9" t="s">
        <v>46</v>
      </c>
      <c r="F201" s="9" t="s">
        <v>91</v>
      </c>
      <c r="G201" s="10">
        <v>7</v>
      </c>
      <c r="H201" s="9" t="s">
        <v>36</v>
      </c>
    </row>
    <row r="202" spans="1:8" ht="14.25" customHeight="1" x14ac:dyDescent="0.25">
      <c r="A202" s="14">
        <v>46187</v>
      </c>
      <c r="B202" s="6" t="s">
        <v>7</v>
      </c>
      <c r="C202" s="6" t="s">
        <v>37</v>
      </c>
      <c r="D202" s="6" t="s">
        <v>56</v>
      </c>
      <c r="E202" s="6" t="s">
        <v>39</v>
      </c>
      <c r="F202" s="6" t="s">
        <v>59</v>
      </c>
      <c r="G202" s="7">
        <v>10</v>
      </c>
      <c r="H202" s="6" t="s">
        <v>54</v>
      </c>
    </row>
    <row r="203" spans="1:8" ht="14.25" customHeight="1" x14ac:dyDescent="0.25">
      <c r="A203" s="15">
        <v>46047</v>
      </c>
      <c r="B203" s="9" t="s">
        <v>83</v>
      </c>
      <c r="C203" s="9" t="s">
        <v>37</v>
      </c>
      <c r="D203" s="9" t="s">
        <v>56</v>
      </c>
      <c r="E203" s="9" t="s">
        <v>69</v>
      </c>
      <c r="F203" s="9" t="s">
        <v>78</v>
      </c>
      <c r="G203" s="10">
        <v>5</v>
      </c>
      <c r="H203" s="9" t="s">
        <v>54</v>
      </c>
    </row>
    <row r="204" spans="1:8" ht="14.25" customHeight="1" x14ac:dyDescent="0.25">
      <c r="A204" s="14">
        <v>46108</v>
      </c>
      <c r="B204" s="6" t="s">
        <v>8</v>
      </c>
      <c r="C204" s="6" t="s">
        <v>71</v>
      </c>
      <c r="D204" s="6" t="s">
        <v>29</v>
      </c>
      <c r="E204" s="6" t="s">
        <v>46</v>
      </c>
      <c r="F204" s="6" t="s">
        <v>59</v>
      </c>
      <c r="G204" s="7">
        <v>2</v>
      </c>
      <c r="H204" s="6" t="s">
        <v>62</v>
      </c>
    </row>
    <row r="205" spans="1:8" ht="14.25" customHeight="1" x14ac:dyDescent="0.25">
      <c r="A205" s="15">
        <v>46198</v>
      </c>
      <c r="B205" s="9" t="s">
        <v>70</v>
      </c>
      <c r="C205" s="9" t="s">
        <v>77</v>
      </c>
      <c r="D205" s="9" t="s">
        <v>56</v>
      </c>
      <c r="E205" s="9" t="s">
        <v>39</v>
      </c>
      <c r="F205" s="9" t="s">
        <v>47</v>
      </c>
      <c r="G205" s="10">
        <v>8</v>
      </c>
      <c r="H205" s="9" t="s">
        <v>36</v>
      </c>
    </row>
    <row r="206" spans="1:8" ht="14.25" customHeight="1" x14ac:dyDescent="0.25">
      <c r="A206" s="14">
        <v>46223</v>
      </c>
      <c r="B206" s="6" t="s">
        <v>12</v>
      </c>
      <c r="C206" s="6" t="s">
        <v>37</v>
      </c>
      <c r="D206" s="6" t="s">
        <v>56</v>
      </c>
      <c r="E206" s="6" t="s">
        <v>69</v>
      </c>
      <c r="F206" s="6" t="s">
        <v>64</v>
      </c>
      <c r="G206" s="7">
        <v>4</v>
      </c>
      <c r="H206" s="6" t="s">
        <v>36</v>
      </c>
    </row>
    <row r="207" spans="1:8" ht="14.25" customHeight="1" x14ac:dyDescent="0.25">
      <c r="A207" s="15">
        <v>46046</v>
      </c>
      <c r="B207" s="9" t="s">
        <v>33</v>
      </c>
      <c r="C207" s="9" t="s">
        <v>71</v>
      </c>
      <c r="D207" s="9" t="s">
        <v>29</v>
      </c>
      <c r="E207" s="9" t="s">
        <v>80</v>
      </c>
      <c r="F207" s="9" t="s">
        <v>64</v>
      </c>
      <c r="G207" s="10">
        <v>10</v>
      </c>
      <c r="H207" s="9" t="s">
        <v>36</v>
      </c>
    </row>
    <row r="208" spans="1:8" ht="14.25" customHeight="1" x14ac:dyDescent="0.25">
      <c r="A208" s="14">
        <v>46119</v>
      </c>
      <c r="B208" s="6" t="s">
        <v>79</v>
      </c>
      <c r="C208" s="6" t="s">
        <v>48</v>
      </c>
      <c r="D208" s="6" t="s">
        <v>38</v>
      </c>
      <c r="E208" s="6" t="s">
        <v>46</v>
      </c>
      <c r="F208" s="6" t="s">
        <v>78</v>
      </c>
      <c r="G208" s="7">
        <v>12</v>
      </c>
      <c r="H208" s="6" t="s">
        <v>32</v>
      </c>
    </row>
    <row r="209" spans="1:8" ht="14.25" customHeight="1" x14ac:dyDescent="0.25">
      <c r="A209" s="15">
        <v>46117</v>
      </c>
      <c r="B209" s="9" t="s">
        <v>8</v>
      </c>
      <c r="C209" s="9" t="s">
        <v>28</v>
      </c>
      <c r="D209" s="9" t="s">
        <v>38</v>
      </c>
      <c r="E209" s="9" t="s">
        <v>69</v>
      </c>
      <c r="F209" s="9" t="s">
        <v>31</v>
      </c>
      <c r="G209" s="10">
        <v>4</v>
      </c>
      <c r="H209" s="9" t="s">
        <v>36</v>
      </c>
    </row>
    <row r="210" spans="1:8" ht="14.25" customHeight="1" x14ac:dyDescent="0.25">
      <c r="A210" s="14">
        <v>46091</v>
      </c>
      <c r="B210" s="6" t="s">
        <v>8</v>
      </c>
      <c r="C210" s="6" t="s">
        <v>28</v>
      </c>
      <c r="D210" s="6" t="s">
        <v>56</v>
      </c>
      <c r="E210" s="6" t="s">
        <v>82</v>
      </c>
      <c r="F210" s="6" t="s">
        <v>53</v>
      </c>
      <c r="G210" s="7">
        <v>6</v>
      </c>
      <c r="H210" s="6" t="s">
        <v>54</v>
      </c>
    </row>
    <row r="211" spans="1:8" ht="14.25" customHeight="1" x14ac:dyDescent="0.25">
      <c r="A211" s="15">
        <v>46150</v>
      </c>
      <c r="B211" s="9" t="s">
        <v>85</v>
      </c>
      <c r="C211" s="9" t="s">
        <v>37</v>
      </c>
      <c r="D211" s="9" t="s">
        <v>29</v>
      </c>
      <c r="E211" s="9" t="s">
        <v>50</v>
      </c>
      <c r="F211" s="9" t="s">
        <v>43</v>
      </c>
      <c r="G211" s="10">
        <v>4</v>
      </c>
      <c r="H211" s="9" t="s">
        <v>36</v>
      </c>
    </row>
    <row r="212" spans="1:8" ht="14.25" customHeight="1" x14ac:dyDescent="0.25">
      <c r="A212" s="14">
        <v>46181</v>
      </c>
      <c r="B212" s="6" t="s">
        <v>7</v>
      </c>
      <c r="C212" s="6" t="s">
        <v>58</v>
      </c>
      <c r="D212" s="6" t="s">
        <v>38</v>
      </c>
      <c r="E212" s="6" t="s">
        <v>94</v>
      </c>
      <c r="F212" s="6" t="s">
        <v>31</v>
      </c>
      <c r="G212" s="7">
        <v>5</v>
      </c>
      <c r="H212" s="6" t="s">
        <v>36</v>
      </c>
    </row>
    <row r="213" spans="1:8" ht="14.25" customHeight="1" x14ac:dyDescent="0.25">
      <c r="A213" s="15">
        <v>46097</v>
      </c>
      <c r="B213" s="9" t="s">
        <v>33</v>
      </c>
      <c r="C213" s="9" t="s">
        <v>77</v>
      </c>
      <c r="D213" s="9" t="s">
        <v>38</v>
      </c>
      <c r="E213" s="9" t="s">
        <v>63</v>
      </c>
      <c r="F213" s="9" t="s">
        <v>53</v>
      </c>
      <c r="G213" s="10">
        <v>5</v>
      </c>
      <c r="H213" s="9" t="s">
        <v>36</v>
      </c>
    </row>
    <row r="214" spans="1:8" ht="14.25" customHeight="1" x14ac:dyDescent="0.25">
      <c r="A214" s="14">
        <v>46193</v>
      </c>
      <c r="B214" s="6" t="s">
        <v>52</v>
      </c>
      <c r="C214" s="6" t="s">
        <v>74</v>
      </c>
      <c r="D214" s="6" t="s">
        <v>34</v>
      </c>
      <c r="E214" s="6" t="s">
        <v>94</v>
      </c>
      <c r="F214" s="6" t="s">
        <v>91</v>
      </c>
      <c r="G214" s="7">
        <v>11</v>
      </c>
      <c r="H214" s="6" t="s">
        <v>32</v>
      </c>
    </row>
    <row r="215" spans="1:8" ht="14.25" customHeight="1" x14ac:dyDescent="0.25">
      <c r="A215" s="15">
        <v>46204</v>
      </c>
      <c r="B215" s="9" t="s">
        <v>52</v>
      </c>
      <c r="C215" s="9" t="s">
        <v>87</v>
      </c>
      <c r="D215" s="9" t="s">
        <v>34</v>
      </c>
      <c r="E215" s="9" t="s">
        <v>75</v>
      </c>
      <c r="F215" s="9" t="s">
        <v>31</v>
      </c>
      <c r="G215" s="10">
        <v>3</v>
      </c>
      <c r="H215" s="9" t="s">
        <v>32</v>
      </c>
    </row>
    <row r="216" spans="1:8" ht="14.25" customHeight="1" x14ac:dyDescent="0.25">
      <c r="A216" s="14">
        <v>46061</v>
      </c>
      <c r="B216" s="6" t="s">
        <v>27</v>
      </c>
      <c r="C216" s="6" t="s">
        <v>37</v>
      </c>
      <c r="D216" s="6" t="s">
        <v>38</v>
      </c>
      <c r="E216" s="6" t="s">
        <v>46</v>
      </c>
      <c r="F216" s="6" t="s">
        <v>47</v>
      </c>
      <c r="G216" s="7">
        <v>4</v>
      </c>
      <c r="H216" s="6" t="s">
        <v>36</v>
      </c>
    </row>
    <row r="217" spans="1:8" ht="14.25" customHeight="1" x14ac:dyDescent="0.25">
      <c r="A217" s="15">
        <v>46187</v>
      </c>
      <c r="B217" s="9" t="s">
        <v>10</v>
      </c>
      <c r="C217" s="9" t="s">
        <v>45</v>
      </c>
      <c r="D217" s="9" t="s">
        <v>49</v>
      </c>
      <c r="E217" s="9" t="s">
        <v>50</v>
      </c>
      <c r="F217" s="9" t="s">
        <v>73</v>
      </c>
      <c r="G217" s="10">
        <v>8</v>
      </c>
      <c r="H217" s="9" t="s">
        <v>54</v>
      </c>
    </row>
    <row r="218" spans="1:8" ht="14.25" customHeight="1" x14ac:dyDescent="0.25">
      <c r="A218" s="14">
        <v>46148</v>
      </c>
      <c r="B218" s="6" t="s">
        <v>9</v>
      </c>
      <c r="C218" s="6" t="s">
        <v>89</v>
      </c>
      <c r="D218" s="6" t="s">
        <v>29</v>
      </c>
      <c r="E218" s="6" t="s">
        <v>69</v>
      </c>
      <c r="F218" s="6" t="s">
        <v>31</v>
      </c>
      <c r="G218" s="7">
        <v>8</v>
      </c>
      <c r="H218" s="6" t="s">
        <v>54</v>
      </c>
    </row>
    <row r="219" spans="1:8" ht="14.25" customHeight="1" x14ac:dyDescent="0.25">
      <c r="A219" s="15">
        <v>46080</v>
      </c>
      <c r="B219" s="9" t="s">
        <v>41</v>
      </c>
      <c r="C219" s="9" t="s">
        <v>58</v>
      </c>
      <c r="D219" s="9" t="s">
        <v>49</v>
      </c>
      <c r="E219" s="9" t="s">
        <v>72</v>
      </c>
      <c r="F219" s="9" t="s">
        <v>40</v>
      </c>
      <c r="G219" s="10">
        <v>8</v>
      </c>
      <c r="H219" s="9" t="s">
        <v>54</v>
      </c>
    </row>
    <row r="220" spans="1:8" ht="14.25" customHeight="1" x14ac:dyDescent="0.25">
      <c r="A220" s="14">
        <v>46151</v>
      </c>
      <c r="B220" s="6" t="s">
        <v>70</v>
      </c>
      <c r="C220" s="6" t="s">
        <v>42</v>
      </c>
      <c r="D220" s="6" t="s">
        <v>29</v>
      </c>
      <c r="E220" s="6" t="s">
        <v>82</v>
      </c>
      <c r="F220" s="6" t="s">
        <v>31</v>
      </c>
      <c r="G220" s="7">
        <v>6</v>
      </c>
      <c r="H220" s="6" t="s">
        <v>36</v>
      </c>
    </row>
    <row r="221" spans="1:8" ht="14.25" customHeight="1" x14ac:dyDescent="0.25">
      <c r="A221" s="15">
        <v>46083</v>
      </c>
      <c r="B221" s="9" t="s">
        <v>41</v>
      </c>
      <c r="C221" s="9" t="s">
        <v>45</v>
      </c>
      <c r="D221" s="9" t="s">
        <v>56</v>
      </c>
      <c r="E221" s="9" t="s">
        <v>95</v>
      </c>
      <c r="F221" s="9" t="s">
        <v>43</v>
      </c>
      <c r="G221" s="10">
        <v>4</v>
      </c>
      <c r="H221" s="9" t="s">
        <v>62</v>
      </c>
    </row>
    <row r="222" spans="1:8" ht="14.25" customHeight="1" x14ac:dyDescent="0.25">
      <c r="A222" s="14">
        <v>46245</v>
      </c>
      <c r="B222" s="6" t="s">
        <v>5</v>
      </c>
      <c r="C222" s="6" t="s">
        <v>28</v>
      </c>
      <c r="D222" s="6" t="s">
        <v>49</v>
      </c>
      <c r="E222" s="6" t="s">
        <v>69</v>
      </c>
      <c r="F222" s="6" t="s">
        <v>59</v>
      </c>
      <c r="G222" s="7">
        <v>14</v>
      </c>
      <c r="H222" s="6" t="s">
        <v>62</v>
      </c>
    </row>
    <row r="223" spans="1:8" ht="14.25" customHeight="1" x14ac:dyDescent="0.25">
      <c r="A223" s="15">
        <v>46052</v>
      </c>
      <c r="B223" s="9" t="s">
        <v>83</v>
      </c>
      <c r="C223" s="9" t="s">
        <v>37</v>
      </c>
      <c r="D223" s="9" t="s">
        <v>38</v>
      </c>
      <c r="E223" s="9" t="s">
        <v>50</v>
      </c>
      <c r="F223" s="9" t="s">
        <v>91</v>
      </c>
      <c r="G223" s="10">
        <v>7</v>
      </c>
      <c r="H223" s="9" t="s">
        <v>62</v>
      </c>
    </row>
    <row r="224" spans="1:8" ht="14.25" customHeight="1" x14ac:dyDescent="0.25">
      <c r="A224" s="14">
        <v>46141</v>
      </c>
      <c r="B224" s="6" t="s">
        <v>12</v>
      </c>
      <c r="C224" s="6" t="s">
        <v>37</v>
      </c>
      <c r="D224" s="6" t="s">
        <v>56</v>
      </c>
      <c r="E224" s="6" t="s">
        <v>94</v>
      </c>
      <c r="F224" s="6" t="s">
        <v>64</v>
      </c>
      <c r="G224" s="7">
        <v>8</v>
      </c>
      <c r="H224" s="6" t="s">
        <v>32</v>
      </c>
    </row>
    <row r="225" spans="1:8" ht="14.25" customHeight="1" x14ac:dyDescent="0.25">
      <c r="A225" s="15">
        <v>46054</v>
      </c>
      <c r="B225" s="9" t="s">
        <v>10</v>
      </c>
      <c r="C225" s="9" t="s">
        <v>28</v>
      </c>
      <c r="D225" s="9" t="s">
        <v>34</v>
      </c>
      <c r="E225" s="9" t="s">
        <v>63</v>
      </c>
      <c r="F225" s="9" t="s">
        <v>53</v>
      </c>
      <c r="G225" s="10">
        <v>12</v>
      </c>
      <c r="H225" s="9" t="s">
        <v>36</v>
      </c>
    </row>
    <row r="226" spans="1:8" ht="14.25" customHeight="1" x14ac:dyDescent="0.25">
      <c r="A226" s="14">
        <v>46037</v>
      </c>
      <c r="B226" s="6" t="s">
        <v>88</v>
      </c>
      <c r="C226" s="6" t="s">
        <v>28</v>
      </c>
      <c r="D226" s="6" t="s">
        <v>56</v>
      </c>
      <c r="E226" s="6" t="s">
        <v>81</v>
      </c>
      <c r="F226" s="6" t="s">
        <v>47</v>
      </c>
      <c r="G226" s="7">
        <v>8</v>
      </c>
      <c r="H226" s="6" t="s">
        <v>36</v>
      </c>
    </row>
    <row r="227" spans="1:8" ht="14.25" customHeight="1" x14ac:dyDescent="0.25">
      <c r="A227" s="15">
        <v>46157</v>
      </c>
      <c r="B227" s="9" t="s">
        <v>60</v>
      </c>
      <c r="C227" s="9" t="s">
        <v>89</v>
      </c>
      <c r="D227" s="9" t="s">
        <v>29</v>
      </c>
      <c r="E227" s="9" t="s">
        <v>50</v>
      </c>
      <c r="F227" s="9" t="s">
        <v>78</v>
      </c>
      <c r="G227" s="10">
        <v>11</v>
      </c>
      <c r="H227" s="9" t="s">
        <v>54</v>
      </c>
    </row>
    <row r="228" spans="1:8" ht="14.25" customHeight="1" x14ac:dyDescent="0.25">
      <c r="A228" s="14">
        <v>46239</v>
      </c>
      <c r="B228" s="6" t="s">
        <v>44</v>
      </c>
      <c r="C228" s="6" t="s">
        <v>42</v>
      </c>
      <c r="D228" s="6" t="s">
        <v>56</v>
      </c>
      <c r="E228" s="6" t="s">
        <v>69</v>
      </c>
      <c r="F228" s="6" t="s">
        <v>73</v>
      </c>
      <c r="G228" s="7">
        <v>2</v>
      </c>
      <c r="H228" s="6" t="s">
        <v>62</v>
      </c>
    </row>
    <row r="229" spans="1:8" ht="14.25" customHeight="1" x14ac:dyDescent="0.25">
      <c r="A229" s="15">
        <v>46124</v>
      </c>
      <c r="B229" s="9" t="s">
        <v>15</v>
      </c>
      <c r="C229" s="9" t="s">
        <v>58</v>
      </c>
      <c r="D229" s="9" t="s">
        <v>38</v>
      </c>
      <c r="E229" s="9" t="s">
        <v>75</v>
      </c>
      <c r="F229" s="9" t="s">
        <v>91</v>
      </c>
      <c r="G229" s="10">
        <v>7</v>
      </c>
      <c r="H229" s="9" t="s">
        <v>32</v>
      </c>
    </row>
    <row r="230" spans="1:8" ht="14.25" customHeight="1" x14ac:dyDescent="0.25">
      <c r="A230" s="14">
        <v>46061</v>
      </c>
      <c r="B230" s="6" t="s">
        <v>15</v>
      </c>
      <c r="C230" s="6" t="s">
        <v>58</v>
      </c>
      <c r="D230" s="6" t="s">
        <v>49</v>
      </c>
      <c r="E230" s="6" t="s">
        <v>69</v>
      </c>
      <c r="F230" s="6" t="s">
        <v>53</v>
      </c>
      <c r="G230" s="7">
        <v>1</v>
      </c>
      <c r="H230" s="6" t="s">
        <v>62</v>
      </c>
    </row>
    <row r="231" spans="1:8" ht="14.25" customHeight="1" x14ac:dyDescent="0.25">
      <c r="A231" s="15">
        <v>46090</v>
      </c>
      <c r="B231" s="9" t="s">
        <v>70</v>
      </c>
      <c r="C231" s="9" t="s">
        <v>93</v>
      </c>
      <c r="D231" s="9" t="s">
        <v>49</v>
      </c>
      <c r="E231" s="9" t="s">
        <v>50</v>
      </c>
      <c r="F231" s="9" t="s">
        <v>84</v>
      </c>
      <c r="G231" s="10">
        <v>11</v>
      </c>
      <c r="H231" s="9" t="s">
        <v>54</v>
      </c>
    </row>
    <row r="232" spans="1:8" ht="14.25" customHeight="1" x14ac:dyDescent="0.25">
      <c r="A232" s="14">
        <v>46182</v>
      </c>
      <c r="B232" s="6" t="s">
        <v>79</v>
      </c>
      <c r="C232" s="6" t="s">
        <v>77</v>
      </c>
      <c r="D232" s="6" t="s">
        <v>56</v>
      </c>
      <c r="E232" s="6" t="s">
        <v>35</v>
      </c>
      <c r="F232" s="6" t="s">
        <v>51</v>
      </c>
      <c r="G232" s="7">
        <v>14</v>
      </c>
      <c r="H232" s="6" t="s">
        <v>32</v>
      </c>
    </row>
    <row r="233" spans="1:8" ht="14.25" customHeight="1" x14ac:dyDescent="0.25">
      <c r="A233" s="15">
        <v>46120</v>
      </c>
      <c r="B233" s="9" t="s">
        <v>68</v>
      </c>
      <c r="C233" s="9" t="s">
        <v>28</v>
      </c>
      <c r="D233" s="9" t="s">
        <v>56</v>
      </c>
      <c r="E233" s="9" t="s">
        <v>82</v>
      </c>
      <c r="F233" s="9" t="s">
        <v>51</v>
      </c>
      <c r="G233" s="10">
        <v>4</v>
      </c>
      <c r="H233" s="9" t="s">
        <v>54</v>
      </c>
    </row>
    <row r="234" spans="1:8" ht="14.25" customHeight="1" x14ac:dyDescent="0.25">
      <c r="A234" s="14">
        <v>46148</v>
      </c>
      <c r="B234" s="6" t="s">
        <v>8</v>
      </c>
      <c r="C234" s="6" t="s">
        <v>37</v>
      </c>
      <c r="D234" s="6" t="s">
        <v>49</v>
      </c>
      <c r="E234" s="6" t="s">
        <v>46</v>
      </c>
      <c r="F234" s="6" t="s">
        <v>61</v>
      </c>
      <c r="G234" s="7">
        <v>5</v>
      </c>
      <c r="H234" s="6" t="s">
        <v>36</v>
      </c>
    </row>
    <row r="235" spans="1:8" ht="14.25" customHeight="1" x14ac:dyDescent="0.25">
      <c r="A235" s="15">
        <v>46228</v>
      </c>
      <c r="B235" s="9" t="s">
        <v>9</v>
      </c>
      <c r="C235" s="9" t="s">
        <v>58</v>
      </c>
      <c r="D235" s="9" t="s">
        <v>56</v>
      </c>
      <c r="E235" s="9" t="s">
        <v>63</v>
      </c>
      <c r="F235" s="9" t="s">
        <v>40</v>
      </c>
      <c r="G235" s="10">
        <v>5</v>
      </c>
      <c r="H235" s="9" t="s">
        <v>62</v>
      </c>
    </row>
    <row r="236" spans="1:8" ht="14.25" customHeight="1" x14ac:dyDescent="0.25">
      <c r="A236" s="14">
        <v>46185</v>
      </c>
      <c r="B236" s="6" t="s">
        <v>70</v>
      </c>
      <c r="C236" s="6" t="s">
        <v>28</v>
      </c>
      <c r="D236" s="6" t="s">
        <v>38</v>
      </c>
      <c r="E236" s="6" t="s">
        <v>69</v>
      </c>
      <c r="F236" s="6" t="s">
        <v>53</v>
      </c>
      <c r="G236" s="7">
        <v>15</v>
      </c>
      <c r="H236" s="6" t="s">
        <v>32</v>
      </c>
    </row>
    <row r="237" spans="1:8" ht="14.25" customHeight="1" x14ac:dyDescent="0.25">
      <c r="A237" s="15">
        <v>46194</v>
      </c>
      <c r="B237" s="9" t="s">
        <v>44</v>
      </c>
      <c r="C237" s="9" t="s">
        <v>28</v>
      </c>
      <c r="D237" s="9" t="s">
        <v>56</v>
      </c>
      <c r="E237" s="9" t="s">
        <v>63</v>
      </c>
      <c r="F237" s="9" t="s">
        <v>53</v>
      </c>
      <c r="G237" s="10">
        <v>14</v>
      </c>
      <c r="H237" s="9" t="s">
        <v>36</v>
      </c>
    </row>
    <row r="238" spans="1:8" ht="14.25" customHeight="1" x14ac:dyDescent="0.25">
      <c r="A238" s="14">
        <v>46140</v>
      </c>
      <c r="B238" s="6" t="s">
        <v>33</v>
      </c>
      <c r="C238" s="6" t="s">
        <v>89</v>
      </c>
      <c r="D238" s="6" t="s">
        <v>49</v>
      </c>
      <c r="E238" s="6" t="s">
        <v>94</v>
      </c>
      <c r="F238" s="6" t="s">
        <v>31</v>
      </c>
      <c r="G238" s="7">
        <v>6</v>
      </c>
      <c r="H238" s="6" t="s">
        <v>62</v>
      </c>
    </row>
    <row r="239" spans="1:8" ht="14.25" customHeight="1" x14ac:dyDescent="0.25">
      <c r="A239" s="15">
        <v>46216</v>
      </c>
      <c r="B239" s="9" t="s">
        <v>7</v>
      </c>
      <c r="C239" s="9" t="s">
        <v>45</v>
      </c>
      <c r="D239" s="9" t="s">
        <v>56</v>
      </c>
      <c r="E239" s="9" t="s">
        <v>82</v>
      </c>
      <c r="F239" s="9" t="s">
        <v>78</v>
      </c>
      <c r="G239" s="10">
        <v>12</v>
      </c>
      <c r="H239" s="9" t="s">
        <v>54</v>
      </c>
    </row>
    <row r="240" spans="1:8" ht="14.25" customHeight="1" x14ac:dyDescent="0.25">
      <c r="A240" s="14">
        <v>46023</v>
      </c>
      <c r="B240" s="6" t="s">
        <v>88</v>
      </c>
      <c r="C240" s="6" t="s">
        <v>71</v>
      </c>
      <c r="D240" s="6" t="s">
        <v>34</v>
      </c>
      <c r="E240" s="6" t="s">
        <v>39</v>
      </c>
      <c r="F240" s="6" t="s">
        <v>53</v>
      </c>
      <c r="G240" s="7">
        <v>9</v>
      </c>
      <c r="H240" s="6" t="s">
        <v>54</v>
      </c>
    </row>
    <row r="241" spans="1:8" ht="14.25" customHeight="1" x14ac:dyDescent="0.25">
      <c r="A241" s="15">
        <v>46171</v>
      </c>
      <c r="B241" s="9" t="s">
        <v>41</v>
      </c>
      <c r="C241" s="9" t="s">
        <v>48</v>
      </c>
      <c r="D241" s="9" t="s">
        <v>29</v>
      </c>
      <c r="E241" s="9" t="s">
        <v>69</v>
      </c>
      <c r="F241" s="9" t="s">
        <v>64</v>
      </c>
      <c r="G241" s="10">
        <v>7</v>
      </c>
      <c r="H241" s="9" t="s">
        <v>36</v>
      </c>
    </row>
    <row r="242" spans="1:8" ht="14.25" customHeight="1" x14ac:dyDescent="0.25">
      <c r="A242" s="14">
        <v>46066</v>
      </c>
      <c r="B242" s="6" t="s">
        <v>85</v>
      </c>
      <c r="C242" s="6" t="s">
        <v>45</v>
      </c>
      <c r="D242" s="6" t="s">
        <v>49</v>
      </c>
      <c r="E242" s="6" t="s">
        <v>82</v>
      </c>
      <c r="F242" s="6" t="s">
        <v>73</v>
      </c>
      <c r="G242" s="7">
        <v>13</v>
      </c>
      <c r="H242" s="6" t="s">
        <v>54</v>
      </c>
    </row>
    <row r="243" spans="1:8" ht="14.25" customHeight="1" x14ac:dyDescent="0.25">
      <c r="A243" s="15">
        <v>46147</v>
      </c>
      <c r="B243" s="9" t="s">
        <v>83</v>
      </c>
      <c r="C243" s="9" t="s">
        <v>48</v>
      </c>
      <c r="D243" s="9" t="s">
        <v>29</v>
      </c>
      <c r="E243" s="9" t="s">
        <v>39</v>
      </c>
      <c r="F243" s="9" t="s">
        <v>53</v>
      </c>
      <c r="G243" s="10">
        <v>8</v>
      </c>
      <c r="H243" s="9" t="s">
        <v>32</v>
      </c>
    </row>
    <row r="244" spans="1:8" ht="14.25" customHeight="1" x14ac:dyDescent="0.25">
      <c r="A244" s="14">
        <v>46041</v>
      </c>
      <c r="B244" s="6" t="s">
        <v>33</v>
      </c>
      <c r="C244" s="6" t="s">
        <v>37</v>
      </c>
      <c r="D244" s="6" t="s">
        <v>34</v>
      </c>
      <c r="E244" s="6" t="s">
        <v>50</v>
      </c>
      <c r="F244" s="6" t="s">
        <v>47</v>
      </c>
      <c r="G244" s="7">
        <v>6</v>
      </c>
      <c r="H244" s="6" t="s">
        <v>54</v>
      </c>
    </row>
    <row r="245" spans="1:8" ht="14.25" customHeight="1" x14ac:dyDescent="0.25">
      <c r="A245" s="15">
        <v>46224</v>
      </c>
      <c r="B245" s="9" t="s">
        <v>10</v>
      </c>
      <c r="C245" s="9" t="s">
        <v>28</v>
      </c>
      <c r="D245" s="9" t="s">
        <v>38</v>
      </c>
      <c r="E245" s="9" t="s">
        <v>50</v>
      </c>
      <c r="F245" s="9" t="s">
        <v>53</v>
      </c>
      <c r="G245" s="10">
        <v>13</v>
      </c>
      <c r="H245" s="9" t="s">
        <v>32</v>
      </c>
    </row>
    <row r="246" spans="1:8" ht="14.25" customHeight="1" x14ac:dyDescent="0.25">
      <c r="A246" s="14">
        <v>46203</v>
      </c>
      <c r="B246" s="6" t="s">
        <v>8</v>
      </c>
      <c r="C246" s="6" t="s">
        <v>28</v>
      </c>
      <c r="D246" s="6" t="s">
        <v>38</v>
      </c>
      <c r="E246" s="6" t="s">
        <v>72</v>
      </c>
      <c r="F246" s="6" t="s">
        <v>53</v>
      </c>
      <c r="G246" s="7">
        <v>7</v>
      </c>
      <c r="H246" s="6" t="s">
        <v>32</v>
      </c>
    </row>
    <row r="247" spans="1:8" ht="14.25" customHeight="1" x14ac:dyDescent="0.25">
      <c r="A247" s="15">
        <v>46244</v>
      </c>
      <c r="B247" s="9" t="s">
        <v>10</v>
      </c>
      <c r="C247" s="9" t="s">
        <v>87</v>
      </c>
      <c r="D247" s="9" t="s">
        <v>38</v>
      </c>
      <c r="E247" s="9" t="s">
        <v>35</v>
      </c>
      <c r="F247" s="9" t="s">
        <v>51</v>
      </c>
      <c r="G247" s="10">
        <v>9</v>
      </c>
      <c r="H247" s="9" t="s">
        <v>32</v>
      </c>
    </row>
    <row r="248" spans="1:8" ht="14.25" customHeight="1" x14ac:dyDescent="0.25">
      <c r="A248" s="14">
        <v>46122</v>
      </c>
      <c r="B248" s="6" t="s">
        <v>7</v>
      </c>
      <c r="C248" s="6" t="s">
        <v>42</v>
      </c>
      <c r="D248" s="6" t="s">
        <v>56</v>
      </c>
      <c r="E248" s="6" t="s">
        <v>81</v>
      </c>
      <c r="F248" s="6" t="s">
        <v>43</v>
      </c>
      <c r="G248" s="7">
        <v>3</v>
      </c>
      <c r="H248" s="6" t="s">
        <v>32</v>
      </c>
    </row>
    <row r="249" spans="1:8" ht="14.25" customHeight="1" x14ac:dyDescent="0.25">
      <c r="A249" s="15">
        <v>46180</v>
      </c>
      <c r="B249" s="9" t="s">
        <v>83</v>
      </c>
      <c r="C249" s="9" t="s">
        <v>74</v>
      </c>
      <c r="D249" s="9" t="s">
        <v>38</v>
      </c>
      <c r="E249" s="9" t="s">
        <v>95</v>
      </c>
      <c r="F249" s="9" t="s">
        <v>47</v>
      </c>
      <c r="G249" s="10">
        <v>11</v>
      </c>
      <c r="H249" s="9" t="s">
        <v>62</v>
      </c>
    </row>
    <row r="250" spans="1:8" ht="14.25" customHeight="1" x14ac:dyDescent="0.25">
      <c r="A250" s="14">
        <v>46200</v>
      </c>
      <c r="B250" s="6" t="s">
        <v>92</v>
      </c>
      <c r="C250" s="6" t="s">
        <v>71</v>
      </c>
      <c r="D250" s="6" t="s">
        <v>38</v>
      </c>
      <c r="E250" s="6" t="s">
        <v>63</v>
      </c>
      <c r="F250" s="6" t="s">
        <v>64</v>
      </c>
      <c r="G250" s="7">
        <v>15</v>
      </c>
      <c r="H250" s="6" t="s">
        <v>54</v>
      </c>
    </row>
    <row r="251" spans="1:8" ht="14.25" customHeight="1" x14ac:dyDescent="0.25">
      <c r="A251" s="15">
        <v>46167</v>
      </c>
      <c r="B251" s="9" t="s">
        <v>27</v>
      </c>
      <c r="C251" s="9" t="s">
        <v>58</v>
      </c>
      <c r="D251" s="9" t="s">
        <v>38</v>
      </c>
      <c r="E251" s="9" t="s">
        <v>72</v>
      </c>
      <c r="F251" s="9" t="s">
        <v>47</v>
      </c>
      <c r="G251" s="10">
        <v>9</v>
      </c>
      <c r="H251" s="9" t="s">
        <v>36</v>
      </c>
    </row>
    <row r="252" spans="1:8" ht="14.25" customHeight="1" x14ac:dyDescent="0.25">
      <c r="A252" s="14">
        <v>46236</v>
      </c>
      <c r="B252" s="6" t="s">
        <v>5</v>
      </c>
      <c r="C252" s="6" t="s">
        <v>58</v>
      </c>
      <c r="D252" s="6" t="s">
        <v>29</v>
      </c>
      <c r="E252" s="6" t="s">
        <v>75</v>
      </c>
      <c r="F252" s="6" t="s">
        <v>53</v>
      </c>
      <c r="G252" s="7">
        <v>1</v>
      </c>
      <c r="H252" s="6" t="s">
        <v>62</v>
      </c>
    </row>
    <row r="253" spans="1:8" ht="14.25" customHeight="1" x14ac:dyDescent="0.25">
      <c r="A253" s="15">
        <v>46152</v>
      </c>
      <c r="B253" s="9" t="s">
        <v>92</v>
      </c>
      <c r="C253" s="9" t="s">
        <v>28</v>
      </c>
      <c r="D253" s="9" t="s">
        <v>49</v>
      </c>
      <c r="E253" s="9" t="s">
        <v>30</v>
      </c>
      <c r="F253" s="9" t="s">
        <v>64</v>
      </c>
      <c r="G253" s="10">
        <v>1</v>
      </c>
      <c r="H253" s="9" t="s">
        <v>32</v>
      </c>
    </row>
    <row r="254" spans="1:8" ht="14.25" customHeight="1" x14ac:dyDescent="0.25">
      <c r="A254" s="14">
        <v>46071</v>
      </c>
      <c r="B254" s="6" t="s">
        <v>60</v>
      </c>
      <c r="C254" s="6" t="s">
        <v>42</v>
      </c>
      <c r="D254" s="6" t="s">
        <v>56</v>
      </c>
      <c r="E254" s="6" t="s">
        <v>75</v>
      </c>
      <c r="F254" s="6" t="s">
        <v>73</v>
      </c>
      <c r="G254" s="7">
        <v>7</v>
      </c>
      <c r="H254" s="6" t="s">
        <v>54</v>
      </c>
    </row>
    <row r="255" spans="1:8" ht="14.25" customHeight="1" x14ac:dyDescent="0.25">
      <c r="A255" s="15">
        <v>46126</v>
      </c>
      <c r="B255" s="9" t="s">
        <v>5</v>
      </c>
      <c r="C255" s="9" t="s">
        <v>37</v>
      </c>
      <c r="D255" s="9" t="s">
        <v>49</v>
      </c>
      <c r="E255" s="9" t="s">
        <v>63</v>
      </c>
      <c r="F255" s="9" t="s">
        <v>31</v>
      </c>
      <c r="G255" s="10">
        <v>13</v>
      </c>
      <c r="H255" s="9" t="s">
        <v>36</v>
      </c>
    </row>
    <row r="256" spans="1:8" ht="14.25" customHeight="1" x14ac:dyDescent="0.25">
      <c r="A256" s="14">
        <v>46069</v>
      </c>
      <c r="B256" s="6" t="s">
        <v>10</v>
      </c>
      <c r="C256" s="6" t="s">
        <v>37</v>
      </c>
      <c r="D256" s="6" t="s">
        <v>49</v>
      </c>
      <c r="E256" s="6" t="s">
        <v>46</v>
      </c>
      <c r="F256" s="6" t="s">
        <v>51</v>
      </c>
      <c r="G256" s="7">
        <v>15</v>
      </c>
      <c r="H256" s="6" t="s">
        <v>36</v>
      </c>
    </row>
    <row r="257" spans="1:8" ht="14.25" customHeight="1" x14ac:dyDescent="0.25">
      <c r="A257" s="15">
        <v>46091</v>
      </c>
      <c r="B257" s="9" t="s">
        <v>10</v>
      </c>
      <c r="C257" s="9" t="s">
        <v>28</v>
      </c>
      <c r="D257" s="9" t="s">
        <v>56</v>
      </c>
      <c r="E257" s="9" t="s">
        <v>69</v>
      </c>
      <c r="F257" s="9" t="s">
        <v>43</v>
      </c>
      <c r="G257" s="10">
        <v>9</v>
      </c>
      <c r="H257" s="9" t="s">
        <v>62</v>
      </c>
    </row>
    <row r="258" spans="1:8" ht="14.25" customHeight="1" x14ac:dyDescent="0.25">
      <c r="A258" s="14">
        <v>46060</v>
      </c>
      <c r="B258" s="6" t="s">
        <v>27</v>
      </c>
      <c r="C258" s="6" t="s">
        <v>42</v>
      </c>
      <c r="D258" s="6" t="s">
        <v>49</v>
      </c>
      <c r="E258" s="6" t="s">
        <v>39</v>
      </c>
      <c r="F258" s="6" t="s">
        <v>59</v>
      </c>
      <c r="G258" s="7">
        <v>15</v>
      </c>
      <c r="H258" s="6" t="s">
        <v>54</v>
      </c>
    </row>
    <row r="259" spans="1:8" ht="14.25" customHeight="1" x14ac:dyDescent="0.25">
      <c r="A259" s="15">
        <v>46053</v>
      </c>
      <c r="B259" s="9" t="s">
        <v>7</v>
      </c>
      <c r="C259" s="9" t="s">
        <v>58</v>
      </c>
      <c r="D259" s="9" t="s">
        <v>38</v>
      </c>
      <c r="E259" s="9" t="s">
        <v>82</v>
      </c>
      <c r="F259" s="9" t="s">
        <v>84</v>
      </c>
      <c r="G259" s="10">
        <v>15</v>
      </c>
      <c r="H259" s="9" t="s">
        <v>32</v>
      </c>
    </row>
    <row r="260" spans="1:8" ht="14.25" customHeight="1" x14ac:dyDescent="0.25">
      <c r="A260" s="14">
        <v>46098</v>
      </c>
      <c r="B260" s="6" t="s">
        <v>15</v>
      </c>
      <c r="C260" s="6" t="s">
        <v>37</v>
      </c>
      <c r="D260" s="6" t="s">
        <v>49</v>
      </c>
      <c r="E260" s="6" t="s">
        <v>72</v>
      </c>
      <c r="F260" s="6" t="s">
        <v>64</v>
      </c>
      <c r="G260" s="7">
        <v>13</v>
      </c>
      <c r="H260" s="6" t="s">
        <v>62</v>
      </c>
    </row>
    <row r="261" spans="1:8" ht="14.25" customHeight="1" x14ac:dyDescent="0.25">
      <c r="A261" s="15">
        <v>46077</v>
      </c>
      <c r="B261" s="9" t="s">
        <v>7</v>
      </c>
      <c r="C261" s="9" t="s">
        <v>89</v>
      </c>
      <c r="D261" s="9" t="s">
        <v>29</v>
      </c>
      <c r="E261" s="9" t="s">
        <v>63</v>
      </c>
      <c r="F261" s="9" t="s">
        <v>40</v>
      </c>
      <c r="G261" s="10">
        <v>6</v>
      </c>
      <c r="H261" s="9" t="s">
        <v>32</v>
      </c>
    </row>
    <row r="262" spans="1:8" ht="14.25" customHeight="1" x14ac:dyDescent="0.25">
      <c r="A262" s="14">
        <v>46041</v>
      </c>
      <c r="B262" s="6" t="s">
        <v>83</v>
      </c>
      <c r="C262" s="6" t="s">
        <v>89</v>
      </c>
      <c r="D262" s="6" t="s">
        <v>56</v>
      </c>
      <c r="E262" s="6" t="s">
        <v>95</v>
      </c>
      <c r="F262" s="6" t="s">
        <v>53</v>
      </c>
      <c r="G262" s="7">
        <v>6</v>
      </c>
      <c r="H262" s="6" t="s">
        <v>62</v>
      </c>
    </row>
    <row r="263" spans="1:8" ht="14.25" customHeight="1" x14ac:dyDescent="0.25">
      <c r="A263" s="15">
        <v>46189</v>
      </c>
      <c r="B263" s="9" t="s">
        <v>44</v>
      </c>
      <c r="C263" s="9" t="s">
        <v>58</v>
      </c>
      <c r="D263" s="9" t="s">
        <v>29</v>
      </c>
      <c r="E263" s="9" t="s">
        <v>39</v>
      </c>
      <c r="F263" s="9" t="s">
        <v>61</v>
      </c>
      <c r="G263" s="10">
        <v>10</v>
      </c>
      <c r="H263" s="9" t="s">
        <v>36</v>
      </c>
    </row>
    <row r="264" spans="1:8" ht="14.25" customHeight="1" x14ac:dyDescent="0.25">
      <c r="A264" s="14">
        <v>46190</v>
      </c>
      <c r="B264" s="6" t="s">
        <v>76</v>
      </c>
      <c r="C264" s="6" t="s">
        <v>74</v>
      </c>
      <c r="D264" s="6" t="s">
        <v>38</v>
      </c>
      <c r="E264" s="6" t="s">
        <v>46</v>
      </c>
      <c r="F264" s="6" t="s">
        <v>66</v>
      </c>
      <c r="G264" s="7">
        <v>4</v>
      </c>
      <c r="H264" s="6" t="s">
        <v>62</v>
      </c>
    </row>
    <row r="265" spans="1:8" ht="14.25" customHeight="1" x14ac:dyDescent="0.25">
      <c r="A265" s="15">
        <v>46227</v>
      </c>
      <c r="B265" s="9" t="s">
        <v>7</v>
      </c>
      <c r="C265" s="9" t="s">
        <v>89</v>
      </c>
      <c r="D265" s="9" t="s">
        <v>56</v>
      </c>
      <c r="E265" s="9" t="s">
        <v>30</v>
      </c>
      <c r="F265" s="9" t="s">
        <v>84</v>
      </c>
      <c r="G265" s="10">
        <v>7</v>
      </c>
      <c r="H265" s="9" t="s">
        <v>62</v>
      </c>
    </row>
    <row r="266" spans="1:8" ht="14.25" customHeight="1" x14ac:dyDescent="0.25">
      <c r="A266" s="14">
        <v>46169</v>
      </c>
      <c r="B266" s="6" t="s">
        <v>10</v>
      </c>
      <c r="C266" s="6" t="s">
        <v>87</v>
      </c>
      <c r="D266" s="6" t="s">
        <v>49</v>
      </c>
      <c r="E266" s="6" t="s">
        <v>39</v>
      </c>
      <c r="F266" s="6" t="s">
        <v>53</v>
      </c>
      <c r="G266" s="7">
        <v>10</v>
      </c>
      <c r="H266" s="6" t="s">
        <v>36</v>
      </c>
    </row>
    <row r="267" spans="1:8" ht="14.25" customHeight="1" x14ac:dyDescent="0.25">
      <c r="A267" s="15">
        <v>46066</v>
      </c>
      <c r="B267" s="9" t="s">
        <v>70</v>
      </c>
      <c r="C267" s="9" t="s">
        <v>58</v>
      </c>
      <c r="D267" s="9" t="s">
        <v>29</v>
      </c>
      <c r="E267" s="9" t="s">
        <v>94</v>
      </c>
      <c r="F267" s="9" t="s">
        <v>47</v>
      </c>
      <c r="G267" s="10">
        <v>10</v>
      </c>
      <c r="H267" s="9" t="s">
        <v>36</v>
      </c>
    </row>
    <row r="268" spans="1:8" ht="14.25" customHeight="1" x14ac:dyDescent="0.25">
      <c r="A268" s="14">
        <v>46053</v>
      </c>
      <c r="B268" s="6" t="s">
        <v>6</v>
      </c>
      <c r="C268" s="6" t="s">
        <v>58</v>
      </c>
      <c r="D268" s="6" t="s">
        <v>56</v>
      </c>
      <c r="E268" s="6" t="s">
        <v>63</v>
      </c>
      <c r="F268" s="6" t="s">
        <v>40</v>
      </c>
      <c r="G268" s="7">
        <v>15</v>
      </c>
      <c r="H268" s="6" t="s">
        <v>62</v>
      </c>
    </row>
    <row r="269" spans="1:8" ht="14.25" customHeight="1" x14ac:dyDescent="0.25">
      <c r="A269" s="15">
        <v>46131</v>
      </c>
      <c r="B269" s="9" t="s">
        <v>6</v>
      </c>
      <c r="C269" s="9" t="s">
        <v>89</v>
      </c>
      <c r="D269" s="9" t="s">
        <v>38</v>
      </c>
      <c r="E269" s="9" t="s">
        <v>82</v>
      </c>
      <c r="F269" s="9" t="s">
        <v>43</v>
      </c>
      <c r="G269" s="10">
        <v>1</v>
      </c>
      <c r="H269" s="9" t="s">
        <v>36</v>
      </c>
    </row>
    <row r="270" spans="1:8" ht="14.25" customHeight="1" x14ac:dyDescent="0.25">
      <c r="A270" s="14">
        <v>46105</v>
      </c>
      <c r="B270" s="6" t="s">
        <v>9</v>
      </c>
      <c r="C270" s="6" t="s">
        <v>89</v>
      </c>
      <c r="D270" s="6" t="s">
        <v>34</v>
      </c>
      <c r="E270" s="6" t="s">
        <v>57</v>
      </c>
      <c r="F270" s="6" t="s">
        <v>31</v>
      </c>
      <c r="G270" s="7">
        <v>2</v>
      </c>
      <c r="H270" s="6" t="s">
        <v>54</v>
      </c>
    </row>
    <row r="271" spans="1:8" ht="14.25" customHeight="1" x14ac:dyDescent="0.25">
      <c r="A271" s="15">
        <v>46235</v>
      </c>
      <c r="B271" s="9" t="s">
        <v>10</v>
      </c>
      <c r="C271" s="9" t="s">
        <v>74</v>
      </c>
      <c r="D271" s="9" t="s">
        <v>49</v>
      </c>
      <c r="E271" s="9" t="s">
        <v>72</v>
      </c>
      <c r="F271" s="9" t="s">
        <v>78</v>
      </c>
      <c r="G271" s="10">
        <v>12</v>
      </c>
      <c r="H271" s="9" t="s">
        <v>54</v>
      </c>
    </row>
    <row r="272" spans="1:8" ht="14.25" customHeight="1" x14ac:dyDescent="0.25">
      <c r="A272" s="14">
        <v>46178</v>
      </c>
      <c r="B272" s="6" t="s">
        <v>90</v>
      </c>
      <c r="C272" s="6" t="s">
        <v>58</v>
      </c>
      <c r="D272" s="6" t="s">
        <v>56</v>
      </c>
      <c r="E272" s="6" t="s">
        <v>50</v>
      </c>
      <c r="F272" s="6" t="s">
        <v>61</v>
      </c>
      <c r="G272" s="7">
        <v>15</v>
      </c>
      <c r="H272" s="6" t="s">
        <v>32</v>
      </c>
    </row>
    <row r="273" spans="1:8" ht="14.25" customHeight="1" x14ac:dyDescent="0.25">
      <c r="A273" s="15">
        <v>46190</v>
      </c>
      <c r="B273" s="9" t="s">
        <v>7</v>
      </c>
      <c r="C273" s="9" t="s">
        <v>37</v>
      </c>
      <c r="D273" s="9" t="s">
        <v>49</v>
      </c>
      <c r="E273" s="9" t="s">
        <v>95</v>
      </c>
      <c r="F273" s="9" t="s">
        <v>61</v>
      </c>
      <c r="G273" s="10">
        <v>13</v>
      </c>
      <c r="H273" s="9" t="s">
        <v>62</v>
      </c>
    </row>
    <row r="274" spans="1:8" ht="14.25" customHeight="1" x14ac:dyDescent="0.25">
      <c r="A274" s="14">
        <v>46110</v>
      </c>
      <c r="B274" s="6" t="s">
        <v>88</v>
      </c>
      <c r="C274" s="6" t="s">
        <v>89</v>
      </c>
      <c r="D274" s="6" t="s">
        <v>38</v>
      </c>
      <c r="E274" s="6" t="s">
        <v>39</v>
      </c>
      <c r="F274" s="6" t="s">
        <v>31</v>
      </c>
      <c r="G274" s="7">
        <v>3</v>
      </c>
      <c r="H274" s="6" t="s">
        <v>54</v>
      </c>
    </row>
    <row r="275" spans="1:8" ht="14.25" customHeight="1" x14ac:dyDescent="0.25">
      <c r="A275" s="15">
        <v>46208</v>
      </c>
      <c r="B275" s="9" t="s">
        <v>83</v>
      </c>
      <c r="C275" s="9" t="s">
        <v>28</v>
      </c>
      <c r="D275" s="9" t="s">
        <v>49</v>
      </c>
      <c r="E275" s="9" t="s">
        <v>95</v>
      </c>
      <c r="F275" s="9" t="s">
        <v>84</v>
      </c>
      <c r="G275" s="10">
        <v>3</v>
      </c>
      <c r="H275" s="9" t="s">
        <v>54</v>
      </c>
    </row>
    <row r="276" spans="1:8" ht="14.25" customHeight="1" x14ac:dyDescent="0.25">
      <c r="A276" s="14">
        <v>46097</v>
      </c>
      <c r="B276" s="6" t="s">
        <v>15</v>
      </c>
      <c r="C276" s="6" t="s">
        <v>37</v>
      </c>
      <c r="D276" s="6" t="s">
        <v>29</v>
      </c>
      <c r="E276" s="6" t="s">
        <v>63</v>
      </c>
      <c r="F276" s="6" t="s">
        <v>51</v>
      </c>
      <c r="G276" s="7">
        <v>12</v>
      </c>
      <c r="H276" s="6" t="s">
        <v>62</v>
      </c>
    </row>
    <row r="277" spans="1:8" ht="14.25" customHeight="1" x14ac:dyDescent="0.25">
      <c r="A277" s="15">
        <v>46199</v>
      </c>
      <c r="B277" s="9" t="s">
        <v>52</v>
      </c>
      <c r="C277" s="9" t="s">
        <v>28</v>
      </c>
      <c r="D277" s="9" t="s">
        <v>49</v>
      </c>
      <c r="E277" s="9" t="s">
        <v>82</v>
      </c>
      <c r="F277" s="9" t="s">
        <v>40</v>
      </c>
      <c r="G277" s="10">
        <v>8</v>
      </c>
      <c r="H277" s="9" t="s">
        <v>54</v>
      </c>
    </row>
    <row r="278" spans="1:8" ht="14.25" customHeight="1" x14ac:dyDescent="0.25">
      <c r="A278" s="14">
        <v>46111</v>
      </c>
      <c r="B278" s="6" t="s">
        <v>85</v>
      </c>
      <c r="C278" s="6" t="s">
        <v>89</v>
      </c>
      <c r="D278" s="6" t="s">
        <v>49</v>
      </c>
      <c r="E278" s="6" t="s">
        <v>94</v>
      </c>
      <c r="F278" s="6" t="s">
        <v>84</v>
      </c>
      <c r="G278" s="7">
        <v>4</v>
      </c>
      <c r="H278" s="6" t="s">
        <v>32</v>
      </c>
    </row>
    <row r="279" spans="1:8" ht="14.25" customHeight="1" x14ac:dyDescent="0.25">
      <c r="A279" s="15">
        <v>46094</v>
      </c>
      <c r="B279" s="9" t="s">
        <v>7</v>
      </c>
      <c r="C279" s="9" t="s">
        <v>71</v>
      </c>
      <c r="D279" s="9" t="s">
        <v>38</v>
      </c>
      <c r="E279" s="9" t="s">
        <v>39</v>
      </c>
      <c r="F279" s="9" t="s">
        <v>64</v>
      </c>
      <c r="G279" s="10">
        <v>9</v>
      </c>
      <c r="H279" s="9" t="s">
        <v>36</v>
      </c>
    </row>
    <row r="280" spans="1:8" ht="14.25" customHeight="1" x14ac:dyDescent="0.25">
      <c r="A280" s="14">
        <v>46031</v>
      </c>
      <c r="B280" s="6" t="s">
        <v>52</v>
      </c>
      <c r="C280" s="6" t="s">
        <v>37</v>
      </c>
      <c r="D280" s="6" t="s">
        <v>34</v>
      </c>
      <c r="E280" s="6" t="s">
        <v>46</v>
      </c>
      <c r="F280" s="6" t="s">
        <v>40</v>
      </c>
      <c r="G280" s="7">
        <v>7</v>
      </c>
      <c r="H280" s="6" t="s">
        <v>54</v>
      </c>
    </row>
    <row r="281" spans="1:8" ht="14.25" customHeight="1" x14ac:dyDescent="0.25">
      <c r="A281" s="15">
        <v>46174</v>
      </c>
      <c r="B281" s="9" t="s">
        <v>52</v>
      </c>
      <c r="C281" s="9" t="s">
        <v>28</v>
      </c>
      <c r="D281" s="9" t="s">
        <v>56</v>
      </c>
      <c r="E281" s="9" t="s">
        <v>46</v>
      </c>
      <c r="F281" s="9" t="s">
        <v>51</v>
      </c>
      <c r="G281" s="10">
        <v>8</v>
      </c>
      <c r="H281" s="9" t="s">
        <v>32</v>
      </c>
    </row>
    <row r="282" spans="1:8" ht="14.25" customHeight="1" x14ac:dyDescent="0.25">
      <c r="A282" s="14">
        <v>46168</v>
      </c>
      <c r="B282" s="6" t="s">
        <v>12</v>
      </c>
      <c r="C282" s="6" t="s">
        <v>58</v>
      </c>
      <c r="D282" s="6" t="s">
        <v>56</v>
      </c>
      <c r="E282" s="6" t="s">
        <v>39</v>
      </c>
      <c r="F282" s="6" t="s">
        <v>91</v>
      </c>
      <c r="G282" s="7">
        <v>6</v>
      </c>
      <c r="H282" s="6" t="s">
        <v>32</v>
      </c>
    </row>
    <row r="283" spans="1:8" ht="14.25" customHeight="1" x14ac:dyDescent="0.25">
      <c r="A283" s="15">
        <v>46059</v>
      </c>
      <c r="B283" s="9" t="s">
        <v>9</v>
      </c>
      <c r="C283" s="9" t="s">
        <v>28</v>
      </c>
      <c r="D283" s="9" t="s">
        <v>34</v>
      </c>
      <c r="E283" s="9" t="s">
        <v>46</v>
      </c>
      <c r="F283" s="9" t="s">
        <v>43</v>
      </c>
      <c r="G283" s="10">
        <v>3</v>
      </c>
      <c r="H283" s="9" t="s">
        <v>32</v>
      </c>
    </row>
    <row r="284" spans="1:8" ht="14.25" customHeight="1" x14ac:dyDescent="0.25">
      <c r="A284" s="14">
        <v>46088</v>
      </c>
      <c r="B284" s="6" t="s">
        <v>67</v>
      </c>
      <c r="C284" s="6" t="s">
        <v>93</v>
      </c>
      <c r="D284" s="6" t="s">
        <v>29</v>
      </c>
      <c r="E284" s="6" t="s">
        <v>63</v>
      </c>
      <c r="F284" s="6" t="s">
        <v>53</v>
      </c>
      <c r="G284" s="7">
        <v>3</v>
      </c>
      <c r="H284" s="6" t="s">
        <v>54</v>
      </c>
    </row>
    <row r="285" spans="1:8" ht="14.25" customHeight="1" x14ac:dyDescent="0.25">
      <c r="A285" s="15">
        <v>46032</v>
      </c>
      <c r="B285" s="9" t="s">
        <v>92</v>
      </c>
      <c r="C285" s="9" t="s">
        <v>28</v>
      </c>
      <c r="D285" s="9" t="s">
        <v>29</v>
      </c>
      <c r="E285" s="9" t="s">
        <v>39</v>
      </c>
      <c r="F285" s="9" t="s">
        <v>84</v>
      </c>
      <c r="G285" s="10">
        <v>7</v>
      </c>
      <c r="H285" s="9" t="s">
        <v>32</v>
      </c>
    </row>
    <row r="286" spans="1:8" ht="14.25" customHeight="1" x14ac:dyDescent="0.25">
      <c r="A286" s="14">
        <v>46125</v>
      </c>
      <c r="B286" s="6" t="s">
        <v>68</v>
      </c>
      <c r="C286" s="6" t="s">
        <v>28</v>
      </c>
      <c r="D286" s="6" t="s">
        <v>49</v>
      </c>
      <c r="E286" s="6" t="s">
        <v>46</v>
      </c>
      <c r="F286" s="6" t="s">
        <v>84</v>
      </c>
      <c r="G286" s="7">
        <v>5</v>
      </c>
      <c r="H286" s="6" t="s">
        <v>62</v>
      </c>
    </row>
    <row r="287" spans="1:8" ht="14.25" customHeight="1" x14ac:dyDescent="0.25">
      <c r="A287" s="15">
        <v>46049</v>
      </c>
      <c r="B287" s="9" t="s">
        <v>68</v>
      </c>
      <c r="C287" s="9" t="s">
        <v>77</v>
      </c>
      <c r="D287" s="9" t="s">
        <v>29</v>
      </c>
      <c r="E287" s="9" t="s">
        <v>63</v>
      </c>
      <c r="F287" s="9" t="s">
        <v>66</v>
      </c>
      <c r="G287" s="10">
        <v>3</v>
      </c>
      <c r="H287" s="9" t="s">
        <v>36</v>
      </c>
    </row>
    <row r="288" spans="1:8" ht="14.25" customHeight="1" x14ac:dyDescent="0.25">
      <c r="A288" s="14">
        <v>46138</v>
      </c>
      <c r="B288" s="6" t="s">
        <v>10</v>
      </c>
      <c r="C288" s="6" t="s">
        <v>87</v>
      </c>
      <c r="D288" s="6" t="s">
        <v>29</v>
      </c>
      <c r="E288" s="6" t="s">
        <v>46</v>
      </c>
      <c r="F288" s="6" t="s">
        <v>31</v>
      </c>
      <c r="G288" s="7">
        <v>12</v>
      </c>
      <c r="H288" s="6" t="s">
        <v>36</v>
      </c>
    </row>
    <row r="289" spans="1:8" ht="14.25" customHeight="1" x14ac:dyDescent="0.25">
      <c r="A289" s="15">
        <v>46193</v>
      </c>
      <c r="B289" s="9" t="s">
        <v>76</v>
      </c>
      <c r="C289" s="9" t="s">
        <v>28</v>
      </c>
      <c r="D289" s="9" t="s">
        <v>49</v>
      </c>
      <c r="E289" s="9" t="s">
        <v>39</v>
      </c>
      <c r="F289" s="9" t="s">
        <v>47</v>
      </c>
      <c r="G289" s="10">
        <v>9</v>
      </c>
      <c r="H289" s="9" t="s">
        <v>36</v>
      </c>
    </row>
    <row r="290" spans="1:8" ht="14.25" customHeight="1" x14ac:dyDescent="0.25">
      <c r="A290" s="14">
        <v>46124</v>
      </c>
      <c r="B290" s="6" t="s">
        <v>88</v>
      </c>
      <c r="C290" s="6" t="s">
        <v>58</v>
      </c>
      <c r="D290" s="6" t="s">
        <v>29</v>
      </c>
      <c r="E290" s="6" t="s">
        <v>63</v>
      </c>
      <c r="F290" s="6" t="s">
        <v>59</v>
      </c>
      <c r="G290" s="7">
        <v>3</v>
      </c>
      <c r="H290" s="6" t="s">
        <v>62</v>
      </c>
    </row>
    <row r="291" spans="1:8" ht="14.25" customHeight="1" x14ac:dyDescent="0.25">
      <c r="A291" s="15">
        <v>46028</v>
      </c>
      <c r="B291" s="9" t="s">
        <v>67</v>
      </c>
      <c r="C291" s="9" t="s">
        <v>58</v>
      </c>
      <c r="D291" s="9" t="s">
        <v>29</v>
      </c>
      <c r="E291" s="9" t="s">
        <v>30</v>
      </c>
      <c r="F291" s="9" t="s">
        <v>51</v>
      </c>
      <c r="G291" s="10">
        <v>9</v>
      </c>
      <c r="H291" s="9" t="s">
        <v>32</v>
      </c>
    </row>
    <row r="292" spans="1:8" ht="14.25" customHeight="1" x14ac:dyDescent="0.25">
      <c r="A292" s="14">
        <v>46090</v>
      </c>
      <c r="B292" s="6" t="s">
        <v>79</v>
      </c>
      <c r="C292" s="6" t="s">
        <v>37</v>
      </c>
      <c r="D292" s="6" t="s">
        <v>49</v>
      </c>
      <c r="E292" s="6" t="s">
        <v>72</v>
      </c>
      <c r="F292" s="6" t="s">
        <v>47</v>
      </c>
      <c r="G292" s="7">
        <v>2</v>
      </c>
      <c r="H292" s="6" t="s">
        <v>36</v>
      </c>
    </row>
    <row r="293" spans="1:8" ht="14.25" customHeight="1" x14ac:dyDescent="0.25">
      <c r="A293" s="15">
        <v>46182</v>
      </c>
      <c r="B293" s="9" t="s">
        <v>41</v>
      </c>
      <c r="C293" s="9" t="s">
        <v>71</v>
      </c>
      <c r="D293" s="9" t="s">
        <v>49</v>
      </c>
      <c r="E293" s="9" t="s">
        <v>30</v>
      </c>
      <c r="F293" s="9" t="s">
        <v>78</v>
      </c>
      <c r="G293" s="10">
        <v>6</v>
      </c>
      <c r="H293" s="9" t="s">
        <v>32</v>
      </c>
    </row>
    <row r="294" spans="1:8" ht="14.25" customHeight="1" x14ac:dyDescent="0.25">
      <c r="A294" s="14">
        <v>46091</v>
      </c>
      <c r="B294" s="6" t="s">
        <v>60</v>
      </c>
      <c r="C294" s="6" t="s">
        <v>28</v>
      </c>
      <c r="D294" s="6" t="s">
        <v>34</v>
      </c>
      <c r="E294" s="6" t="s">
        <v>95</v>
      </c>
      <c r="F294" s="6" t="s">
        <v>91</v>
      </c>
      <c r="G294" s="7">
        <v>14</v>
      </c>
      <c r="H294" s="6" t="s">
        <v>36</v>
      </c>
    </row>
    <row r="295" spans="1:8" ht="14.25" customHeight="1" x14ac:dyDescent="0.25">
      <c r="A295" s="15">
        <v>46037</v>
      </c>
      <c r="B295" s="9" t="s">
        <v>33</v>
      </c>
      <c r="C295" s="9" t="s">
        <v>28</v>
      </c>
      <c r="D295" s="9" t="s">
        <v>29</v>
      </c>
      <c r="E295" s="9" t="s">
        <v>82</v>
      </c>
      <c r="F295" s="9" t="s">
        <v>78</v>
      </c>
      <c r="G295" s="10">
        <v>7</v>
      </c>
      <c r="H295" s="9" t="s">
        <v>54</v>
      </c>
    </row>
    <row r="296" spans="1:8" ht="14.25" customHeight="1" x14ac:dyDescent="0.25">
      <c r="A296" s="14">
        <v>46073</v>
      </c>
      <c r="B296" s="6" t="s">
        <v>41</v>
      </c>
      <c r="C296" s="6" t="s">
        <v>89</v>
      </c>
      <c r="D296" s="6" t="s">
        <v>29</v>
      </c>
      <c r="E296" s="6" t="s">
        <v>72</v>
      </c>
      <c r="F296" s="6" t="s">
        <v>84</v>
      </c>
      <c r="G296" s="7">
        <v>8</v>
      </c>
      <c r="H296" s="6" t="s">
        <v>62</v>
      </c>
    </row>
    <row r="297" spans="1:8" ht="14.25" customHeight="1" x14ac:dyDescent="0.25">
      <c r="A297" s="15">
        <v>46147</v>
      </c>
      <c r="B297" s="9" t="s">
        <v>70</v>
      </c>
      <c r="C297" s="9" t="s">
        <v>71</v>
      </c>
      <c r="D297" s="9" t="s">
        <v>29</v>
      </c>
      <c r="E297" s="9" t="s">
        <v>82</v>
      </c>
      <c r="F297" s="9" t="s">
        <v>47</v>
      </c>
      <c r="G297" s="10">
        <v>1</v>
      </c>
      <c r="H297" s="9" t="s">
        <v>62</v>
      </c>
    </row>
    <row r="298" spans="1:8" ht="14.25" customHeight="1" x14ac:dyDescent="0.25">
      <c r="A298" s="14">
        <v>46068</v>
      </c>
      <c r="B298" s="6" t="s">
        <v>90</v>
      </c>
      <c r="C298" s="6" t="s">
        <v>28</v>
      </c>
      <c r="D298" s="6" t="s">
        <v>29</v>
      </c>
      <c r="E298" s="6" t="s">
        <v>39</v>
      </c>
      <c r="F298" s="6" t="s">
        <v>64</v>
      </c>
      <c r="G298" s="7">
        <v>9</v>
      </c>
      <c r="H298" s="6" t="s">
        <v>32</v>
      </c>
    </row>
    <row r="299" spans="1:8" ht="14.25" customHeight="1" x14ac:dyDescent="0.25">
      <c r="A299" s="15">
        <v>46163</v>
      </c>
      <c r="B299" s="9" t="s">
        <v>70</v>
      </c>
      <c r="C299" s="9" t="s">
        <v>45</v>
      </c>
      <c r="D299" s="9" t="s">
        <v>29</v>
      </c>
      <c r="E299" s="9" t="s">
        <v>69</v>
      </c>
      <c r="F299" s="9" t="s">
        <v>64</v>
      </c>
      <c r="G299" s="10">
        <v>1</v>
      </c>
      <c r="H299" s="9" t="s">
        <v>54</v>
      </c>
    </row>
    <row r="300" spans="1:8" ht="14.25" customHeight="1" x14ac:dyDescent="0.25">
      <c r="A300" s="14">
        <v>46236</v>
      </c>
      <c r="B300" s="6" t="s">
        <v>6</v>
      </c>
      <c r="C300" s="6" t="s">
        <v>58</v>
      </c>
      <c r="D300" s="6" t="s">
        <v>29</v>
      </c>
      <c r="E300" s="6" t="s">
        <v>35</v>
      </c>
      <c r="F300" s="6" t="s">
        <v>61</v>
      </c>
      <c r="G300" s="7">
        <v>14</v>
      </c>
      <c r="H300" s="6" t="s">
        <v>54</v>
      </c>
    </row>
    <row r="301" spans="1:8" ht="14.25" customHeight="1" x14ac:dyDescent="0.25">
      <c r="A301" s="15">
        <v>46175</v>
      </c>
      <c r="B301" s="9" t="s">
        <v>88</v>
      </c>
      <c r="C301" s="9" t="s">
        <v>77</v>
      </c>
      <c r="D301" s="9" t="s">
        <v>56</v>
      </c>
      <c r="E301" s="9" t="s">
        <v>57</v>
      </c>
      <c r="F301" s="9" t="s">
        <v>51</v>
      </c>
      <c r="G301" s="10">
        <v>7</v>
      </c>
      <c r="H301" s="9" t="s">
        <v>36</v>
      </c>
    </row>
    <row r="302" spans="1:8" ht="14.25" customHeight="1" x14ac:dyDescent="0.25">
      <c r="A302" s="14">
        <v>46076</v>
      </c>
      <c r="B302" s="6" t="s">
        <v>44</v>
      </c>
      <c r="C302" s="6" t="s">
        <v>93</v>
      </c>
      <c r="D302" s="6" t="s">
        <v>34</v>
      </c>
      <c r="E302" s="6" t="s">
        <v>46</v>
      </c>
      <c r="F302" s="6" t="s">
        <v>43</v>
      </c>
      <c r="G302" s="7">
        <v>6</v>
      </c>
      <c r="H302" s="6" t="s">
        <v>32</v>
      </c>
    </row>
    <row r="303" spans="1:8" ht="14.25" customHeight="1" x14ac:dyDescent="0.25">
      <c r="A303" s="15">
        <v>46177</v>
      </c>
      <c r="B303" s="9" t="s">
        <v>6</v>
      </c>
      <c r="C303" s="9" t="s">
        <v>74</v>
      </c>
      <c r="D303" s="9" t="s">
        <v>29</v>
      </c>
      <c r="E303" s="9" t="s">
        <v>46</v>
      </c>
      <c r="F303" s="9" t="s">
        <v>73</v>
      </c>
      <c r="G303" s="10">
        <v>6</v>
      </c>
      <c r="H303" s="9" t="s">
        <v>36</v>
      </c>
    </row>
    <row r="304" spans="1:8" ht="14.25" customHeight="1" x14ac:dyDescent="0.25">
      <c r="A304" s="14">
        <v>46161</v>
      </c>
      <c r="B304" s="6" t="s">
        <v>67</v>
      </c>
      <c r="C304" s="6" t="s">
        <v>77</v>
      </c>
      <c r="D304" s="6" t="s">
        <v>29</v>
      </c>
      <c r="E304" s="6" t="s">
        <v>63</v>
      </c>
      <c r="F304" s="6" t="s">
        <v>73</v>
      </c>
      <c r="G304" s="7">
        <v>4</v>
      </c>
      <c r="H304" s="6" t="s">
        <v>32</v>
      </c>
    </row>
    <row r="305" spans="1:8" ht="14.25" customHeight="1" x14ac:dyDescent="0.25">
      <c r="A305" s="15">
        <v>46200</v>
      </c>
      <c r="B305" s="9" t="s">
        <v>27</v>
      </c>
      <c r="C305" s="9" t="s">
        <v>48</v>
      </c>
      <c r="D305" s="9" t="s">
        <v>49</v>
      </c>
      <c r="E305" s="9" t="s">
        <v>81</v>
      </c>
      <c r="F305" s="9" t="s">
        <v>64</v>
      </c>
      <c r="G305" s="10">
        <v>12</v>
      </c>
      <c r="H305" s="9" t="s">
        <v>54</v>
      </c>
    </row>
    <row r="306" spans="1:8" ht="14.25" customHeight="1" x14ac:dyDescent="0.25">
      <c r="A306" s="14">
        <v>46025</v>
      </c>
      <c r="B306" s="6" t="s">
        <v>44</v>
      </c>
      <c r="C306" s="6" t="s">
        <v>37</v>
      </c>
      <c r="D306" s="6" t="s">
        <v>49</v>
      </c>
      <c r="E306" s="6" t="s">
        <v>46</v>
      </c>
      <c r="F306" s="6" t="s">
        <v>53</v>
      </c>
      <c r="G306" s="7">
        <v>13</v>
      </c>
      <c r="H306" s="6" t="s">
        <v>36</v>
      </c>
    </row>
    <row r="307" spans="1:8" ht="14.25" customHeight="1" x14ac:dyDescent="0.25">
      <c r="A307" s="15">
        <v>46175</v>
      </c>
      <c r="B307" s="9" t="s">
        <v>33</v>
      </c>
      <c r="C307" s="9" t="s">
        <v>58</v>
      </c>
      <c r="D307" s="9" t="s">
        <v>29</v>
      </c>
      <c r="E307" s="9" t="s">
        <v>82</v>
      </c>
      <c r="F307" s="9" t="s">
        <v>64</v>
      </c>
      <c r="G307" s="10">
        <v>6</v>
      </c>
      <c r="H307" s="9" t="s">
        <v>54</v>
      </c>
    </row>
    <row r="308" spans="1:8" ht="14.25" customHeight="1" x14ac:dyDescent="0.25">
      <c r="A308" s="14">
        <v>46127</v>
      </c>
      <c r="B308" s="6" t="s">
        <v>12</v>
      </c>
      <c r="C308" s="6" t="s">
        <v>28</v>
      </c>
      <c r="D308" s="6" t="s">
        <v>38</v>
      </c>
      <c r="E308" s="6" t="s">
        <v>30</v>
      </c>
      <c r="F308" s="6" t="s">
        <v>91</v>
      </c>
      <c r="G308" s="7">
        <v>13</v>
      </c>
      <c r="H308" s="6" t="s">
        <v>36</v>
      </c>
    </row>
    <row r="309" spans="1:8" ht="14.25" customHeight="1" x14ac:dyDescent="0.25">
      <c r="A309" s="15">
        <v>46120</v>
      </c>
      <c r="B309" s="9" t="s">
        <v>27</v>
      </c>
      <c r="C309" s="9" t="s">
        <v>28</v>
      </c>
      <c r="D309" s="9" t="s">
        <v>49</v>
      </c>
      <c r="E309" s="9" t="s">
        <v>35</v>
      </c>
      <c r="F309" s="9" t="s">
        <v>61</v>
      </c>
      <c r="G309" s="10">
        <v>5</v>
      </c>
      <c r="H309" s="9" t="s">
        <v>54</v>
      </c>
    </row>
    <row r="310" spans="1:8" ht="14.25" customHeight="1" x14ac:dyDescent="0.25">
      <c r="A310" s="14">
        <v>46149</v>
      </c>
      <c r="B310" s="6" t="s">
        <v>6</v>
      </c>
      <c r="C310" s="6" t="s">
        <v>71</v>
      </c>
      <c r="D310" s="6" t="s">
        <v>56</v>
      </c>
      <c r="E310" s="6" t="s">
        <v>72</v>
      </c>
      <c r="F310" s="6" t="s">
        <v>40</v>
      </c>
      <c r="G310" s="7">
        <v>2</v>
      </c>
      <c r="H310" s="6" t="s">
        <v>36</v>
      </c>
    </row>
    <row r="311" spans="1:8" ht="14.25" customHeight="1" x14ac:dyDescent="0.25">
      <c r="A311" s="15">
        <v>46171</v>
      </c>
      <c r="B311" s="9" t="s">
        <v>85</v>
      </c>
      <c r="C311" s="9" t="s">
        <v>89</v>
      </c>
      <c r="D311" s="9" t="s">
        <v>29</v>
      </c>
      <c r="E311" s="9" t="s">
        <v>57</v>
      </c>
      <c r="F311" s="9" t="s">
        <v>61</v>
      </c>
      <c r="G311" s="10">
        <v>7</v>
      </c>
      <c r="H311" s="9" t="s">
        <v>36</v>
      </c>
    </row>
    <row r="312" spans="1:8" ht="14.25" customHeight="1" x14ac:dyDescent="0.25">
      <c r="A312" s="14">
        <v>46112</v>
      </c>
      <c r="B312" s="6" t="s">
        <v>5</v>
      </c>
      <c r="C312" s="6" t="s">
        <v>77</v>
      </c>
      <c r="D312" s="6" t="s">
        <v>49</v>
      </c>
      <c r="E312" s="6" t="s">
        <v>50</v>
      </c>
      <c r="F312" s="6" t="s">
        <v>64</v>
      </c>
      <c r="G312" s="7">
        <v>9</v>
      </c>
      <c r="H312" s="6" t="s">
        <v>54</v>
      </c>
    </row>
    <row r="313" spans="1:8" ht="14.25" customHeight="1" x14ac:dyDescent="0.25">
      <c r="A313" s="15">
        <v>46144</v>
      </c>
      <c r="B313" s="9" t="s">
        <v>83</v>
      </c>
      <c r="C313" s="9" t="s">
        <v>28</v>
      </c>
      <c r="D313" s="9" t="s">
        <v>38</v>
      </c>
      <c r="E313" s="9" t="s">
        <v>72</v>
      </c>
      <c r="F313" s="9" t="s">
        <v>31</v>
      </c>
      <c r="G313" s="10">
        <v>6</v>
      </c>
      <c r="H313" s="9" t="s">
        <v>32</v>
      </c>
    </row>
    <row r="314" spans="1:8" ht="14.25" customHeight="1" x14ac:dyDescent="0.25">
      <c r="A314" s="14">
        <v>46142</v>
      </c>
      <c r="B314" s="6" t="s">
        <v>12</v>
      </c>
      <c r="C314" s="6" t="s">
        <v>89</v>
      </c>
      <c r="D314" s="6" t="s">
        <v>34</v>
      </c>
      <c r="E314" s="6" t="s">
        <v>94</v>
      </c>
      <c r="F314" s="6" t="s">
        <v>91</v>
      </c>
      <c r="G314" s="7">
        <v>10</v>
      </c>
      <c r="H314" s="6" t="s">
        <v>62</v>
      </c>
    </row>
    <row r="315" spans="1:8" ht="14.25" customHeight="1" x14ac:dyDescent="0.25">
      <c r="A315" s="15">
        <v>46221</v>
      </c>
      <c r="B315" s="9" t="s">
        <v>76</v>
      </c>
      <c r="C315" s="9" t="s">
        <v>89</v>
      </c>
      <c r="D315" s="9" t="s">
        <v>56</v>
      </c>
      <c r="E315" s="9" t="s">
        <v>94</v>
      </c>
      <c r="F315" s="9" t="s">
        <v>84</v>
      </c>
      <c r="G315" s="10">
        <v>1</v>
      </c>
      <c r="H315" s="9" t="s">
        <v>36</v>
      </c>
    </row>
    <row r="316" spans="1:8" ht="14.25" customHeight="1" x14ac:dyDescent="0.25">
      <c r="A316" s="14">
        <v>46152</v>
      </c>
      <c r="B316" s="6" t="s">
        <v>10</v>
      </c>
      <c r="C316" s="6" t="s">
        <v>71</v>
      </c>
      <c r="D316" s="6" t="s">
        <v>56</v>
      </c>
      <c r="E316" s="6" t="s">
        <v>72</v>
      </c>
      <c r="F316" s="6" t="s">
        <v>31</v>
      </c>
      <c r="G316" s="7">
        <v>13</v>
      </c>
      <c r="H316" s="6" t="s">
        <v>54</v>
      </c>
    </row>
    <row r="317" spans="1:8" ht="14.25" customHeight="1" x14ac:dyDescent="0.25">
      <c r="A317" s="15">
        <v>46070</v>
      </c>
      <c r="B317" s="9" t="s">
        <v>33</v>
      </c>
      <c r="C317" s="9" t="s">
        <v>28</v>
      </c>
      <c r="D317" s="9" t="s">
        <v>56</v>
      </c>
      <c r="E317" s="9" t="s">
        <v>63</v>
      </c>
      <c r="F317" s="9" t="s">
        <v>51</v>
      </c>
      <c r="G317" s="10">
        <v>9</v>
      </c>
      <c r="H317" s="9" t="s">
        <v>54</v>
      </c>
    </row>
    <row r="318" spans="1:8" ht="14.25" customHeight="1" x14ac:dyDescent="0.25">
      <c r="A318" s="14">
        <v>46178</v>
      </c>
      <c r="B318" s="6" t="s">
        <v>15</v>
      </c>
      <c r="C318" s="6" t="s">
        <v>45</v>
      </c>
      <c r="D318" s="6" t="s">
        <v>38</v>
      </c>
      <c r="E318" s="6" t="s">
        <v>46</v>
      </c>
      <c r="F318" s="6" t="s">
        <v>43</v>
      </c>
      <c r="G318" s="7">
        <v>15</v>
      </c>
      <c r="H318" s="6" t="s">
        <v>54</v>
      </c>
    </row>
    <row r="319" spans="1:8" ht="14.25" customHeight="1" x14ac:dyDescent="0.25">
      <c r="A319" s="15">
        <v>46047</v>
      </c>
      <c r="B319" s="9" t="s">
        <v>52</v>
      </c>
      <c r="C319" s="9" t="s">
        <v>74</v>
      </c>
      <c r="D319" s="9" t="s">
        <v>29</v>
      </c>
      <c r="E319" s="9" t="s">
        <v>69</v>
      </c>
      <c r="F319" s="9" t="s">
        <v>51</v>
      </c>
      <c r="G319" s="10">
        <v>14</v>
      </c>
      <c r="H319" s="9" t="s">
        <v>36</v>
      </c>
    </row>
    <row r="320" spans="1:8" ht="14.25" customHeight="1" x14ac:dyDescent="0.25">
      <c r="A320" s="14">
        <v>46151</v>
      </c>
      <c r="B320" s="6" t="s">
        <v>27</v>
      </c>
      <c r="C320" s="6" t="s">
        <v>87</v>
      </c>
      <c r="D320" s="6" t="s">
        <v>49</v>
      </c>
      <c r="E320" s="6" t="s">
        <v>39</v>
      </c>
      <c r="F320" s="6" t="s">
        <v>53</v>
      </c>
      <c r="G320" s="7">
        <v>15</v>
      </c>
      <c r="H320" s="6" t="s">
        <v>36</v>
      </c>
    </row>
    <row r="321" spans="1:8" ht="14.25" customHeight="1" x14ac:dyDescent="0.25">
      <c r="A321" s="15">
        <v>46103</v>
      </c>
      <c r="B321" s="9" t="s">
        <v>60</v>
      </c>
      <c r="C321" s="9" t="s">
        <v>37</v>
      </c>
      <c r="D321" s="9" t="s">
        <v>38</v>
      </c>
      <c r="E321" s="9" t="s">
        <v>46</v>
      </c>
      <c r="F321" s="9" t="s">
        <v>53</v>
      </c>
      <c r="G321" s="10">
        <v>14</v>
      </c>
      <c r="H321" s="9" t="s">
        <v>36</v>
      </c>
    </row>
    <row r="322" spans="1:8" ht="14.25" customHeight="1" x14ac:dyDescent="0.25">
      <c r="A322" s="14">
        <v>46192</v>
      </c>
      <c r="B322" s="6" t="s">
        <v>88</v>
      </c>
      <c r="C322" s="6" t="s">
        <v>71</v>
      </c>
      <c r="D322" s="6" t="s">
        <v>49</v>
      </c>
      <c r="E322" s="6" t="s">
        <v>39</v>
      </c>
      <c r="F322" s="6" t="s">
        <v>84</v>
      </c>
      <c r="G322" s="7">
        <v>6</v>
      </c>
      <c r="H322" s="6" t="s">
        <v>54</v>
      </c>
    </row>
    <row r="323" spans="1:8" ht="14.25" customHeight="1" x14ac:dyDescent="0.25">
      <c r="A323" s="15">
        <v>46037</v>
      </c>
      <c r="B323" s="9" t="s">
        <v>90</v>
      </c>
      <c r="C323" s="9" t="s">
        <v>42</v>
      </c>
      <c r="D323" s="9" t="s">
        <v>29</v>
      </c>
      <c r="E323" s="9" t="s">
        <v>30</v>
      </c>
      <c r="F323" s="9" t="s">
        <v>47</v>
      </c>
      <c r="G323" s="10">
        <v>15</v>
      </c>
      <c r="H323" s="9" t="s">
        <v>62</v>
      </c>
    </row>
    <row r="324" spans="1:8" ht="14.25" customHeight="1" x14ac:dyDescent="0.25">
      <c r="A324" s="14">
        <v>46089</v>
      </c>
      <c r="B324" s="6" t="s">
        <v>41</v>
      </c>
      <c r="C324" s="6" t="s">
        <v>87</v>
      </c>
      <c r="D324" s="6" t="s">
        <v>34</v>
      </c>
      <c r="E324" s="6" t="s">
        <v>80</v>
      </c>
      <c r="F324" s="6" t="s">
        <v>84</v>
      </c>
      <c r="G324" s="7">
        <v>6</v>
      </c>
      <c r="H324" s="6" t="s">
        <v>32</v>
      </c>
    </row>
    <row r="325" spans="1:8" ht="14.25" customHeight="1" x14ac:dyDescent="0.25">
      <c r="A325" s="15">
        <v>46096</v>
      </c>
      <c r="B325" s="9" t="s">
        <v>52</v>
      </c>
      <c r="C325" s="9" t="s">
        <v>45</v>
      </c>
      <c r="D325" s="9" t="s">
        <v>56</v>
      </c>
      <c r="E325" s="9" t="s">
        <v>72</v>
      </c>
      <c r="F325" s="9" t="s">
        <v>53</v>
      </c>
      <c r="G325" s="10">
        <v>10</v>
      </c>
      <c r="H325" s="9" t="s">
        <v>32</v>
      </c>
    </row>
    <row r="326" spans="1:8" ht="14.25" customHeight="1" x14ac:dyDescent="0.25">
      <c r="A326" s="14">
        <v>46124</v>
      </c>
      <c r="B326" s="6" t="s">
        <v>10</v>
      </c>
      <c r="C326" s="6" t="s">
        <v>77</v>
      </c>
      <c r="D326" s="6" t="s">
        <v>49</v>
      </c>
      <c r="E326" s="6" t="s">
        <v>63</v>
      </c>
      <c r="F326" s="6" t="s">
        <v>66</v>
      </c>
      <c r="G326" s="7">
        <v>4</v>
      </c>
      <c r="H326" s="6" t="s">
        <v>36</v>
      </c>
    </row>
    <row r="327" spans="1:8" ht="14.25" customHeight="1" x14ac:dyDescent="0.25">
      <c r="A327" s="15">
        <v>46188</v>
      </c>
      <c r="B327" s="9" t="s">
        <v>90</v>
      </c>
      <c r="C327" s="9" t="s">
        <v>28</v>
      </c>
      <c r="D327" s="9" t="s">
        <v>49</v>
      </c>
      <c r="E327" s="9" t="s">
        <v>82</v>
      </c>
      <c r="F327" s="9" t="s">
        <v>66</v>
      </c>
      <c r="G327" s="10">
        <v>11</v>
      </c>
      <c r="H327" s="9" t="s">
        <v>62</v>
      </c>
    </row>
    <row r="328" spans="1:8" ht="14.25" customHeight="1" x14ac:dyDescent="0.25">
      <c r="A328" s="14">
        <v>46214</v>
      </c>
      <c r="B328" s="6" t="s">
        <v>83</v>
      </c>
      <c r="C328" s="6" t="s">
        <v>45</v>
      </c>
      <c r="D328" s="6" t="s">
        <v>56</v>
      </c>
      <c r="E328" s="6" t="s">
        <v>69</v>
      </c>
      <c r="F328" s="6" t="s">
        <v>78</v>
      </c>
      <c r="G328" s="7">
        <v>4</v>
      </c>
      <c r="H328" s="6" t="s">
        <v>32</v>
      </c>
    </row>
    <row r="329" spans="1:8" ht="14.25" customHeight="1" x14ac:dyDescent="0.25">
      <c r="A329" s="15">
        <v>46216</v>
      </c>
      <c r="B329" s="9" t="s">
        <v>79</v>
      </c>
      <c r="C329" s="9" t="s">
        <v>77</v>
      </c>
      <c r="D329" s="9" t="s">
        <v>49</v>
      </c>
      <c r="E329" s="9" t="s">
        <v>30</v>
      </c>
      <c r="F329" s="9" t="s">
        <v>66</v>
      </c>
      <c r="G329" s="10">
        <v>10</v>
      </c>
      <c r="H329" s="9" t="s">
        <v>54</v>
      </c>
    </row>
    <row r="330" spans="1:8" ht="14.25" customHeight="1" x14ac:dyDescent="0.25">
      <c r="A330" s="14">
        <v>46109</v>
      </c>
      <c r="B330" s="6" t="s">
        <v>76</v>
      </c>
      <c r="C330" s="6" t="s">
        <v>28</v>
      </c>
      <c r="D330" s="6" t="s">
        <v>34</v>
      </c>
      <c r="E330" s="6" t="s">
        <v>80</v>
      </c>
      <c r="F330" s="6" t="s">
        <v>66</v>
      </c>
      <c r="G330" s="7">
        <v>3</v>
      </c>
      <c r="H330" s="6" t="s">
        <v>54</v>
      </c>
    </row>
    <row r="331" spans="1:8" ht="14.25" customHeight="1" x14ac:dyDescent="0.25">
      <c r="A331" s="15">
        <v>46047</v>
      </c>
      <c r="B331" s="9" t="s">
        <v>7</v>
      </c>
      <c r="C331" s="9" t="s">
        <v>37</v>
      </c>
      <c r="D331" s="9" t="s">
        <v>34</v>
      </c>
      <c r="E331" s="9" t="s">
        <v>63</v>
      </c>
      <c r="F331" s="9" t="s">
        <v>51</v>
      </c>
      <c r="G331" s="10">
        <v>5</v>
      </c>
      <c r="H331" s="9" t="s">
        <v>54</v>
      </c>
    </row>
    <row r="332" spans="1:8" ht="14.25" customHeight="1" x14ac:dyDescent="0.25">
      <c r="A332" s="14">
        <v>46128</v>
      </c>
      <c r="B332" s="6" t="s">
        <v>27</v>
      </c>
      <c r="C332" s="6" t="s">
        <v>28</v>
      </c>
      <c r="D332" s="6" t="s">
        <v>34</v>
      </c>
      <c r="E332" s="6" t="s">
        <v>35</v>
      </c>
      <c r="F332" s="6" t="s">
        <v>78</v>
      </c>
      <c r="G332" s="7">
        <v>10</v>
      </c>
      <c r="H332" s="6" t="s">
        <v>62</v>
      </c>
    </row>
    <row r="333" spans="1:8" ht="14.25" customHeight="1" x14ac:dyDescent="0.25">
      <c r="A333" s="15">
        <v>46041</v>
      </c>
      <c r="B333" s="9" t="s">
        <v>5</v>
      </c>
      <c r="C333" s="9" t="s">
        <v>37</v>
      </c>
      <c r="D333" s="9" t="s">
        <v>38</v>
      </c>
      <c r="E333" s="9" t="s">
        <v>63</v>
      </c>
      <c r="F333" s="9" t="s">
        <v>84</v>
      </c>
      <c r="G333" s="10">
        <v>5</v>
      </c>
      <c r="H333" s="9" t="s">
        <v>62</v>
      </c>
    </row>
    <row r="334" spans="1:8" ht="14.25" customHeight="1" x14ac:dyDescent="0.25">
      <c r="A334" s="14">
        <v>46142</v>
      </c>
      <c r="B334" s="6" t="s">
        <v>9</v>
      </c>
      <c r="C334" s="6" t="s">
        <v>71</v>
      </c>
      <c r="D334" s="6" t="s">
        <v>38</v>
      </c>
      <c r="E334" s="6" t="s">
        <v>39</v>
      </c>
      <c r="F334" s="6" t="s">
        <v>64</v>
      </c>
      <c r="G334" s="7">
        <v>7</v>
      </c>
      <c r="H334" s="6" t="s">
        <v>32</v>
      </c>
    </row>
    <row r="335" spans="1:8" ht="14.25" customHeight="1" x14ac:dyDescent="0.25">
      <c r="A335" s="15">
        <v>46167</v>
      </c>
      <c r="B335" s="9" t="s">
        <v>5</v>
      </c>
      <c r="C335" s="9" t="s">
        <v>58</v>
      </c>
      <c r="D335" s="9" t="s">
        <v>34</v>
      </c>
      <c r="E335" s="9" t="s">
        <v>30</v>
      </c>
      <c r="F335" s="9" t="s">
        <v>53</v>
      </c>
      <c r="G335" s="10">
        <v>5</v>
      </c>
      <c r="H335" s="9" t="s">
        <v>54</v>
      </c>
    </row>
    <row r="336" spans="1:8" ht="14.25" customHeight="1" x14ac:dyDescent="0.25">
      <c r="A336" s="14">
        <v>46042</v>
      </c>
      <c r="B336" s="6" t="s">
        <v>7</v>
      </c>
      <c r="C336" s="6" t="s">
        <v>77</v>
      </c>
      <c r="D336" s="6" t="s">
        <v>38</v>
      </c>
      <c r="E336" s="6" t="s">
        <v>63</v>
      </c>
      <c r="F336" s="6" t="s">
        <v>91</v>
      </c>
      <c r="G336" s="7">
        <v>4</v>
      </c>
      <c r="H336" s="6" t="s">
        <v>54</v>
      </c>
    </row>
    <row r="337" spans="1:8" ht="14.25" customHeight="1" x14ac:dyDescent="0.25">
      <c r="A337" s="15">
        <v>46173</v>
      </c>
      <c r="B337" s="9" t="s">
        <v>33</v>
      </c>
      <c r="C337" s="9" t="s">
        <v>28</v>
      </c>
      <c r="D337" s="9" t="s">
        <v>29</v>
      </c>
      <c r="E337" s="9" t="s">
        <v>46</v>
      </c>
      <c r="F337" s="9" t="s">
        <v>73</v>
      </c>
      <c r="G337" s="10">
        <v>10</v>
      </c>
      <c r="H337" s="9" t="s">
        <v>32</v>
      </c>
    </row>
    <row r="338" spans="1:8" ht="14.25" customHeight="1" x14ac:dyDescent="0.25">
      <c r="A338" s="14">
        <v>46030</v>
      </c>
      <c r="B338" s="6" t="s">
        <v>76</v>
      </c>
      <c r="C338" s="6" t="s">
        <v>45</v>
      </c>
      <c r="D338" s="6" t="s">
        <v>38</v>
      </c>
      <c r="E338" s="6" t="s">
        <v>46</v>
      </c>
      <c r="F338" s="6" t="s">
        <v>78</v>
      </c>
      <c r="G338" s="7">
        <v>12</v>
      </c>
      <c r="H338" s="6" t="s">
        <v>36</v>
      </c>
    </row>
    <row r="339" spans="1:8" ht="14.25" customHeight="1" x14ac:dyDescent="0.25">
      <c r="A339" s="15">
        <v>46157</v>
      </c>
      <c r="B339" s="9" t="s">
        <v>52</v>
      </c>
      <c r="C339" s="9" t="s">
        <v>28</v>
      </c>
      <c r="D339" s="9" t="s">
        <v>29</v>
      </c>
      <c r="E339" s="9" t="s">
        <v>39</v>
      </c>
      <c r="F339" s="9" t="s">
        <v>53</v>
      </c>
      <c r="G339" s="10">
        <v>8</v>
      </c>
      <c r="H339" s="9" t="s">
        <v>32</v>
      </c>
    </row>
    <row r="340" spans="1:8" ht="14.25" customHeight="1" x14ac:dyDescent="0.25">
      <c r="A340" s="14">
        <v>46035</v>
      </c>
      <c r="B340" s="6" t="s">
        <v>10</v>
      </c>
      <c r="C340" s="6" t="s">
        <v>58</v>
      </c>
      <c r="D340" s="6" t="s">
        <v>56</v>
      </c>
      <c r="E340" s="6" t="s">
        <v>57</v>
      </c>
      <c r="F340" s="6" t="s">
        <v>31</v>
      </c>
      <c r="G340" s="7">
        <v>4</v>
      </c>
      <c r="H340" s="6" t="s">
        <v>62</v>
      </c>
    </row>
    <row r="341" spans="1:8" ht="14.25" customHeight="1" x14ac:dyDescent="0.25">
      <c r="A341" s="15">
        <v>46109</v>
      </c>
      <c r="B341" s="9" t="s">
        <v>52</v>
      </c>
      <c r="C341" s="9" t="s">
        <v>87</v>
      </c>
      <c r="D341" s="9" t="s">
        <v>38</v>
      </c>
      <c r="E341" s="9" t="s">
        <v>46</v>
      </c>
      <c r="F341" s="9" t="s">
        <v>73</v>
      </c>
      <c r="G341" s="10">
        <v>13</v>
      </c>
      <c r="H341" s="9" t="s">
        <v>32</v>
      </c>
    </row>
    <row r="342" spans="1:8" ht="14.25" customHeight="1" x14ac:dyDescent="0.25">
      <c r="A342" s="14">
        <v>46219</v>
      </c>
      <c r="B342" s="6" t="s">
        <v>41</v>
      </c>
      <c r="C342" s="6" t="s">
        <v>28</v>
      </c>
      <c r="D342" s="6" t="s">
        <v>56</v>
      </c>
      <c r="E342" s="6" t="s">
        <v>80</v>
      </c>
      <c r="F342" s="6" t="s">
        <v>73</v>
      </c>
      <c r="G342" s="7">
        <v>14</v>
      </c>
      <c r="H342" s="6" t="s">
        <v>36</v>
      </c>
    </row>
    <row r="343" spans="1:8" ht="14.25" customHeight="1" x14ac:dyDescent="0.25">
      <c r="A343" s="15">
        <v>46042</v>
      </c>
      <c r="B343" s="9" t="s">
        <v>41</v>
      </c>
      <c r="C343" s="9" t="s">
        <v>42</v>
      </c>
      <c r="D343" s="9" t="s">
        <v>38</v>
      </c>
      <c r="E343" s="9" t="s">
        <v>94</v>
      </c>
      <c r="F343" s="9" t="s">
        <v>43</v>
      </c>
      <c r="G343" s="10">
        <v>1</v>
      </c>
      <c r="H343" s="9" t="s">
        <v>54</v>
      </c>
    </row>
    <row r="344" spans="1:8" ht="14.25" customHeight="1" x14ac:dyDescent="0.25">
      <c r="A344" s="14">
        <v>46227</v>
      </c>
      <c r="B344" s="6" t="s">
        <v>85</v>
      </c>
      <c r="C344" s="6" t="s">
        <v>58</v>
      </c>
      <c r="D344" s="6" t="s">
        <v>29</v>
      </c>
      <c r="E344" s="6" t="s">
        <v>80</v>
      </c>
      <c r="F344" s="6" t="s">
        <v>64</v>
      </c>
      <c r="G344" s="7">
        <v>15</v>
      </c>
      <c r="H344" s="6" t="s">
        <v>54</v>
      </c>
    </row>
    <row r="345" spans="1:8" ht="14.25" customHeight="1" x14ac:dyDescent="0.25">
      <c r="A345" s="15">
        <v>46180</v>
      </c>
      <c r="B345" s="9" t="s">
        <v>15</v>
      </c>
      <c r="C345" s="9" t="s">
        <v>71</v>
      </c>
      <c r="D345" s="9" t="s">
        <v>38</v>
      </c>
      <c r="E345" s="9" t="s">
        <v>39</v>
      </c>
      <c r="F345" s="9" t="s">
        <v>84</v>
      </c>
      <c r="G345" s="10">
        <v>13</v>
      </c>
      <c r="H345" s="9" t="s">
        <v>32</v>
      </c>
    </row>
    <row r="346" spans="1:8" ht="14.25" customHeight="1" x14ac:dyDescent="0.25">
      <c r="A346" s="14">
        <v>46046</v>
      </c>
      <c r="B346" s="6" t="s">
        <v>52</v>
      </c>
      <c r="C346" s="6" t="s">
        <v>58</v>
      </c>
      <c r="D346" s="6" t="s">
        <v>49</v>
      </c>
      <c r="E346" s="6" t="s">
        <v>46</v>
      </c>
      <c r="F346" s="6" t="s">
        <v>61</v>
      </c>
      <c r="G346" s="7">
        <v>8</v>
      </c>
      <c r="H346" s="6" t="s">
        <v>32</v>
      </c>
    </row>
    <row r="347" spans="1:8" ht="14.25" customHeight="1" x14ac:dyDescent="0.25">
      <c r="A347" s="15">
        <v>46078</v>
      </c>
      <c r="B347" s="9" t="s">
        <v>41</v>
      </c>
      <c r="C347" s="9" t="s">
        <v>42</v>
      </c>
      <c r="D347" s="9" t="s">
        <v>38</v>
      </c>
      <c r="E347" s="9" t="s">
        <v>72</v>
      </c>
      <c r="F347" s="9" t="s">
        <v>47</v>
      </c>
      <c r="G347" s="10">
        <v>8</v>
      </c>
      <c r="H347" s="9" t="s">
        <v>54</v>
      </c>
    </row>
    <row r="348" spans="1:8" ht="14.25" customHeight="1" x14ac:dyDescent="0.25">
      <c r="A348" s="14">
        <v>46142</v>
      </c>
      <c r="B348" s="6" t="s">
        <v>85</v>
      </c>
      <c r="C348" s="6" t="s">
        <v>93</v>
      </c>
      <c r="D348" s="6" t="s">
        <v>34</v>
      </c>
      <c r="E348" s="6" t="s">
        <v>35</v>
      </c>
      <c r="F348" s="6" t="s">
        <v>61</v>
      </c>
      <c r="G348" s="7">
        <v>10</v>
      </c>
      <c r="H348" s="6" t="s">
        <v>62</v>
      </c>
    </row>
    <row r="349" spans="1:8" ht="14.25" customHeight="1" x14ac:dyDescent="0.25">
      <c r="A349" s="15">
        <v>46025</v>
      </c>
      <c r="B349" s="9" t="s">
        <v>33</v>
      </c>
      <c r="C349" s="9" t="s">
        <v>45</v>
      </c>
      <c r="D349" s="9" t="s">
        <v>49</v>
      </c>
      <c r="E349" s="9" t="s">
        <v>63</v>
      </c>
      <c r="F349" s="9" t="s">
        <v>31</v>
      </c>
      <c r="G349" s="10">
        <v>14</v>
      </c>
      <c r="H349" s="9" t="s">
        <v>54</v>
      </c>
    </row>
    <row r="350" spans="1:8" ht="14.25" customHeight="1" x14ac:dyDescent="0.25">
      <c r="A350" s="14">
        <v>46183</v>
      </c>
      <c r="B350" s="6" t="s">
        <v>6</v>
      </c>
      <c r="C350" s="6" t="s">
        <v>89</v>
      </c>
      <c r="D350" s="6" t="s">
        <v>56</v>
      </c>
      <c r="E350" s="6" t="s">
        <v>69</v>
      </c>
      <c r="F350" s="6" t="s">
        <v>91</v>
      </c>
      <c r="G350" s="7">
        <v>1</v>
      </c>
      <c r="H350" s="6" t="s">
        <v>54</v>
      </c>
    </row>
    <row r="351" spans="1:8" ht="14.25" customHeight="1" x14ac:dyDescent="0.25">
      <c r="A351" s="15">
        <v>46080</v>
      </c>
      <c r="B351" s="9" t="s">
        <v>5</v>
      </c>
      <c r="C351" s="9" t="s">
        <v>71</v>
      </c>
      <c r="D351" s="9" t="s">
        <v>29</v>
      </c>
      <c r="E351" s="9" t="s">
        <v>94</v>
      </c>
      <c r="F351" s="9" t="s">
        <v>47</v>
      </c>
      <c r="G351" s="10">
        <v>11</v>
      </c>
      <c r="H351" s="9" t="s">
        <v>36</v>
      </c>
    </row>
    <row r="352" spans="1:8" ht="14.25" customHeight="1" x14ac:dyDescent="0.25">
      <c r="A352" s="14">
        <v>46201</v>
      </c>
      <c r="B352" s="6" t="s">
        <v>44</v>
      </c>
      <c r="C352" s="6" t="s">
        <v>42</v>
      </c>
      <c r="D352" s="6" t="s">
        <v>49</v>
      </c>
      <c r="E352" s="6" t="s">
        <v>57</v>
      </c>
      <c r="F352" s="6" t="s">
        <v>31</v>
      </c>
      <c r="G352" s="7">
        <v>8</v>
      </c>
      <c r="H352" s="6" t="s">
        <v>36</v>
      </c>
    </row>
    <row r="353" spans="1:8" ht="14.25" customHeight="1" x14ac:dyDescent="0.25">
      <c r="A353" s="15">
        <v>46058</v>
      </c>
      <c r="B353" s="9" t="s">
        <v>5</v>
      </c>
      <c r="C353" s="9" t="s">
        <v>42</v>
      </c>
      <c r="D353" s="9" t="s">
        <v>56</v>
      </c>
      <c r="E353" s="9" t="s">
        <v>39</v>
      </c>
      <c r="F353" s="9" t="s">
        <v>64</v>
      </c>
      <c r="G353" s="10">
        <v>13</v>
      </c>
      <c r="H353" s="9" t="s">
        <v>54</v>
      </c>
    </row>
    <row r="354" spans="1:8" ht="14.25" customHeight="1" x14ac:dyDescent="0.25">
      <c r="A354" s="14">
        <v>46129</v>
      </c>
      <c r="B354" s="6" t="s">
        <v>88</v>
      </c>
      <c r="C354" s="6" t="s">
        <v>42</v>
      </c>
      <c r="D354" s="6" t="s">
        <v>29</v>
      </c>
      <c r="E354" s="6" t="s">
        <v>95</v>
      </c>
      <c r="F354" s="6" t="s">
        <v>47</v>
      </c>
      <c r="G354" s="7">
        <v>6</v>
      </c>
      <c r="H354" s="6" t="s">
        <v>32</v>
      </c>
    </row>
    <row r="355" spans="1:8" ht="14.25" customHeight="1" x14ac:dyDescent="0.25">
      <c r="A355" s="15">
        <v>46242</v>
      </c>
      <c r="B355" s="9" t="s">
        <v>79</v>
      </c>
      <c r="C355" s="9" t="s">
        <v>89</v>
      </c>
      <c r="D355" s="9" t="s">
        <v>29</v>
      </c>
      <c r="E355" s="9" t="s">
        <v>72</v>
      </c>
      <c r="F355" s="9" t="s">
        <v>31</v>
      </c>
      <c r="G355" s="10">
        <v>8</v>
      </c>
      <c r="H355" s="9" t="s">
        <v>32</v>
      </c>
    </row>
    <row r="356" spans="1:8" ht="14.25" customHeight="1" x14ac:dyDescent="0.25">
      <c r="A356" s="14">
        <v>46034</v>
      </c>
      <c r="B356" s="6" t="s">
        <v>90</v>
      </c>
      <c r="C356" s="6" t="s">
        <v>28</v>
      </c>
      <c r="D356" s="6" t="s">
        <v>49</v>
      </c>
      <c r="E356" s="6" t="s">
        <v>30</v>
      </c>
      <c r="F356" s="6" t="s">
        <v>53</v>
      </c>
      <c r="G356" s="7">
        <v>13</v>
      </c>
      <c r="H356" s="6" t="s">
        <v>62</v>
      </c>
    </row>
    <row r="357" spans="1:8" ht="14.25" customHeight="1" x14ac:dyDescent="0.25">
      <c r="A357" s="15">
        <v>46218</v>
      </c>
      <c r="B357" s="9" t="s">
        <v>27</v>
      </c>
      <c r="C357" s="9" t="s">
        <v>58</v>
      </c>
      <c r="D357" s="9" t="s">
        <v>56</v>
      </c>
      <c r="E357" s="9" t="s">
        <v>69</v>
      </c>
      <c r="F357" s="9" t="s">
        <v>59</v>
      </c>
      <c r="G357" s="10">
        <v>6</v>
      </c>
      <c r="H357" s="9" t="s">
        <v>32</v>
      </c>
    </row>
    <row r="358" spans="1:8" ht="14.25" customHeight="1" x14ac:dyDescent="0.25">
      <c r="A358" s="14">
        <v>46126</v>
      </c>
      <c r="B358" s="6" t="s">
        <v>67</v>
      </c>
      <c r="C358" s="6" t="s">
        <v>58</v>
      </c>
      <c r="D358" s="6" t="s">
        <v>56</v>
      </c>
      <c r="E358" s="6" t="s">
        <v>35</v>
      </c>
      <c r="F358" s="6" t="s">
        <v>73</v>
      </c>
      <c r="G358" s="7">
        <v>5</v>
      </c>
      <c r="H358" s="6" t="s">
        <v>62</v>
      </c>
    </row>
    <row r="359" spans="1:8" ht="14.25" customHeight="1" x14ac:dyDescent="0.25">
      <c r="A359" s="15">
        <v>46204</v>
      </c>
      <c r="B359" s="9" t="s">
        <v>7</v>
      </c>
      <c r="C359" s="9" t="s">
        <v>87</v>
      </c>
      <c r="D359" s="9" t="s">
        <v>34</v>
      </c>
      <c r="E359" s="9" t="s">
        <v>50</v>
      </c>
      <c r="F359" s="9" t="s">
        <v>78</v>
      </c>
      <c r="G359" s="10">
        <v>4</v>
      </c>
      <c r="H359" s="9" t="s">
        <v>62</v>
      </c>
    </row>
    <row r="360" spans="1:8" ht="14.25" customHeight="1" x14ac:dyDescent="0.25">
      <c r="A360" s="14">
        <v>46159</v>
      </c>
      <c r="B360" s="6" t="s">
        <v>27</v>
      </c>
      <c r="C360" s="6" t="s">
        <v>42</v>
      </c>
      <c r="D360" s="6" t="s">
        <v>38</v>
      </c>
      <c r="E360" s="6" t="s">
        <v>46</v>
      </c>
      <c r="F360" s="6" t="s">
        <v>59</v>
      </c>
      <c r="G360" s="7">
        <v>3</v>
      </c>
      <c r="H360" s="6" t="s">
        <v>32</v>
      </c>
    </row>
    <row r="361" spans="1:8" ht="14.25" customHeight="1" x14ac:dyDescent="0.25">
      <c r="A361" s="15">
        <v>46130</v>
      </c>
      <c r="B361" s="9" t="s">
        <v>88</v>
      </c>
      <c r="C361" s="9" t="s">
        <v>28</v>
      </c>
      <c r="D361" s="9" t="s">
        <v>49</v>
      </c>
      <c r="E361" s="9" t="s">
        <v>46</v>
      </c>
      <c r="F361" s="9" t="s">
        <v>53</v>
      </c>
      <c r="G361" s="10">
        <v>5</v>
      </c>
      <c r="H361" s="9" t="s">
        <v>36</v>
      </c>
    </row>
    <row r="362" spans="1:8" ht="14.25" customHeight="1" x14ac:dyDescent="0.25">
      <c r="A362" s="14">
        <v>46224</v>
      </c>
      <c r="B362" s="6" t="s">
        <v>76</v>
      </c>
      <c r="C362" s="6" t="s">
        <v>58</v>
      </c>
      <c r="D362" s="6" t="s">
        <v>38</v>
      </c>
      <c r="E362" s="6" t="s">
        <v>82</v>
      </c>
      <c r="F362" s="6" t="s">
        <v>51</v>
      </c>
      <c r="G362" s="7">
        <v>4</v>
      </c>
      <c r="H362" s="6" t="s">
        <v>36</v>
      </c>
    </row>
    <row r="363" spans="1:8" ht="14.25" customHeight="1" x14ac:dyDescent="0.25">
      <c r="A363" s="15">
        <v>46242</v>
      </c>
      <c r="B363" s="9" t="s">
        <v>76</v>
      </c>
      <c r="C363" s="9" t="s">
        <v>77</v>
      </c>
      <c r="D363" s="9" t="s">
        <v>56</v>
      </c>
      <c r="E363" s="9" t="s">
        <v>46</v>
      </c>
      <c r="F363" s="9" t="s">
        <v>53</v>
      </c>
      <c r="G363" s="10">
        <v>7</v>
      </c>
      <c r="H363" s="9" t="s">
        <v>36</v>
      </c>
    </row>
    <row r="364" spans="1:8" ht="14.25" customHeight="1" x14ac:dyDescent="0.25">
      <c r="A364" s="14">
        <v>46114</v>
      </c>
      <c r="B364" s="6" t="s">
        <v>90</v>
      </c>
      <c r="C364" s="6" t="s">
        <v>42</v>
      </c>
      <c r="D364" s="6" t="s">
        <v>38</v>
      </c>
      <c r="E364" s="6" t="s">
        <v>46</v>
      </c>
      <c r="F364" s="6" t="s">
        <v>53</v>
      </c>
      <c r="G364" s="7">
        <v>6</v>
      </c>
      <c r="H364" s="6" t="s">
        <v>36</v>
      </c>
    </row>
    <row r="365" spans="1:8" ht="14.25" customHeight="1" x14ac:dyDescent="0.25">
      <c r="A365" s="15">
        <v>46231</v>
      </c>
      <c r="B365" s="9" t="s">
        <v>7</v>
      </c>
      <c r="C365" s="9" t="s">
        <v>37</v>
      </c>
      <c r="D365" s="9" t="s">
        <v>56</v>
      </c>
      <c r="E365" s="9" t="s">
        <v>82</v>
      </c>
      <c r="F365" s="9" t="s">
        <v>61</v>
      </c>
      <c r="G365" s="10">
        <v>7</v>
      </c>
      <c r="H365" s="9" t="s">
        <v>54</v>
      </c>
    </row>
    <row r="366" spans="1:8" ht="14.25" customHeight="1" x14ac:dyDescent="0.25">
      <c r="A366" s="14">
        <v>46087</v>
      </c>
      <c r="B366" s="6" t="s">
        <v>6</v>
      </c>
      <c r="C366" s="6" t="s">
        <v>28</v>
      </c>
      <c r="D366" s="6" t="s">
        <v>49</v>
      </c>
      <c r="E366" s="6" t="s">
        <v>75</v>
      </c>
      <c r="F366" s="6" t="s">
        <v>64</v>
      </c>
      <c r="G366" s="7">
        <v>12</v>
      </c>
      <c r="H366" s="6" t="s">
        <v>32</v>
      </c>
    </row>
    <row r="367" spans="1:8" ht="14.25" customHeight="1" x14ac:dyDescent="0.25">
      <c r="A367" s="15">
        <v>46228</v>
      </c>
      <c r="B367" s="9" t="s">
        <v>68</v>
      </c>
      <c r="C367" s="9" t="s">
        <v>71</v>
      </c>
      <c r="D367" s="9" t="s">
        <v>38</v>
      </c>
      <c r="E367" s="9" t="s">
        <v>72</v>
      </c>
      <c r="F367" s="9" t="s">
        <v>64</v>
      </c>
      <c r="G367" s="10">
        <v>10</v>
      </c>
      <c r="H367" s="9" t="s">
        <v>62</v>
      </c>
    </row>
    <row r="368" spans="1:8" ht="14.25" customHeight="1" x14ac:dyDescent="0.25">
      <c r="A368" s="14">
        <v>46223</v>
      </c>
      <c r="B368" s="6" t="s">
        <v>6</v>
      </c>
      <c r="C368" s="6" t="s">
        <v>58</v>
      </c>
      <c r="D368" s="6" t="s">
        <v>56</v>
      </c>
      <c r="E368" s="6" t="s">
        <v>63</v>
      </c>
      <c r="F368" s="6" t="s">
        <v>47</v>
      </c>
      <c r="G368" s="7">
        <v>6</v>
      </c>
      <c r="H368" s="6" t="s">
        <v>36</v>
      </c>
    </row>
    <row r="369" spans="1:8" ht="14.25" customHeight="1" x14ac:dyDescent="0.25">
      <c r="A369" s="15">
        <v>46106</v>
      </c>
      <c r="B369" s="9" t="s">
        <v>70</v>
      </c>
      <c r="C369" s="9" t="s">
        <v>58</v>
      </c>
      <c r="D369" s="9" t="s">
        <v>49</v>
      </c>
      <c r="E369" s="9" t="s">
        <v>57</v>
      </c>
      <c r="F369" s="9" t="s">
        <v>47</v>
      </c>
      <c r="G369" s="10">
        <v>15</v>
      </c>
      <c r="H369" s="9" t="s">
        <v>54</v>
      </c>
    </row>
    <row r="370" spans="1:8" ht="14.25" customHeight="1" x14ac:dyDescent="0.25">
      <c r="A370" s="14">
        <v>46050</v>
      </c>
      <c r="B370" s="6" t="s">
        <v>92</v>
      </c>
      <c r="C370" s="6" t="s">
        <v>28</v>
      </c>
      <c r="D370" s="6" t="s">
        <v>29</v>
      </c>
      <c r="E370" s="6" t="s">
        <v>75</v>
      </c>
      <c r="F370" s="6" t="s">
        <v>78</v>
      </c>
      <c r="G370" s="7">
        <v>3</v>
      </c>
      <c r="H370" s="6" t="s">
        <v>62</v>
      </c>
    </row>
    <row r="371" spans="1:8" ht="14.25" customHeight="1" x14ac:dyDescent="0.25">
      <c r="A371" s="15">
        <v>46117</v>
      </c>
      <c r="B371" s="9" t="s">
        <v>88</v>
      </c>
      <c r="C371" s="9" t="s">
        <v>71</v>
      </c>
      <c r="D371" s="9" t="s">
        <v>34</v>
      </c>
      <c r="E371" s="9" t="s">
        <v>95</v>
      </c>
      <c r="F371" s="9" t="s">
        <v>43</v>
      </c>
      <c r="G371" s="10">
        <v>1</v>
      </c>
      <c r="H371" s="9" t="s">
        <v>36</v>
      </c>
    </row>
    <row r="372" spans="1:8" ht="14.25" customHeight="1" x14ac:dyDescent="0.25">
      <c r="A372" s="14">
        <v>46246</v>
      </c>
      <c r="B372" s="6" t="s">
        <v>9</v>
      </c>
      <c r="C372" s="6" t="s">
        <v>37</v>
      </c>
      <c r="D372" s="6" t="s">
        <v>34</v>
      </c>
      <c r="E372" s="6" t="s">
        <v>46</v>
      </c>
      <c r="F372" s="6" t="s">
        <v>64</v>
      </c>
      <c r="G372" s="7">
        <v>9</v>
      </c>
      <c r="H372" s="6" t="s">
        <v>32</v>
      </c>
    </row>
    <row r="373" spans="1:8" ht="14.25" customHeight="1" x14ac:dyDescent="0.25">
      <c r="A373" s="15">
        <v>46199</v>
      </c>
      <c r="B373" s="9" t="s">
        <v>10</v>
      </c>
      <c r="C373" s="9" t="s">
        <v>28</v>
      </c>
      <c r="D373" s="9" t="s">
        <v>29</v>
      </c>
      <c r="E373" s="9" t="s">
        <v>69</v>
      </c>
      <c r="F373" s="9" t="s">
        <v>73</v>
      </c>
      <c r="G373" s="10">
        <v>7</v>
      </c>
      <c r="H373" s="9" t="s">
        <v>36</v>
      </c>
    </row>
    <row r="374" spans="1:8" ht="14.25" customHeight="1" x14ac:dyDescent="0.25">
      <c r="A374" s="14">
        <v>46170</v>
      </c>
      <c r="B374" s="6" t="s">
        <v>27</v>
      </c>
      <c r="C374" s="6" t="s">
        <v>28</v>
      </c>
      <c r="D374" s="6" t="s">
        <v>56</v>
      </c>
      <c r="E374" s="6" t="s">
        <v>39</v>
      </c>
      <c r="F374" s="6" t="s">
        <v>66</v>
      </c>
      <c r="G374" s="7">
        <v>4</v>
      </c>
      <c r="H374" s="6" t="s">
        <v>54</v>
      </c>
    </row>
    <row r="375" spans="1:8" ht="14.25" customHeight="1" x14ac:dyDescent="0.25">
      <c r="A375" s="15">
        <v>46062</v>
      </c>
      <c r="B375" s="9" t="s">
        <v>68</v>
      </c>
      <c r="C375" s="9" t="s">
        <v>74</v>
      </c>
      <c r="D375" s="9" t="s">
        <v>56</v>
      </c>
      <c r="E375" s="9" t="s">
        <v>75</v>
      </c>
      <c r="F375" s="9" t="s">
        <v>61</v>
      </c>
      <c r="G375" s="10">
        <v>7</v>
      </c>
      <c r="H375" s="9" t="s">
        <v>36</v>
      </c>
    </row>
    <row r="376" spans="1:8" ht="14.25" customHeight="1" x14ac:dyDescent="0.25">
      <c r="A376" s="14">
        <v>46086</v>
      </c>
      <c r="B376" s="6" t="s">
        <v>44</v>
      </c>
      <c r="C376" s="6" t="s">
        <v>71</v>
      </c>
      <c r="D376" s="6" t="s">
        <v>38</v>
      </c>
      <c r="E376" s="6" t="s">
        <v>57</v>
      </c>
      <c r="F376" s="6" t="s">
        <v>91</v>
      </c>
      <c r="G376" s="7">
        <v>10</v>
      </c>
      <c r="H376" s="6" t="s">
        <v>62</v>
      </c>
    </row>
    <row r="377" spans="1:8" ht="14.25" customHeight="1" x14ac:dyDescent="0.25">
      <c r="A377" s="15">
        <v>46078</v>
      </c>
      <c r="B377" s="9" t="s">
        <v>33</v>
      </c>
      <c r="C377" s="9" t="s">
        <v>58</v>
      </c>
      <c r="D377" s="9" t="s">
        <v>56</v>
      </c>
      <c r="E377" s="9" t="s">
        <v>46</v>
      </c>
      <c r="F377" s="9" t="s">
        <v>53</v>
      </c>
      <c r="G377" s="10">
        <v>2</v>
      </c>
      <c r="H377" s="9" t="s">
        <v>62</v>
      </c>
    </row>
    <row r="378" spans="1:8" ht="14.25" customHeight="1" x14ac:dyDescent="0.25">
      <c r="A378" s="14">
        <v>46183</v>
      </c>
      <c r="B378" s="6" t="s">
        <v>85</v>
      </c>
      <c r="C378" s="6" t="s">
        <v>77</v>
      </c>
      <c r="D378" s="6" t="s">
        <v>49</v>
      </c>
      <c r="E378" s="6" t="s">
        <v>46</v>
      </c>
      <c r="F378" s="6" t="s">
        <v>47</v>
      </c>
      <c r="G378" s="7">
        <v>14</v>
      </c>
      <c r="H378" s="6" t="s">
        <v>36</v>
      </c>
    </row>
    <row r="379" spans="1:8" ht="14.25" customHeight="1" x14ac:dyDescent="0.25">
      <c r="A379" s="15">
        <v>46032</v>
      </c>
      <c r="B379" s="9" t="s">
        <v>52</v>
      </c>
      <c r="C379" s="9" t="s">
        <v>71</v>
      </c>
      <c r="D379" s="9" t="s">
        <v>49</v>
      </c>
      <c r="E379" s="9" t="s">
        <v>39</v>
      </c>
      <c r="F379" s="9" t="s">
        <v>31</v>
      </c>
      <c r="G379" s="10">
        <v>6</v>
      </c>
      <c r="H379" s="9" t="s">
        <v>62</v>
      </c>
    </row>
    <row r="380" spans="1:8" ht="14.25" customHeight="1" x14ac:dyDescent="0.25">
      <c r="A380" s="14">
        <v>46220</v>
      </c>
      <c r="B380" s="6" t="s">
        <v>60</v>
      </c>
      <c r="C380" s="6" t="s">
        <v>71</v>
      </c>
      <c r="D380" s="6" t="s">
        <v>49</v>
      </c>
      <c r="E380" s="6" t="s">
        <v>94</v>
      </c>
      <c r="F380" s="6" t="s">
        <v>31</v>
      </c>
      <c r="G380" s="7">
        <v>5</v>
      </c>
      <c r="H380" s="6" t="s">
        <v>54</v>
      </c>
    </row>
    <row r="381" spans="1:8" ht="14.25" customHeight="1" x14ac:dyDescent="0.25">
      <c r="A381" s="15">
        <v>46073</v>
      </c>
      <c r="B381" s="9" t="s">
        <v>12</v>
      </c>
      <c r="C381" s="9" t="s">
        <v>45</v>
      </c>
      <c r="D381" s="9" t="s">
        <v>38</v>
      </c>
      <c r="E381" s="9" t="s">
        <v>94</v>
      </c>
      <c r="F381" s="9" t="s">
        <v>31</v>
      </c>
      <c r="G381" s="10">
        <v>4</v>
      </c>
      <c r="H381" s="9" t="s">
        <v>32</v>
      </c>
    </row>
    <row r="382" spans="1:8" ht="14.25" customHeight="1" x14ac:dyDescent="0.25">
      <c r="A382" s="14">
        <v>46199</v>
      </c>
      <c r="B382" s="6" t="s">
        <v>41</v>
      </c>
      <c r="C382" s="6" t="s">
        <v>71</v>
      </c>
      <c r="D382" s="6" t="s">
        <v>49</v>
      </c>
      <c r="E382" s="6" t="s">
        <v>95</v>
      </c>
      <c r="F382" s="6" t="s">
        <v>40</v>
      </c>
      <c r="G382" s="7">
        <v>4</v>
      </c>
      <c r="H382" s="6" t="s">
        <v>32</v>
      </c>
    </row>
    <row r="383" spans="1:8" ht="14.25" customHeight="1" x14ac:dyDescent="0.25">
      <c r="A383" s="15">
        <v>46189</v>
      </c>
      <c r="B383" s="9" t="s">
        <v>67</v>
      </c>
      <c r="C383" s="9" t="s">
        <v>37</v>
      </c>
      <c r="D383" s="9" t="s">
        <v>49</v>
      </c>
      <c r="E383" s="9" t="s">
        <v>30</v>
      </c>
      <c r="F383" s="9" t="s">
        <v>47</v>
      </c>
      <c r="G383" s="10">
        <v>10</v>
      </c>
      <c r="H383" s="9" t="s">
        <v>54</v>
      </c>
    </row>
    <row r="384" spans="1:8" ht="14.25" customHeight="1" x14ac:dyDescent="0.25">
      <c r="A384" s="14">
        <v>46185</v>
      </c>
      <c r="B384" s="6" t="s">
        <v>5</v>
      </c>
      <c r="C384" s="6" t="s">
        <v>89</v>
      </c>
      <c r="D384" s="6" t="s">
        <v>34</v>
      </c>
      <c r="E384" s="6" t="s">
        <v>30</v>
      </c>
      <c r="F384" s="6" t="s">
        <v>61</v>
      </c>
      <c r="G384" s="7">
        <v>14</v>
      </c>
      <c r="H384" s="6" t="s">
        <v>54</v>
      </c>
    </row>
    <row r="385" spans="1:8" ht="14.25" customHeight="1" x14ac:dyDescent="0.25">
      <c r="A385" s="15">
        <v>46201</v>
      </c>
      <c r="B385" s="9" t="s">
        <v>15</v>
      </c>
      <c r="C385" s="9" t="s">
        <v>77</v>
      </c>
      <c r="D385" s="9" t="s">
        <v>38</v>
      </c>
      <c r="E385" s="9" t="s">
        <v>57</v>
      </c>
      <c r="F385" s="9" t="s">
        <v>53</v>
      </c>
      <c r="G385" s="10">
        <v>8</v>
      </c>
      <c r="H385" s="9" t="s">
        <v>62</v>
      </c>
    </row>
    <row r="386" spans="1:8" ht="14.25" customHeight="1" x14ac:dyDescent="0.25">
      <c r="A386" s="14">
        <v>46031</v>
      </c>
      <c r="B386" s="6" t="s">
        <v>92</v>
      </c>
      <c r="C386" s="6" t="s">
        <v>28</v>
      </c>
      <c r="D386" s="6" t="s">
        <v>34</v>
      </c>
      <c r="E386" s="6" t="s">
        <v>69</v>
      </c>
      <c r="F386" s="6" t="s">
        <v>66</v>
      </c>
      <c r="G386" s="7">
        <v>3</v>
      </c>
      <c r="H386" s="6" t="s">
        <v>54</v>
      </c>
    </row>
    <row r="387" spans="1:8" ht="14.25" customHeight="1" x14ac:dyDescent="0.25">
      <c r="A387" s="15">
        <v>46208</v>
      </c>
      <c r="B387" s="9" t="s">
        <v>9</v>
      </c>
      <c r="C387" s="9" t="s">
        <v>37</v>
      </c>
      <c r="D387" s="9" t="s">
        <v>34</v>
      </c>
      <c r="E387" s="9" t="s">
        <v>63</v>
      </c>
      <c r="F387" s="9" t="s">
        <v>78</v>
      </c>
      <c r="G387" s="10">
        <v>13</v>
      </c>
      <c r="H387" s="9" t="s">
        <v>32</v>
      </c>
    </row>
    <row r="388" spans="1:8" ht="14.25" customHeight="1" x14ac:dyDescent="0.25">
      <c r="A388" s="14">
        <v>46196</v>
      </c>
      <c r="B388" s="6" t="s">
        <v>70</v>
      </c>
      <c r="C388" s="6" t="s">
        <v>37</v>
      </c>
      <c r="D388" s="6" t="s">
        <v>38</v>
      </c>
      <c r="E388" s="6" t="s">
        <v>35</v>
      </c>
      <c r="F388" s="6" t="s">
        <v>40</v>
      </c>
      <c r="G388" s="7">
        <v>8</v>
      </c>
      <c r="H388" s="6" t="s">
        <v>32</v>
      </c>
    </row>
    <row r="389" spans="1:8" ht="14.25" customHeight="1" x14ac:dyDescent="0.25">
      <c r="A389" s="15">
        <v>46090</v>
      </c>
      <c r="B389" s="9" t="s">
        <v>6</v>
      </c>
      <c r="C389" s="9" t="s">
        <v>71</v>
      </c>
      <c r="D389" s="9" t="s">
        <v>38</v>
      </c>
      <c r="E389" s="9" t="s">
        <v>57</v>
      </c>
      <c r="F389" s="9" t="s">
        <v>78</v>
      </c>
      <c r="G389" s="10">
        <v>6</v>
      </c>
      <c r="H389" s="9" t="s">
        <v>32</v>
      </c>
    </row>
    <row r="390" spans="1:8" ht="14.25" customHeight="1" x14ac:dyDescent="0.25">
      <c r="A390" s="14">
        <v>46043</v>
      </c>
      <c r="B390" s="6" t="s">
        <v>10</v>
      </c>
      <c r="C390" s="6" t="s">
        <v>28</v>
      </c>
      <c r="D390" s="6" t="s">
        <v>29</v>
      </c>
      <c r="E390" s="6" t="s">
        <v>82</v>
      </c>
      <c r="F390" s="6" t="s">
        <v>59</v>
      </c>
      <c r="G390" s="7">
        <v>14</v>
      </c>
      <c r="H390" s="6" t="s">
        <v>54</v>
      </c>
    </row>
    <row r="391" spans="1:8" ht="14.25" customHeight="1" x14ac:dyDescent="0.25">
      <c r="A391" s="15">
        <v>46162</v>
      </c>
      <c r="B391" s="9" t="s">
        <v>88</v>
      </c>
      <c r="C391" s="9" t="s">
        <v>77</v>
      </c>
      <c r="D391" s="9" t="s">
        <v>49</v>
      </c>
      <c r="E391" s="9" t="s">
        <v>39</v>
      </c>
      <c r="F391" s="9" t="s">
        <v>51</v>
      </c>
      <c r="G391" s="10">
        <v>1</v>
      </c>
      <c r="H391" s="9" t="s">
        <v>36</v>
      </c>
    </row>
    <row r="392" spans="1:8" ht="14.25" customHeight="1" x14ac:dyDescent="0.25">
      <c r="A392" s="14">
        <v>46169</v>
      </c>
      <c r="B392" s="6" t="s">
        <v>9</v>
      </c>
      <c r="C392" s="6" t="s">
        <v>37</v>
      </c>
      <c r="D392" s="6" t="s">
        <v>38</v>
      </c>
      <c r="E392" s="6" t="s">
        <v>35</v>
      </c>
      <c r="F392" s="6" t="s">
        <v>91</v>
      </c>
      <c r="G392" s="7">
        <v>11</v>
      </c>
      <c r="H392" s="6" t="s">
        <v>62</v>
      </c>
    </row>
    <row r="393" spans="1:8" ht="14.25" customHeight="1" x14ac:dyDescent="0.25">
      <c r="A393" s="15">
        <v>46168</v>
      </c>
      <c r="B393" s="9" t="s">
        <v>76</v>
      </c>
      <c r="C393" s="9" t="s">
        <v>77</v>
      </c>
      <c r="D393" s="9" t="s">
        <v>34</v>
      </c>
      <c r="E393" s="9" t="s">
        <v>39</v>
      </c>
      <c r="F393" s="9" t="s">
        <v>51</v>
      </c>
      <c r="G393" s="10">
        <v>9</v>
      </c>
      <c r="H393" s="9" t="s">
        <v>32</v>
      </c>
    </row>
    <row r="394" spans="1:8" ht="14.25" customHeight="1" x14ac:dyDescent="0.25">
      <c r="A394" s="14">
        <v>46156</v>
      </c>
      <c r="B394" s="6" t="s">
        <v>12</v>
      </c>
      <c r="C394" s="6" t="s">
        <v>58</v>
      </c>
      <c r="D394" s="6" t="s">
        <v>38</v>
      </c>
      <c r="E394" s="6" t="s">
        <v>69</v>
      </c>
      <c r="F394" s="6" t="s">
        <v>91</v>
      </c>
      <c r="G394" s="7">
        <v>2</v>
      </c>
      <c r="H394" s="6" t="s">
        <v>32</v>
      </c>
    </row>
    <row r="395" spans="1:8" ht="14.25" customHeight="1" x14ac:dyDescent="0.25">
      <c r="A395" s="15">
        <v>46037</v>
      </c>
      <c r="B395" s="9" t="s">
        <v>27</v>
      </c>
      <c r="C395" s="9" t="s">
        <v>28</v>
      </c>
      <c r="D395" s="9" t="s">
        <v>56</v>
      </c>
      <c r="E395" s="9" t="s">
        <v>82</v>
      </c>
      <c r="F395" s="9" t="s">
        <v>78</v>
      </c>
      <c r="G395" s="10">
        <v>9</v>
      </c>
      <c r="H395" s="9" t="s">
        <v>36</v>
      </c>
    </row>
    <row r="396" spans="1:8" ht="14.25" customHeight="1" x14ac:dyDescent="0.25">
      <c r="A396" s="14">
        <v>46175</v>
      </c>
      <c r="B396" s="6" t="s">
        <v>88</v>
      </c>
      <c r="C396" s="6" t="s">
        <v>28</v>
      </c>
      <c r="D396" s="6" t="s">
        <v>56</v>
      </c>
      <c r="E396" s="6" t="s">
        <v>69</v>
      </c>
      <c r="F396" s="6" t="s">
        <v>91</v>
      </c>
      <c r="G396" s="7">
        <v>8</v>
      </c>
      <c r="H396" s="6" t="s">
        <v>36</v>
      </c>
    </row>
    <row r="397" spans="1:8" ht="14.25" customHeight="1" x14ac:dyDescent="0.25">
      <c r="A397" s="15">
        <v>46173</v>
      </c>
      <c r="B397" s="9" t="s">
        <v>8</v>
      </c>
      <c r="C397" s="9" t="s">
        <v>37</v>
      </c>
      <c r="D397" s="9" t="s">
        <v>38</v>
      </c>
      <c r="E397" s="9" t="s">
        <v>50</v>
      </c>
      <c r="F397" s="9" t="s">
        <v>47</v>
      </c>
      <c r="G397" s="10">
        <v>9</v>
      </c>
      <c r="H397" s="9" t="s">
        <v>32</v>
      </c>
    </row>
    <row r="398" spans="1:8" ht="14.25" customHeight="1" x14ac:dyDescent="0.25">
      <c r="A398" s="14">
        <v>46024</v>
      </c>
      <c r="B398" s="6" t="s">
        <v>44</v>
      </c>
      <c r="C398" s="6" t="s">
        <v>58</v>
      </c>
      <c r="D398" s="6" t="s">
        <v>34</v>
      </c>
      <c r="E398" s="6" t="s">
        <v>39</v>
      </c>
      <c r="F398" s="6" t="s">
        <v>43</v>
      </c>
      <c r="G398" s="7">
        <v>11</v>
      </c>
      <c r="H398" s="6" t="s">
        <v>36</v>
      </c>
    </row>
    <row r="399" spans="1:8" ht="14.25" customHeight="1" x14ac:dyDescent="0.25">
      <c r="A399" s="15">
        <v>46047</v>
      </c>
      <c r="B399" s="9" t="s">
        <v>60</v>
      </c>
      <c r="C399" s="9" t="s">
        <v>48</v>
      </c>
      <c r="D399" s="9" t="s">
        <v>34</v>
      </c>
      <c r="E399" s="9" t="s">
        <v>39</v>
      </c>
      <c r="F399" s="9" t="s">
        <v>91</v>
      </c>
      <c r="G399" s="10">
        <v>8</v>
      </c>
      <c r="H399" s="9" t="s">
        <v>32</v>
      </c>
    </row>
    <row r="400" spans="1:8" ht="14.25" customHeight="1" x14ac:dyDescent="0.25">
      <c r="A400" s="14">
        <v>46112</v>
      </c>
      <c r="B400" s="6" t="s">
        <v>7</v>
      </c>
      <c r="C400" s="6" t="s">
        <v>89</v>
      </c>
      <c r="D400" s="6" t="s">
        <v>38</v>
      </c>
      <c r="E400" s="6" t="s">
        <v>72</v>
      </c>
      <c r="F400" s="6" t="s">
        <v>64</v>
      </c>
      <c r="G400" s="7">
        <v>7</v>
      </c>
      <c r="H400" s="6" t="s">
        <v>54</v>
      </c>
    </row>
    <row r="401" spans="1:8" ht="14.25" customHeight="1" x14ac:dyDescent="0.25">
      <c r="A401" s="15">
        <v>46085</v>
      </c>
      <c r="B401" s="9" t="s">
        <v>90</v>
      </c>
      <c r="C401" s="9" t="s">
        <v>28</v>
      </c>
      <c r="D401" s="9" t="s">
        <v>29</v>
      </c>
      <c r="E401" s="9" t="s">
        <v>81</v>
      </c>
      <c r="F401" s="9" t="s">
        <v>61</v>
      </c>
      <c r="G401" s="10">
        <v>8</v>
      </c>
      <c r="H401" s="9" t="s">
        <v>54</v>
      </c>
    </row>
    <row r="402" spans="1:8" ht="14.25" customHeight="1" x14ac:dyDescent="0.25">
      <c r="A402" s="14">
        <v>46117</v>
      </c>
      <c r="B402" s="6" t="s">
        <v>5</v>
      </c>
      <c r="C402" s="6" t="s">
        <v>48</v>
      </c>
      <c r="D402" s="6" t="s">
        <v>29</v>
      </c>
      <c r="E402" s="6" t="s">
        <v>82</v>
      </c>
      <c r="F402" s="6" t="s">
        <v>91</v>
      </c>
      <c r="G402" s="7">
        <v>13</v>
      </c>
      <c r="H402" s="6" t="s">
        <v>62</v>
      </c>
    </row>
    <row r="403" spans="1:8" ht="14.25" customHeight="1" x14ac:dyDescent="0.25">
      <c r="A403" s="15">
        <v>46107</v>
      </c>
      <c r="B403" s="9" t="s">
        <v>79</v>
      </c>
      <c r="C403" s="9" t="s">
        <v>42</v>
      </c>
      <c r="D403" s="9" t="s">
        <v>56</v>
      </c>
      <c r="E403" s="9" t="s">
        <v>82</v>
      </c>
      <c r="F403" s="9" t="s">
        <v>31</v>
      </c>
      <c r="G403" s="10">
        <v>14</v>
      </c>
      <c r="H403" s="9" t="s">
        <v>36</v>
      </c>
    </row>
    <row r="404" spans="1:8" ht="14.25" customHeight="1" x14ac:dyDescent="0.25">
      <c r="A404" s="14">
        <v>46142</v>
      </c>
      <c r="B404" s="6" t="s">
        <v>83</v>
      </c>
      <c r="C404" s="6" t="s">
        <v>89</v>
      </c>
      <c r="D404" s="6" t="s">
        <v>56</v>
      </c>
      <c r="E404" s="6" t="s">
        <v>46</v>
      </c>
      <c r="F404" s="6" t="s">
        <v>61</v>
      </c>
      <c r="G404" s="7">
        <v>11</v>
      </c>
      <c r="H404" s="6" t="s">
        <v>62</v>
      </c>
    </row>
    <row r="405" spans="1:8" ht="14.25" customHeight="1" x14ac:dyDescent="0.25">
      <c r="A405" s="15">
        <v>46029</v>
      </c>
      <c r="B405" s="9" t="s">
        <v>44</v>
      </c>
      <c r="C405" s="9" t="s">
        <v>87</v>
      </c>
      <c r="D405" s="9" t="s">
        <v>38</v>
      </c>
      <c r="E405" s="9" t="s">
        <v>72</v>
      </c>
      <c r="F405" s="9" t="s">
        <v>78</v>
      </c>
      <c r="G405" s="10">
        <v>14</v>
      </c>
      <c r="H405" s="9" t="s">
        <v>36</v>
      </c>
    </row>
    <row r="406" spans="1:8" ht="14.25" customHeight="1" x14ac:dyDescent="0.25">
      <c r="A406" s="14">
        <v>46112</v>
      </c>
      <c r="B406" s="6" t="s">
        <v>52</v>
      </c>
      <c r="C406" s="6" t="s">
        <v>37</v>
      </c>
      <c r="D406" s="6" t="s">
        <v>29</v>
      </c>
      <c r="E406" s="6" t="s">
        <v>35</v>
      </c>
      <c r="F406" s="6" t="s">
        <v>61</v>
      </c>
      <c r="G406" s="7">
        <v>13</v>
      </c>
      <c r="H406" s="6" t="s">
        <v>32</v>
      </c>
    </row>
    <row r="407" spans="1:8" ht="14.25" customHeight="1" x14ac:dyDescent="0.25">
      <c r="A407" s="15">
        <v>46220</v>
      </c>
      <c r="B407" s="9" t="s">
        <v>67</v>
      </c>
      <c r="C407" s="9" t="s">
        <v>45</v>
      </c>
      <c r="D407" s="9" t="s">
        <v>34</v>
      </c>
      <c r="E407" s="9" t="s">
        <v>35</v>
      </c>
      <c r="F407" s="9" t="s">
        <v>51</v>
      </c>
      <c r="G407" s="10">
        <v>9</v>
      </c>
      <c r="H407" s="9" t="s">
        <v>62</v>
      </c>
    </row>
    <row r="408" spans="1:8" ht="14.25" customHeight="1" x14ac:dyDescent="0.25">
      <c r="A408" s="14">
        <v>46134</v>
      </c>
      <c r="B408" s="6" t="s">
        <v>67</v>
      </c>
      <c r="C408" s="6" t="s">
        <v>48</v>
      </c>
      <c r="D408" s="6" t="s">
        <v>56</v>
      </c>
      <c r="E408" s="6" t="s">
        <v>94</v>
      </c>
      <c r="F408" s="6" t="s">
        <v>78</v>
      </c>
      <c r="G408" s="7">
        <v>6</v>
      </c>
      <c r="H408" s="6" t="s">
        <v>62</v>
      </c>
    </row>
    <row r="409" spans="1:8" ht="14.25" customHeight="1" x14ac:dyDescent="0.25">
      <c r="A409" s="15">
        <v>46210</v>
      </c>
      <c r="B409" s="9" t="s">
        <v>12</v>
      </c>
      <c r="C409" s="9" t="s">
        <v>48</v>
      </c>
      <c r="D409" s="9" t="s">
        <v>49</v>
      </c>
      <c r="E409" s="9" t="s">
        <v>57</v>
      </c>
      <c r="F409" s="9" t="s">
        <v>73</v>
      </c>
      <c r="G409" s="10">
        <v>12</v>
      </c>
      <c r="H409" s="9" t="s">
        <v>54</v>
      </c>
    </row>
    <row r="410" spans="1:8" ht="14.25" customHeight="1" x14ac:dyDescent="0.25">
      <c r="A410" s="14">
        <v>46099</v>
      </c>
      <c r="B410" s="6" t="s">
        <v>9</v>
      </c>
      <c r="C410" s="6" t="s">
        <v>89</v>
      </c>
      <c r="D410" s="6" t="s">
        <v>38</v>
      </c>
      <c r="E410" s="6" t="s">
        <v>50</v>
      </c>
      <c r="F410" s="6" t="s">
        <v>43</v>
      </c>
      <c r="G410" s="7">
        <v>7</v>
      </c>
      <c r="H410" s="6" t="s">
        <v>32</v>
      </c>
    </row>
    <row r="411" spans="1:8" ht="14.25" customHeight="1" x14ac:dyDescent="0.25">
      <c r="A411" s="15">
        <v>46134</v>
      </c>
      <c r="B411" s="9" t="s">
        <v>90</v>
      </c>
      <c r="C411" s="9" t="s">
        <v>93</v>
      </c>
      <c r="D411" s="9" t="s">
        <v>49</v>
      </c>
      <c r="E411" s="9" t="s">
        <v>94</v>
      </c>
      <c r="F411" s="9" t="s">
        <v>31</v>
      </c>
      <c r="G411" s="10">
        <v>14</v>
      </c>
      <c r="H411" s="9" t="s">
        <v>62</v>
      </c>
    </row>
    <row r="412" spans="1:8" ht="14.25" customHeight="1" x14ac:dyDescent="0.25">
      <c r="A412" s="14">
        <v>46159</v>
      </c>
      <c r="B412" s="6" t="s">
        <v>8</v>
      </c>
      <c r="C412" s="6" t="s">
        <v>74</v>
      </c>
      <c r="D412" s="6" t="s">
        <v>49</v>
      </c>
      <c r="E412" s="6" t="s">
        <v>46</v>
      </c>
      <c r="F412" s="6" t="s">
        <v>78</v>
      </c>
      <c r="G412" s="7">
        <v>8</v>
      </c>
      <c r="H412" s="6" t="s">
        <v>62</v>
      </c>
    </row>
    <row r="413" spans="1:8" ht="14.25" customHeight="1" x14ac:dyDescent="0.25">
      <c r="A413" s="15">
        <v>46067</v>
      </c>
      <c r="B413" s="9" t="s">
        <v>10</v>
      </c>
      <c r="C413" s="9" t="s">
        <v>37</v>
      </c>
      <c r="D413" s="9" t="s">
        <v>29</v>
      </c>
      <c r="E413" s="9" t="s">
        <v>69</v>
      </c>
      <c r="F413" s="9" t="s">
        <v>66</v>
      </c>
      <c r="G413" s="10">
        <v>3</v>
      </c>
      <c r="H413" s="9" t="s">
        <v>32</v>
      </c>
    </row>
    <row r="414" spans="1:8" ht="14.25" customHeight="1" x14ac:dyDescent="0.25">
      <c r="A414" s="14">
        <v>46213</v>
      </c>
      <c r="B414" s="6" t="s">
        <v>44</v>
      </c>
      <c r="C414" s="6" t="s">
        <v>28</v>
      </c>
      <c r="D414" s="6" t="s">
        <v>29</v>
      </c>
      <c r="E414" s="6" t="s">
        <v>72</v>
      </c>
      <c r="F414" s="6" t="s">
        <v>59</v>
      </c>
      <c r="G414" s="7">
        <v>15</v>
      </c>
      <c r="H414" s="6" t="s">
        <v>62</v>
      </c>
    </row>
    <row r="415" spans="1:8" ht="14.25" customHeight="1" x14ac:dyDescent="0.25">
      <c r="A415" s="15">
        <v>46110</v>
      </c>
      <c r="B415" s="9" t="s">
        <v>60</v>
      </c>
      <c r="C415" s="9" t="s">
        <v>93</v>
      </c>
      <c r="D415" s="9" t="s">
        <v>56</v>
      </c>
      <c r="E415" s="9" t="s">
        <v>75</v>
      </c>
      <c r="F415" s="9" t="s">
        <v>51</v>
      </c>
      <c r="G415" s="10">
        <v>5</v>
      </c>
      <c r="H415" s="9" t="s">
        <v>36</v>
      </c>
    </row>
    <row r="416" spans="1:8" ht="14.25" customHeight="1" x14ac:dyDescent="0.25">
      <c r="A416" s="14">
        <v>46148</v>
      </c>
      <c r="B416" s="6" t="s">
        <v>60</v>
      </c>
      <c r="C416" s="6" t="s">
        <v>42</v>
      </c>
      <c r="D416" s="6" t="s">
        <v>38</v>
      </c>
      <c r="E416" s="6" t="s">
        <v>63</v>
      </c>
      <c r="F416" s="6" t="s">
        <v>47</v>
      </c>
      <c r="G416" s="7">
        <v>2</v>
      </c>
      <c r="H416" s="6" t="s">
        <v>36</v>
      </c>
    </row>
    <row r="417" spans="1:8" ht="14.25" customHeight="1" x14ac:dyDescent="0.25">
      <c r="A417" s="15">
        <v>46134</v>
      </c>
      <c r="B417" s="9" t="s">
        <v>9</v>
      </c>
      <c r="C417" s="9" t="s">
        <v>45</v>
      </c>
      <c r="D417" s="9" t="s">
        <v>34</v>
      </c>
      <c r="E417" s="9" t="s">
        <v>69</v>
      </c>
      <c r="F417" s="9" t="s">
        <v>43</v>
      </c>
      <c r="G417" s="10">
        <v>14</v>
      </c>
      <c r="H417" s="9" t="s">
        <v>54</v>
      </c>
    </row>
    <row r="418" spans="1:8" ht="14.25" customHeight="1" x14ac:dyDescent="0.25">
      <c r="A418" s="14">
        <v>46077</v>
      </c>
      <c r="B418" s="6" t="s">
        <v>52</v>
      </c>
      <c r="C418" s="6" t="s">
        <v>28</v>
      </c>
      <c r="D418" s="6" t="s">
        <v>56</v>
      </c>
      <c r="E418" s="6" t="s">
        <v>95</v>
      </c>
      <c r="F418" s="6" t="s">
        <v>40</v>
      </c>
      <c r="G418" s="7">
        <v>5</v>
      </c>
      <c r="H418" s="6" t="s">
        <v>32</v>
      </c>
    </row>
    <row r="419" spans="1:8" ht="14.25" customHeight="1" x14ac:dyDescent="0.25">
      <c r="A419" s="15">
        <v>46155</v>
      </c>
      <c r="B419" s="9" t="s">
        <v>85</v>
      </c>
      <c r="C419" s="9" t="s">
        <v>58</v>
      </c>
      <c r="D419" s="9" t="s">
        <v>49</v>
      </c>
      <c r="E419" s="9" t="s">
        <v>63</v>
      </c>
      <c r="F419" s="9" t="s">
        <v>64</v>
      </c>
      <c r="G419" s="10">
        <v>13</v>
      </c>
      <c r="H419" s="9" t="s">
        <v>62</v>
      </c>
    </row>
    <row r="420" spans="1:8" ht="14.25" customHeight="1" x14ac:dyDescent="0.25">
      <c r="A420" s="14">
        <v>46172</v>
      </c>
      <c r="B420" s="6" t="s">
        <v>92</v>
      </c>
      <c r="C420" s="6" t="s">
        <v>28</v>
      </c>
      <c r="D420" s="6" t="s">
        <v>38</v>
      </c>
      <c r="E420" s="6" t="s">
        <v>57</v>
      </c>
      <c r="F420" s="6" t="s">
        <v>47</v>
      </c>
      <c r="G420" s="7">
        <v>3</v>
      </c>
      <c r="H420" s="6" t="s">
        <v>32</v>
      </c>
    </row>
    <row r="421" spans="1:8" ht="14.25" customHeight="1" x14ac:dyDescent="0.25">
      <c r="A421" s="15">
        <v>46087</v>
      </c>
      <c r="B421" s="9" t="s">
        <v>15</v>
      </c>
      <c r="C421" s="9" t="s">
        <v>28</v>
      </c>
      <c r="D421" s="9" t="s">
        <v>38</v>
      </c>
      <c r="E421" s="9" t="s">
        <v>46</v>
      </c>
      <c r="F421" s="9" t="s">
        <v>84</v>
      </c>
      <c r="G421" s="10">
        <v>8</v>
      </c>
      <c r="H421" s="9" t="s">
        <v>36</v>
      </c>
    </row>
    <row r="422" spans="1:8" ht="14.25" customHeight="1" x14ac:dyDescent="0.25">
      <c r="A422" s="14">
        <v>46235</v>
      </c>
      <c r="B422" s="6" t="s">
        <v>88</v>
      </c>
      <c r="C422" s="6" t="s">
        <v>48</v>
      </c>
      <c r="D422" s="6" t="s">
        <v>29</v>
      </c>
      <c r="E422" s="6" t="s">
        <v>46</v>
      </c>
      <c r="F422" s="6" t="s">
        <v>84</v>
      </c>
      <c r="G422" s="7">
        <v>1</v>
      </c>
      <c r="H422" s="6" t="s">
        <v>62</v>
      </c>
    </row>
    <row r="423" spans="1:8" ht="14.25" customHeight="1" x14ac:dyDescent="0.25">
      <c r="A423" s="15">
        <v>46052</v>
      </c>
      <c r="B423" s="9" t="s">
        <v>70</v>
      </c>
      <c r="C423" s="9" t="s">
        <v>45</v>
      </c>
      <c r="D423" s="9" t="s">
        <v>49</v>
      </c>
      <c r="E423" s="9" t="s">
        <v>81</v>
      </c>
      <c r="F423" s="9" t="s">
        <v>47</v>
      </c>
      <c r="G423" s="10">
        <v>5</v>
      </c>
      <c r="H423" s="9" t="s">
        <v>54</v>
      </c>
    </row>
    <row r="424" spans="1:8" ht="14.25" customHeight="1" x14ac:dyDescent="0.25">
      <c r="A424" s="14">
        <v>46208</v>
      </c>
      <c r="B424" s="6" t="s">
        <v>15</v>
      </c>
      <c r="C424" s="6" t="s">
        <v>71</v>
      </c>
      <c r="D424" s="6" t="s">
        <v>38</v>
      </c>
      <c r="E424" s="6" t="s">
        <v>72</v>
      </c>
      <c r="F424" s="6" t="s">
        <v>64</v>
      </c>
      <c r="G424" s="7">
        <v>8</v>
      </c>
      <c r="H424" s="6" t="s">
        <v>32</v>
      </c>
    </row>
    <row r="425" spans="1:8" ht="14.25" customHeight="1" x14ac:dyDescent="0.25">
      <c r="A425" s="15">
        <v>46134</v>
      </c>
      <c r="B425" s="9" t="s">
        <v>70</v>
      </c>
      <c r="C425" s="9" t="s">
        <v>58</v>
      </c>
      <c r="D425" s="9" t="s">
        <v>49</v>
      </c>
      <c r="E425" s="9" t="s">
        <v>75</v>
      </c>
      <c r="F425" s="9" t="s">
        <v>53</v>
      </c>
      <c r="G425" s="10">
        <v>4</v>
      </c>
      <c r="H425" s="9" t="s">
        <v>36</v>
      </c>
    </row>
    <row r="426" spans="1:8" ht="14.25" customHeight="1" x14ac:dyDescent="0.25">
      <c r="A426" s="14">
        <v>46202</v>
      </c>
      <c r="B426" s="6" t="s">
        <v>83</v>
      </c>
      <c r="C426" s="6" t="s">
        <v>71</v>
      </c>
      <c r="D426" s="6" t="s">
        <v>49</v>
      </c>
      <c r="E426" s="6" t="s">
        <v>63</v>
      </c>
      <c r="F426" s="6" t="s">
        <v>47</v>
      </c>
      <c r="G426" s="7">
        <v>4</v>
      </c>
      <c r="H426" s="6" t="s">
        <v>36</v>
      </c>
    </row>
    <row r="427" spans="1:8" ht="14.25" customHeight="1" x14ac:dyDescent="0.25">
      <c r="A427" s="15">
        <v>46154</v>
      </c>
      <c r="B427" s="9" t="s">
        <v>12</v>
      </c>
      <c r="C427" s="9" t="s">
        <v>45</v>
      </c>
      <c r="D427" s="9" t="s">
        <v>34</v>
      </c>
      <c r="E427" s="9" t="s">
        <v>75</v>
      </c>
      <c r="F427" s="9" t="s">
        <v>78</v>
      </c>
      <c r="G427" s="10">
        <v>10</v>
      </c>
      <c r="H427" s="9" t="s">
        <v>36</v>
      </c>
    </row>
    <row r="428" spans="1:8" ht="14.25" customHeight="1" x14ac:dyDescent="0.25">
      <c r="A428" s="14">
        <v>46062</v>
      </c>
      <c r="B428" s="6" t="s">
        <v>12</v>
      </c>
      <c r="C428" s="6" t="s">
        <v>28</v>
      </c>
      <c r="D428" s="6" t="s">
        <v>29</v>
      </c>
      <c r="E428" s="6" t="s">
        <v>72</v>
      </c>
      <c r="F428" s="6" t="s">
        <v>31</v>
      </c>
      <c r="G428" s="7">
        <v>8</v>
      </c>
      <c r="H428" s="6" t="s">
        <v>54</v>
      </c>
    </row>
    <row r="429" spans="1:8" ht="14.25" customHeight="1" x14ac:dyDescent="0.25">
      <c r="A429" s="15">
        <v>46108</v>
      </c>
      <c r="B429" s="9" t="s">
        <v>83</v>
      </c>
      <c r="C429" s="9" t="s">
        <v>77</v>
      </c>
      <c r="D429" s="9" t="s">
        <v>38</v>
      </c>
      <c r="E429" s="9" t="s">
        <v>50</v>
      </c>
      <c r="F429" s="9" t="s">
        <v>47</v>
      </c>
      <c r="G429" s="10">
        <v>5</v>
      </c>
      <c r="H429" s="9" t="s">
        <v>32</v>
      </c>
    </row>
    <row r="430" spans="1:8" ht="14.25" customHeight="1" x14ac:dyDescent="0.25">
      <c r="A430" s="14">
        <v>46106</v>
      </c>
      <c r="B430" s="6" t="s">
        <v>12</v>
      </c>
      <c r="C430" s="6" t="s">
        <v>45</v>
      </c>
      <c r="D430" s="6" t="s">
        <v>29</v>
      </c>
      <c r="E430" s="6" t="s">
        <v>57</v>
      </c>
      <c r="F430" s="6" t="s">
        <v>91</v>
      </c>
      <c r="G430" s="7">
        <v>2</v>
      </c>
      <c r="H430" s="6" t="s">
        <v>36</v>
      </c>
    </row>
    <row r="431" spans="1:8" ht="14.25" customHeight="1" x14ac:dyDescent="0.25">
      <c r="A431" s="15">
        <v>46209</v>
      </c>
      <c r="B431" s="9" t="s">
        <v>52</v>
      </c>
      <c r="C431" s="9" t="s">
        <v>71</v>
      </c>
      <c r="D431" s="9" t="s">
        <v>29</v>
      </c>
      <c r="E431" s="9" t="s">
        <v>57</v>
      </c>
      <c r="F431" s="9" t="s">
        <v>91</v>
      </c>
      <c r="G431" s="10">
        <v>6</v>
      </c>
      <c r="H431" s="9" t="s">
        <v>62</v>
      </c>
    </row>
    <row r="432" spans="1:8" ht="14.25" customHeight="1" x14ac:dyDescent="0.25">
      <c r="A432" s="14">
        <v>46247</v>
      </c>
      <c r="B432" s="6" t="s">
        <v>79</v>
      </c>
      <c r="C432" s="6" t="s">
        <v>77</v>
      </c>
      <c r="D432" s="6" t="s">
        <v>49</v>
      </c>
      <c r="E432" s="6" t="s">
        <v>81</v>
      </c>
      <c r="F432" s="6" t="s">
        <v>66</v>
      </c>
      <c r="G432" s="7">
        <v>7</v>
      </c>
      <c r="H432" s="6" t="s">
        <v>54</v>
      </c>
    </row>
    <row r="433" spans="1:8" ht="14.25" customHeight="1" x14ac:dyDescent="0.25">
      <c r="A433" s="15">
        <v>46201</v>
      </c>
      <c r="B433" s="9" t="s">
        <v>41</v>
      </c>
      <c r="C433" s="9" t="s">
        <v>37</v>
      </c>
      <c r="D433" s="9" t="s">
        <v>38</v>
      </c>
      <c r="E433" s="9" t="s">
        <v>82</v>
      </c>
      <c r="F433" s="9" t="s">
        <v>59</v>
      </c>
      <c r="G433" s="10">
        <v>3</v>
      </c>
      <c r="H433" s="9" t="s">
        <v>36</v>
      </c>
    </row>
    <row r="434" spans="1:8" ht="14.25" customHeight="1" x14ac:dyDescent="0.25">
      <c r="A434" s="14">
        <v>46080</v>
      </c>
      <c r="B434" s="6" t="s">
        <v>27</v>
      </c>
      <c r="C434" s="6" t="s">
        <v>37</v>
      </c>
      <c r="D434" s="6" t="s">
        <v>56</v>
      </c>
      <c r="E434" s="6" t="s">
        <v>63</v>
      </c>
      <c r="F434" s="6" t="s">
        <v>91</v>
      </c>
      <c r="G434" s="7">
        <v>5</v>
      </c>
      <c r="H434" s="6" t="s">
        <v>32</v>
      </c>
    </row>
    <row r="435" spans="1:8" ht="14.25" customHeight="1" x14ac:dyDescent="0.25">
      <c r="A435" s="15">
        <v>46074</v>
      </c>
      <c r="B435" s="9" t="s">
        <v>7</v>
      </c>
      <c r="C435" s="9" t="s">
        <v>87</v>
      </c>
      <c r="D435" s="9" t="s">
        <v>38</v>
      </c>
      <c r="E435" s="9" t="s">
        <v>63</v>
      </c>
      <c r="F435" s="9" t="s">
        <v>53</v>
      </c>
      <c r="G435" s="10">
        <v>3</v>
      </c>
      <c r="H435" s="9" t="s">
        <v>32</v>
      </c>
    </row>
    <row r="436" spans="1:8" ht="14.25" customHeight="1" x14ac:dyDescent="0.25">
      <c r="A436" s="14">
        <v>46086</v>
      </c>
      <c r="B436" s="6" t="s">
        <v>85</v>
      </c>
      <c r="C436" s="6" t="s">
        <v>87</v>
      </c>
      <c r="D436" s="6" t="s">
        <v>29</v>
      </c>
      <c r="E436" s="6" t="s">
        <v>94</v>
      </c>
      <c r="F436" s="6" t="s">
        <v>66</v>
      </c>
      <c r="G436" s="7">
        <v>7</v>
      </c>
      <c r="H436" s="6" t="s">
        <v>54</v>
      </c>
    </row>
    <row r="437" spans="1:8" ht="14.25" customHeight="1" x14ac:dyDescent="0.25">
      <c r="A437" s="15">
        <v>46144</v>
      </c>
      <c r="B437" s="9" t="s">
        <v>70</v>
      </c>
      <c r="C437" s="9" t="s">
        <v>71</v>
      </c>
      <c r="D437" s="9" t="s">
        <v>56</v>
      </c>
      <c r="E437" s="9" t="s">
        <v>46</v>
      </c>
      <c r="F437" s="9" t="s">
        <v>59</v>
      </c>
      <c r="G437" s="10">
        <v>3</v>
      </c>
      <c r="H437" s="9" t="s">
        <v>32</v>
      </c>
    </row>
    <row r="438" spans="1:8" ht="14.25" customHeight="1" x14ac:dyDescent="0.25">
      <c r="A438" s="14">
        <v>46162</v>
      </c>
      <c r="B438" s="6" t="s">
        <v>92</v>
      </c>
      <c r="C438" s="6" t="s">
        <v>37</v>
      </c>
      <c r="D438" s="6" t="s">
        <v>38</v>
      </c>
      <c r="E438" s="6" t="s">
        <v>63</v>
      </c>
      <c r="F438" s="6" t="s">
        <v>66</v>
      </c>
      <c r="G438" s="7">
        <v>8</v>
      </c>
      <c r="H438" s="6" t="s">
        <v>54</v>
      </c>
    </row>
    <row r="439" spans="1:8" ht="14.25" customHeight="1" x14ac:dyDescent="0.25">
      <c r="A439" s="15">
        <v>46105</v>
      </c>
      <c r="B439" s="9" t="s">
        <v>70</v>
      </c>
      <c r="C439" s="9" t="s">
        <v>45</v>
      </c>
      <c r="D439" s="9" t="s">
        <v>29</v>
      </c>
      <c r="E439" s="9" t="s">
        <v>82</v>
      </c>
      <c r="F439" s="9" t="s">
        <v>73</v>
      </c>
      <c r="G439" s="10">
        <v>3</v>
      </c>
      <c r="H439" s="9" t="s">
        <v>36</v>
      </c>
    </row>
    <row r="440" spans="1:8" ht="14.25" customHeight="1" x14ac:dyDescent="0.25">
      <c r="A440" s="14">
        <v>46175</v>
      </c>
      <c r="B440" s="6" t="s">
        <v>68</v>
      </c>
      <c r="C440" s="6" t="s">
        <v>42</v>
      </c>
      <c r="D440" s="6" t="s">
        <v>49</v>
      </c>
      <c r="E440" s="6" t="s">
        <v>75</v>
      </c>
      <c r="F440" s="6" t="s">
        <v>53</v>
      </c>
      <c r="G440" s="7">
        <v>5</v>
      </c>
      <c r="H440" s="6" t="s">
        <v>54</v>
      </c>
    </row>
    <row r="441" spans="1:8" ht="14.25" customHeight="1" x14ac:dyDescent="0.25">
      <c r="A441" s="15">
        <v>46126</v>
      </c>
      <c r="B441" s="9" t="s">
        <v>27</v>
      </c>
      <c r="C441" s="9" t="s">
        <v>45</v>
      </c>
      <c r="D441" s="9" t="s">
        <v>29</v>
      </c>
      <c r="E441" s="9" t="s">
        <v>63</v>
      </c>
      <c r="F441" s="9" t="s">
        <v>66</v>
      </c>
      <c r="G441" s="10">
        <v>3</v>
      </c>
      <c r="H441" s="9" t="s">
        <v>62</v>
      </c>
    </row>
    <row r="442" spans="1:8" ht="14.25" customHeight="1" x14ac:dyDescent="0.25">
      <c r="A442" s="14">
        <v>46189</v>
      </c>
      <c r="B442" s="6" t="s">
        <v>10</v>
      </c>
      <c r="C442" s="6" t="s">
        <v>37</v>
      </c>
      <c r="D442" s="6" t="s">
        <v>34</v>
      </c>
      <c r="E442" s="6" t="s">
        <v>39</v>
      </c>
      <c r="F442" s="6" t="s">
        <v>91</v>
      </c>
      <c r="G442" s="7">
        <v>13</v>
      </c>
      <c r="H442" s="6" t="s">
        <v>36</v>
      </c>
    </row>
    <row r="443" spans="1:8" ht="14.25" customHeight="1" x14ac:dyDescent="0.25">
      <c r="A443" s="15">
        <v>46023</v>
      </c>
      <c r="B443" s="9" t="s">
        <v>41</v>
      </c>
      <c r="C443" s="9" t="s">
        <v>71</v>
      </c>
      <c r="D443" s="9" t="s">
        <v>29</v>
      </c>
      <c r="E443" s="9" t="s">
        <v>39</v>
      </c>
      <c r="F443" s="9" t="s">
        <v>64</v>
      </c>
      <c r="G443" s="10">
        <v>12</v>
      </c>
      <c r="H443" s="9" t="s">
        <v>54</v>
      </c>
    </row>
    <row r="444" spans="1:8" ht="14.25" customHeight="1" x14ac:dyDescent="0.25">
      <c r="A444" s="14">
        <v>46207</v>
      </c>
      <c r="B444" s="6" t="s">
        <v>83</v>
      </c>
      <c r="C444" s="6" t="s">
        <v>77</v>
      </c>
      <c r="D444" s="6" t="s">
        <v>34</v>
      </c>
      <c r="E444" s="6" t="s">
        <v>46</v>
      </c>
      <c r="F444" s="6" t="s">
        <v>53</v>
      </c>
      <c r="G444" s="7">
        <v>3</v>
      </c>
      <c r="H444" s="6" t="s">
        <v>36</v>
      </c>
    </row>
    <row r="445" spans="1:8" ht="14.25" customHeight="1" x14ac:dyDescent="0.25">
      <c r="A445" s="15">
        <v>46188</v>
      </c>
      <c r="B445" s="9" t="s">
        <v>67</v>
      </c>
      <c r="C445" s="9" t="s">
        <v>74</v>
      </c>
      <c r="D445" s="9" t="s">
        <v>56</v>
      </c>
      <c r="E445" s="9" t="s">
        <v>63</v>
      </c>
      <c r="F445" s="9" t="s">
        <v>43</v>
      </c>
      <c r="G445" s="10">
        <v>2</v>
      </c>
      <c r="H445" s="9" t="s">
        <v>54</v>
      </c>
    </row>
    <row r="446" spans="1:8" ht="14.25" customHeight="1" x14ac:dyDescent="0.25">
      <c r="A446" s="14">
        <v>46178</v>
      </c>
      <c r="B446" s="6" t="s">
        <v>9</v>
      </c>
      <c r="C446" s="6" t="s">
        <v>58</v>
      </c>
      <c r="D446" s="6" t="s">
        <v>34</v>
      </c>
      <c r="E446" s="6" t="s">
        <v>82</v>
      </c>
      <c r="F446" s="6" t="s">
        <v>61</v>
      </c>
      <c r="G446" s="7">
        <v>14</v>
      </c>
      <c r="H446" s="6" t="s">
        <v>54</v>
      </c>
    </row>
    <row r="447" spans="1:8" ht="14.25" customHeight="1" x14ac:dyDescent="0.25">
      <c r="A447" s="15">
        <v>46193</v>
      </c>
      <c r="B447" s="9" t="s">
        <v>12</v>
      </c>
      <c r="C447" s="9" t="s">
        <v>58</v>
      </c>
      <c r="D447" s="9" t="s">
        <v>29</v>
      </c>
      <c r="E447" s="9" t="s">
        <v>39</v>
      </c>
      <c r="F447" s="9" t="s">
        <v>53</v>
      </c>
      <c r="G447" s="10">
        <v>4</v>
      </c>
      <c r="H447" s="9" t="s">
        <v>62</v>
      </c>
    </row>
    <row r="448" spans="1:8" ht="14.25" customHeight="1" x14ac:dyDescent="0.25">
      <c r="A448" s="14">
        <v>46215</v>
      </c>
      <c r="B448" s="6" t="s">
        <v>33</v>
      </c>
      <c r="C448" s="6" t="s">
        <v>58</v>
      </c>
      <c r="D448" s="6" t="s">
        <v>29</v>
      </c>
      <c r="E448" s="6" t="s">
        <v>35</v>
      </c>
      <c r="F448" s="6" t="s">
        <v>31</v>
      </c>
      <c r="G448" s="7">
        <v>4</v>
      </c>
      <c r="H448" s="6" t="s">
        <v>54</v>
      </c>
    </row>
    <row r="449" spans="1:8" ht="14.25" customHeight="1" x14ac:dyDescent="0.25">
      <c r="A449" s="15">
        <v>46131</v>
      </c>
      <c r="B449" s="9" t="s">
        <v>41</v>
      </c>
      <c r="C449" s="9" t="s">
        <v>28</v>
      </c>
      <c r="D449" s="9" t="s">
        <v>56</v>
      </c>
      <c r="E449" s="9" t="s">
        <v>63</v>
      </c>
      <c r="F449" s="9" t="s">
        <v>40</v>
      </c>
      <c r="G449" s="10">
        <v>4</v>
      </c>
      <c r="H449" s="9" t="s">
        <v>36</v>
      </c>
    </row>
    <row r="450" spans="1:8" ht="14.25" customHeight="1" x14ac:dyDescent="0.25">
      <c r="A450" s="14">
        <v>46245</v>
      </c>
      <c r="B450" s="6" t="s">
        <v>88</v>
      </c>
      <c r="C450" s="6" t="s">
        <v>74</v>
      </c>
      <c r="D450" s="6" t="s">
        <v>34</v>
      </c>
      <c r="E450" s="6" t="s">
        <v>50</v>
      </c>
      <c r="F450" s="6" t="s">
        <v>31</v>
      </c>
      <c r="G450" s="7">
        <v>1</v>
      </c>
      <c r="H450" s="6" t="s">
        <v>54</v>
      </c>
    </row>
    <row r="451" spans="1:8" ht="14.25" customHeight="1" x14ac:dyDescent="0.25">
      <c r="A451" s="15">
        <v>46238</v>
      </c>
      <c r="B451" s="9" t="s">
        <v>8</v>
      </c>
      <c r="C451" s="9" t="s">
        <v>58</v>
      </c>
      <c r="D451" s="9" t="s">
        <v>29</v>
      </c>
      <c r="E451" s="9" t="s">
        <v>69</v>
      </c>
      <c r="F451" s="9" t="s">
        <v>91</v>
      </c>
      <c r="G451" s="10">
        <v>5</v>
      </c>
      <c r="H451" s="9" t="s">
        <v>54</v>
      </c>
    </row>
    <row r="452" spans="1:8" ht="14.25" customHeight="1" x14ac:dyDescent="0.25">
      <c r="A452" s="14">
        <v>46200</v>
      </c>
      <c r="B452" s="6" t="s">
        <v>79</v>
      </c>
      <c r="C452" s="6" t="s">
        <v>28</v>
      </c>
      <c r="D452" s="6" t="s">
        <v>56</v>
      </c>
      <c r="E452" s="6" t="s">
        <v>82</v>
      </c>
      <c r="F452" s="6" t="s">
        <v>59</v>
      </c>
      <c r="G452" s="7">
        <v>5</v>
      </c>
      <c r="H452" s="6" t="s">
        <v>54</v>
      </c>
    </row>
    <row r="453" spans="1:8" ht="14.25" customHeight="1" x14ac:dyDescent="0.25">
      <c r="A453" s="15">
        <v>46030</v>
      </c>
      <c r="B453" s="9" t="s">
        <v>85</v>
      </c>
      <c r="C453" s="9" t="s">
        <v>58</v>
      </c>
      <c r="D453" s="9" t="s">
        <v>49</v>
      </c>
      <c r="E453" s="9" t="s">
        <v>81</v>
      </c>
      <c r="F453" s="9" t="s">
        <v>51</v>
      </c>
      <c r="G453" s="10">
        <v>3</v>
      </c>
      <c r="H453" s="9" t="s">
        <v>54</v>
      </c>
    </row>
    <row r="454" spans="1:8" ht="14.25" customHeight="1" x14ac:dyDescent="0.25">
      <c r="A454" s="14">
        <v>46226</v>
      </c>
      <c r="B454" s="6" t="s">
        <v>12</v>
      </c>
      <c r="C454" s="6" t="s">
        <v>37</v>
      </c>
      <c r="D454" s="6" t="s">
        <v>49</v>
      </c>
      <c r="E454" s="6" t="s">
        <v>80</v>
      </c>
      <c r="F454" s="6" t="s">
        <v>66</v>
      </c>
      <c r="G454" s="7">
        <v>11</v>
      </c>
      <c r="H454" s="6" t="s">
        <v>32</v>
      </c>
    </row>
    <row r="455" spans="1:8" ht="14.25" customHeight="1" x14ac:dyDescent="0.25">
      <c r="A455" s="15">
        <v>46235</v>
      </c>
      <c r="B455" s="9" t="s">
        <v>44</v>
      </c>
      <c r="C455" s="9" t="s">
        <v>77</v>
      </c>
      <c r="D455" s="9" t="s">
        <v>34</v>
      </c>
      <c r="E455" s="9" t="s">
        <v>39</v>
      </c>
      <c r="F455" s="9" t="s">
        <v>91</v>
      </c>
      <c r="G455" s="10">
        <v>9</v>
      </c>
      <c r="H455" s="9" t="s">
        <v>62</v>
      </c>
    </row>
    <row r="456" spans="1:8" ht="14.25" customHeight="1" x14ac:dyDescent="0.25">
      <c r="A456" s="14">
        <v>46223</v>
      </c>
      <c r="B456" s="6" t="s">
        <v>10</v>
      </c>
      <c r="C456" s="6" t="s">
        <v>28</v>
      </c>
      <c r="D456" s="6" t="s">
        <v>49</v>
      </c>
      <c r="E456" s="6" t="s">
        <v>82</v>
      </c>
      <c r="F456" s="6" t="s">
        <v>53</v>
      </c>
      <c r="G456" s="7">
        <v>15</v>
      </c>
      <c r="H456" s="6" t="s">
        <v>32</v>
      </c>
    </row>
    <row r="457" spans="1:8" ht="14.25" customHeight="1" x14ac:dyDescent="0.25">
      <c r="A457" s="15">
        <v>46049</v>
      </c>
      <c r="B457" s="9" t="s">
        <v>5</v>
      </c>
      <c r="C457" s="9" t="s">
        <v>77</v>
      </c>
      <c r="D457" s="9" t="s">
        <v>49</v>
      </c>
      <c r="E457" s="9" t="s">
        <v>82</v>
      </c>
      <c r="F457" s="9" t="s">
        <v>47</v>
      </c>
      <c r="G457" s="10">
        <v>10</v>
      </c>
      <c r="H457" s="9" t="s">
        <v>54</v>
      </c>
    </row>
    <row r="458" spans="1:8" ht="14.25" customHeight="1" x14ac:dyDescent="0.25">
      <c r="A458" s="14">
        <v>46083</v>
      </c>
      <c r="B458" s="6" t="s">
        <v>15</v>
      </c>
      <c r="C458" s="6" t="s">
        <v>37</v>
      </c>
      <c r="D458" s="6" t="s">
        <v>56</v>
      </c>
      <c r="E458" s="6" t="s">
        <v>82</v>
      </c>
      <c r="F458" s="6" t="s">
        <v>61</v>
      </c>
      <c r="G458" s="7">
        <v>5</v>
      </c>
      <c r="H458" s="6" t="s">
        <v>54</v>
      </c>
    </row>
    <row r="459" spans="1:8" ht="14.25" customHeight="1" x14ac:dyDescent="0.25">
      <c r="A459" s="15">
        <v>46160</v>
      </c>
      <c r="B459" s="9" t="s">
        <v>15</v>
      </c>
      <c r="C459" s="9" t="s">
        <v>58</v>
      </c>
      <c r="D459" s="9" t="s">
        <v>38</v>
      </c>
      <c r="E459" s="9" t="s">
        <v>63</v>
      </c>
      <c r="F459" s="9" t="s">
        <v>59</v>
      </c>
      <c r="G459" s="10">
        <v>9</v>
      </c>
      <c r="H459" s="9" t="s">
        <v>54</v>
      </c>
    </row>
    <row r="460" spans="1:8" ht="14.25" customHeight="1" x14ac:dyDescent="0.25">
      <c r="A460" s="14">
        <v>46220</v>
      </c>
      <c r="B460" s="6" t="s">
        <v>83</v>
      </c>
      <c r="C460" s="6" t="s">
        <v>58</v>
      </c>
      <c r="D460" s="6" t="s">
        <v>34</v>
      </c>
      <c r="E460" s="6" t="s">
        <v>46</v>
      </c>
      <c r="F460" s="6" t="s">
        <v>84</v>
      </c>
      <c r="G460" s="7">
        <v>1</v>
      </c>
      <c r="H460" s="6" t="s">
        <v>54</v>
      </c>
    </row>
    <row r="461" spans="1:8" ht="14.25" customHeight="1" x14ac:dyDescent="0.25">
      <c r="A461" s="15">
        <v>46094</v>
      </c>
      <c r="B461" s="9" t="s">
        <v>44</v>
      </c>
      <c r="C461" s="9" t="s">
        <v>71</v>
      </c>
      <c r="D461" s="9" t="s">
        <v>49</v>
      </c>
      <c r="E461" s="9" t="s">
        <v>63</v>
      </c>
      <c r="F461" s="9" t="s">
        <v>43</v>
      </c>
      <c r="G461" s="10">
        <v>8</v>
      </c>
      <c r="H461" s="9" t="s">
        <v>36</v>
      </c>
    </row>
    <row r="462" spans="1:8" ht="14.25" customHeight="1" x14ac:dyDescent="0.25">
      <c r="A462" s="14">
        <v>46177</v>
      </c>
      <c r="B462" s="6" t="s">
        <v>10</v>
      </c>
      <c r="C462" s="6" t="s">
        <v>89</v>
      </c>
      <c r="D462" s="6" t="s">
        <v>38</v>
      </c>
      <c r="E462" s="6" t="s">
        <v>63</v>
      </c>
      <c r="F462" s="6" t="s">
        <v>64</v>
      </c>
      <c r="G462" s="7">
        <v>8</v>
      </c>
      <c r="H462" s="6" t="s">
        <v>62</v>
      </c>
    </row>
    <row r="463" spans="1:8" ht="14.25" customHeight="1" x14ac:dyDescent="0.25">
      <c r="A463" s="15">
        <v>46231</v>
      </c>
      <c r="B463" s="9" t="s">
        <v>7</v>
      </c>
      <c r="C463" s="9" t="s">
        <v>89</v>
      </c>
      <c r="D463" s="9" t="s">
        <v>29</v>
      </c>
      <c r="E463" s="9" t="s">
        <v>46</v>
      </c>
      <c r="F463" s="9" t="s">
        <v>61</v>
      </c>
      <c r="G463" s="10">
        <v>9</v>
      </c>
      <c r="H463" s="9" t="s">
        <v>36</v>
      </c>
    </row>
    <row r="464" spans="1:8" ht="14.25" customHeight="1" x14ac:dyDescent="0.25">
      <c r="A464" s="14">
        <v>46203</v>
      </c>
      <c r="B464" s="6" t="s">
        <v>79</v>
      </c>
      <c r="C464" s="6" t="s">
        <v>77</v>
      </c>
      <c r="D464" s="6" t="s">
        <v>34</v>
      </c>
      <c r="E464" s="6" t="s">
        <v>50</v>
      </c>
      <c r="F464" s="6" t="s">
        <v>73</v>
      </c>
      <c r="G464" s="7">
        <v>10</v>
      </c>
      <c r="H464" s="6" t="s">
        <v>32</v>
      </c>
    </row>
    <row r="465" spans="1:8" ht="14.25" customHeight="1" x14ac:dyDescent="0.25">
      <c r="A465" s="15">
        <v>46238</v>
      </c>
      <c r="B465" s="9" t="s">
        <v>52</v>
      </c>
      <c r="C465" s="9" t="s">
        <v>89</v>
      </c>
      <c r="D465" s="9" t="s">
        <v>38</v>
      </c>
      <c r="E465" s="9" t="s">
        <v>63</v>
      </c>
      <c r="F465" s="9" t="s">
        <v>51</v>
      </c>
      <c r="G465" s="10">
        <v>6</v>
      </c>
      <c r="H465" s="9" t="s">
        <v>36</v>
      </c>
    </row>
    <row r="466" spans="1:8" ht="14.25" customHeight="1" x14ac:dyDescent="0.25">
      <c r="A466" s="14">
        <v>46177</v>
      </c>
      <c r="B466" s="6" t="s">
        <v>9</v>
      </c>
      <c r="C466" s="6" t="s">
        <v>28</v>
      </c>
      <c r="D466" s="6" t="s">
        <v>38</v>
      </c>
      <c r="E466" s="6" t="s">
        <v>50</v>
      </c>
      <c r="F466" s="6" t="s">
        <v>51</v>
      </c>
      <c r="G466" s="7">
        <v>4</v>
      </c>
      <c r="H466" s="6" t="s">
        <v>54</v>
      </c>
    </row>
    <row r="467" spans="1:8" ht="14.25" customHeight="1" x14ac:dyDescent="0.25">
      <c r="A467" s="15">
        <v>46099</v>
      </c>
      <c r="B467" s="9" t="s">
        <v>83</v>
      </c>
      <c r="C467" s="9" t="s">
        <v>28</v>
      </c>
      <c r="D467" s="9" t="s">
        <v>34</v>
      </c>
      <c r="E467" s="9" t="s">
        <v>95</v>
      </c>
      <c r="F467" s="9" t="s">
        <v>40</v>
      </c>
      <c r="G467" s="10">
        <v>4</v>
      </c>
      <c r="H467" s="9" t="s">
        <v>32</v>
      </c>
    </row>
    <row r="468" spans="1:8" ht="14.25" customHeight="1" x14ac:dyDescent="0.25">
      <c r="A468" s="14">
        <v>46035</v>
      </c>
      <c r="B468" s="6" t="s">
        <v>41</v>
      </c>
      <c r="C468" s="6" t="s">
        <v>37</v>
      </c>
      <c r="D468" s="6" t="s">
        <v>29</v>
      </c>
      <c r="E468" s="6" t="s">
        <v>80</v>
      </c>
      <c r="F468" s="6" t="s">
        <v>53</v>
      </c>
      <c r="G468" s="7">
        <v>14</v>
      </c>
      <c r="H468" s="6" t="s">
        <v>32</v>
      </c>
    </row>
    <row r="469" spans="1:8" ht="14.25" customHeight="1" x14ac:dyDescent="0.25">
      <c r="A469" s="15">
        <v>46175</v>
      </c>
      <c r="B469" s="9" t="s">
        <v>12</v>
      </c>
      <c r="C469" s="9" t="s">
        <v>28</v>
      </c>
      <c r="D469" s="9" t="s">
        <v>38</v>
      </c>
      <c r="E469" s="9" t="s">
        <v>80</v>
      </c>
      <c r="F469" s="9" t="s">
        <v>53</v>
      </c>
      <c r="G469" s="10">
        <v>8</v>
      </c>
      <c r="H469" s="9" t="s">
        <v>36</v>
      </c>
    </row>
    <row r="470" spans="1:8" ht="14.25" customHeight="1" x14ac:dyDescent="0.25">
      <c r="A470" s="14">
        <v>46044</v>
      </c>
      <c r="B470" s="6" t="s">
        <v>44</v>
      </c>
      <c r="C470" s="6" t="s">
        <v>37</v>
      </c>
      <c r="D470" s="6" t="s">
        <v>34</v>
      </c>
      <c r="E470" s="6" t="s">
        <v>46</v>
      </c>
      <c r="F470" s="6" t="s">
        <v>53</v>
      </c>
      <c r="G470" s="7">
        <v>3</v>
      </c>
      <c r="H470" s="6" t="s">
        <v>36</v>
      </c>
    </row>
    <row r="471" spans="1:8" ht="14.25" customHeight="1" x14ac:dyDescent="0.25">
      <c r="A471" s="15">
        <v>46142</v>
      </c>
      <c r="B471" s="9" t="s">
        <v>92</v>
      </c>
      <c r="C471" s="9" t="s">
        <v>77</v>
      </c>
      <c r="D471" s="9" t="s">
        <v>29</v>
      </c>
      <c r="E471" s="9" t="s">
        <v>46</v>
      </c>
      <c r="F471" s="9" t="s">
        <v>61</v>
      </c>
      <c r="G471" s="10">
        <v>10</v>
      </c>
      <c r="H471" s="9" t="s">
        <v>32</v>
      </c>
    </row>
    <row r="472" spans="1:8" ht="14.25" customHeight="1" x14ac:dyDescent="0.25">
      <c r="A472" s="14">
        <v>46090</v>
      </c>
      <c r="B472" s="6" t="s">
        <v>33</v>
      </c>
      <c r="C472" s="6" t="s">
        <v>42</v>
      </c>
      <c r="D472" s="6" t="s">
        <v>34</v>
      </c>
      <c r="E472" s="6" t="s">
        <v>39</v>
      </c>
      <c r="F472" s="6" t="s">
        <v>51</v>
      </c>
      <c r="G472" s="7">
        <v>7</v>
      </c>
      <c r="H472" s="6" t="s">
        <v>36</v>
      </c>
    </row>
    <row r="473" spans="1:8" ht="14.25" customHeight="1" x14ac:dyDescent="0.25">
      <c r="A473" s="15">
        <v>46211</v>
      </c>
      <c r="B473" s="9" t="s">
        <v>15</v>
      </c>
      <c r="C473" s="9" t="s">
        <v>28</v>
      </c>
      <c r="D473" s="9" t="s">
        <v>34</v>
      </c>
      <c r="E473" s="9" t="s">
        <v>30</v>
      </c>
      <c r="F473" s="9" t="s">
        <v>53</v>
      </c>
      <c r="G473" s="10">
        <v>6</v>
      </c>
      <c r="H473" s="9" t="s">
        <v>62</v>
      </c>
    </row>
    <row r="474" spans="1:8" ht="14.25" customHeight="1" x14ac:dyDescent="0.25">
      <c r="A474" s="14">
        <v>46060</v>
      </c>
      <c r="B474" s="6" t="s">
        <v>7</v>
      </c>
      <c r="C474" s="6" t="s">
        <v>37</v>
      </c>
      <c r="D474" s="6" t="s">
        <v>34</v>
      </c>
      <c r="E474" s="6" t="s">
        <v>35</v>
      </c>
      <c r="F474" s="6" t="s">
        <v>64</v>
      </c>
      <c r="G474" s="7">
        <v>13</v>
      </c>
      <c r="H474" s="6" t="s">
        <v>62</v>
      </c>
    </row>
    <row r="475" spans="1:8" ht="14.25" customHeight="1" x14ac:dyDescent="0.25">
      <c r="A475" s="15">
        <v>46048</v>
      </c>
      <c r="B475" s="9" t="s">
        <v>83</v>
      </c>
      <c r="C475" s="9" t="s">
        <v>77</v>
      </c>
      <c r="D475" s="9" t="s">
        <v>34</v>
      </c>
      <c r="E475" s="9" t="s">
        <v>63</v>
      </c>
      <c r="F475" s="9" t="s">
        <v>40</v>
      </c>
      <c r="G475" s="10">
        <v>4</v>
      </c>
      <c r="H475" s="9" t="s">
        <v>32</v>
      </c>
    </row>
    <row r="476" spans="1:8" ht="14.25" customHeight="1" x14ac:dyDescent="0.25">
      <c r="A476" s="14">
        <v>46234</v>
      </c>
      <c r="B476" s="6" t="s">
        <v>15</v>
      </c>
      <c r="C476" s="6" t="s">
        <v>28</v>
      </c>
      <c r="D476" s="6" t="s">
        <v>56</v>
      </c>
      <c r="E476" s="6" t="s">
        <v>82</v>
      </c>
      <c r="F476" s="6" t="s">
        <v>78</v>
      </c>
      <c r="G476" s="7">
        <v>3</v>
      </c>
      <c r="H476" s="6" t="s">
        <v>32</v>
      </c>
    </row>
    <row r="477" spans="1:8" ht="14.25" customHeight="1" x14ac:dyDescent="0.25">
      <c r="A477" s="15">
        <v>46078</v>
      </c>
      <c r="B477" s="9" t="s">
        <v>9</v>
      </c>
      <c r="C477" s="9" t="s">
        <v>77</v>
      </c>
      <c r="D477" s="9" t="s">
        <v>56</v>
      </c>
      <c r="E477" s="9" t="s">
        <v>82</v>
      </c>
      <c r="F477" s="9" t="s">
        <v>47</v>
      </c>
      <c r="G477" s="10">
        <v>13</v>
      </c>
      <c r="H477" s="9" t="s">
        <v>62</v>
      </c>
    </row>
    <row r="478" spans="1:8" ht="14.25" customHeight="1" x14ac:dyDescent="0.25">
      <c r="A478" s="14">
        <v>46131</v>
      </c>
      <c r="B478" s="6" t="s">
        <v>41</v>
      </c>
      <c r="C478" s="6" t="s">
        <v>45</v>
      </c>
      <c r="D478" s="6" t="s">
        <v>56</v>
      </c>
      <c r="E478" s="6" t="s">
        <v>30</v>
      </c>
      <c r="F478" s="6" t="s">
        <v>91</v>
      </c>
      <c r="G478" s="7">
        <v>9</v>
      </c>
      <c r="H478" s="6" t="s">
        <v>32</v>
      </c>
    </row>
    <row r="479" spans="1:8" ht="14.25" customHeight="1" x14ac:dyDescent="0.25">
      <c r="A479" s="15">
        <v>46167</v>
      </c>
      <c r="B479" s="9" t="s">
        <v>33</v>
      </c>
      <c r="C479" s="9" t="s">
        <v>71</v>
      </c>
      <c r="D479" s="9" t="s">
        <v>34</v>
      </c>
      <c r="E479" s="9" t="s">
        <v>81</v>
      </c>
      <c r="F479" s="9" t="s">
        <v>64</v>
      </c>
      <c r="G479" s="10">
        <v>10</v>
      </c>
      <c r="H479" s="9" t="s">
        <v>32</v>
      </c>
    </row>
    <row r="480" spans="1:8" ht="14.25" customHeight="1" x14ac:dyDescent="0.25">
      <c r="A480" s="14">
        <v>46031</v>
      </c>
      <c r="B480" s="6" t="s">
        <v>15</v>
      </c>
      <c r="C480" s="6" t="s">
        <v>77</v>
      </c>
      <c r="D480" s="6" t="s">
        <v>38</v>
      </c>
      <c r="E480" s="6" t="s">
        <v>30</v>
      </c>
      <c r="F480" s="6" t="s">
        <v>53</v>
      </c>
      <c r="G480" s="7">
        <v>6</v>
      </c>
      <c r="H480" s="6" t="s">
        <v>54</v>
      </c>
    </row>
    <row r="481" spans="1:8" ht="14.25" customHeight="1" x14ac:dyDescent="0.25">
      <c r="A481" s="15">
        <v>46214</v>
      </c>
      <c r="B481" s="9" t="s">
        <v>7</v>
      </c>
      <c r="C481" s="9" t="s">
        <v>71</v>
      </c>
      <c r="D481" s="9" t="s">
        <v>34</v>
      </c>
      <c r="E481" s="9" t="s">
        <v>63</v>
      </c>
      <c r="F481" s="9" t="s">
        <v>53</v>
      </c>
      <c r="G481" s="10">
        <v>15</v>
      </c>
      <c r="H481" s="9" t="s">
        <v>36</v>
      </c>
    </row>
    <row r="482" spans="1:8" ht="14.25" customHeight="1" x14ac:dyDescent="0.25">
      <c r="A482" s="14">
        <v>46219</v>
      </c>
      <c r="B482" s="6" t="s">
        <v>15</v>
      </c>
      <c r="C482" s="6" t="s">
        <v>37</v>
      </c>
      <c r="D482" s="6" t="s">
        <v>56</v>
      </c>
      <c r="E482" s="6" t="s">
        <v>39</v>
      </c>
      <c r="F482" s="6" t="s">
        <v>43</v>
      </c>
      <c r="G482" s="7">
        <v>11</v>
      </c>
      <c r="H482" s="6" t="s">
        <v>36</v>
      </c>
    </row>
    <row r="483" spans="1:8" ht="14.25" customHeight="1" x14ac:dyDescent="0.25">
      <c r="A483" s="15">
        <v>46080</v>
      </c>
      <c r="B483" s="9" t="s">
        <v>83</v>
      </c>
      <c r="C483" s="9" t="s">
        <v>45</v>
      </c>
      <c r="D483" s="9" t="s">
        <v>56</v>
      </c>
      <c r="E483" s="9" t="s">
        <v>69</v>
      </c>
      <c r="F483" s="9" t="s">
        <v>84</v>
      </c>
      <c r="G483" s="10">
        <v>9</v>
      </c>
      <c r="H483" s="9" t="s">
        <v>54</v>
      </c>
    </row>
    <row r="484" spans="1:8" ht="14.25" customHeight="1" x14ac:dyDescent="0.25">
      <c r="A484" s="14">
        <v>46173</v>
      </c>
      <c r="B484" s="6" t="s">
        <v>70</v>
      </c>
      <c r="C484" s="6" t="s">
        <v>28</v>
      </c>
      <c r="D484" s="6" t="s">
        <v>56</v>
      </c>
      <c r="E484" s="6" t="s">
        <v>69</v>
      </c>
      <c r="F484" s="6" t="s">
        <v>73</v>
      </c>
      <c r="G484" s="7">
        <v>8</v>
      </c>
      <c r="H484" s="6" t="s">
        <v>62</v>
      </c>
    </row>
    <row r="485" spans="1:8" ht="14.25" customHeight="1" x14ac:dyDescent="0.25">
      <c r="A485" s="15">
        <v>46145</v>
      </c>
      <c r="B485" s="9" t="s">
        <v>41</v>
      </c>
      <c r="C485" s="9" t="s">
        <v>37</v>
      </c>
      <c r="D485" s="9" t="s">
        <v>29</v>
      </c>
      <c r="E485" s="9" t="s">
        <v>63</v>
      </c>
      <c r="F485" s="9" t="s">
        <v>40</v>
      </c>
      <c r="G485" s="10">
        <v>13</v>
      </c>
      <c r="H485" s="9" t="s">
        <v>62</v>
      </c>
    </row>
    <row r="486" spans="1:8" ht="14.25" customHeight="1" x14ac:dyDescent="0.25">
      <c r="A486" s="14">
        <v>46215</v>
      </c>
      <c r="B486" s="6" t="s">
        <v>9</v>
      </c>
      <c r="C486" s="6" t="s">
        <v>77</v>
      </c>
      <c r="D486" s="6" t="s">
        <v>29</v>
      </c>
      <c r="E486" s="6" t="s">
        <v>69</v>
      </c>
      <c r="F486" s="6" t="s">
        <v>61</v>
      </c>
      <c r="G486" s="7">
        <v>6</v>
      </c>
      <c r="H486" s="6" t="s">
        <v>54</v>
      </c>
    </row>
    <row r="487" spans="1:8" ht="14.25" customHeight="1" x14ac:dyDescent="0.25">
      <c r="A487" s="15">
        <v>46026</v>
      </c>
      <c r="B487" s="9" t="s">
        <v>60</v>
      </c>
      <c r="C487" s="9" t="s">
        <v>71</v>
      </c>
      <c r="D487" s="9" t="s">
        <v>56</v>
      </c>
      <c r="E487" s="9" t="s">
        <v>94</v>
      </c>
      <c r="F487" s="9" t="s">
        <v>64</v>
      </c>
      <c r="G487" s="10">
        <v>3</v>
      </c>
      <c r="H487" s="9" t="s">
        <v>62</v>
      </c>
    </row>
    <row r="488" spans="1:8" ht="14.25" customHeight="1" x14ac:dyDescent="0.25">
      <c r="A488" s="14">
        <v>46078</v>
      </c>
      <c r="B488" s="6" t="s">
        <v>76</v>
      </c>
      <c r="C488" s="6" t="s">
        <v>28</v>
      </c>
      <c r="D488" s="6" t="s">
        <v>56</v>
      </c>
      <c r="E488" s="6" t="s">
        <v>63</v>
      </c>
      <c r="F488" s="6" t="s">
        <v>66</v>
      </c>
      <c r="G488" s="7">
        <v>8</v>
      </c>
      <c r="H488" s="6" t="s">
        <v>32</v>
      </c>
    </row>
    <row r="489" spans="1:8" ht="14.25" customHeight="1" x14ac:dyDescent="0.25">
      <c r="A489" s="15">
        <v>46065</v>
      </c>
      <c r="B489" s="9" t="s">
        <v>5</v>
      </c>
      <c r="C489" s="9" t="s">
        <v>58</v>
      </c>
      <c r="D489" s="9" t="s">
        <v>34</v>
      </c>
      <c r="E489" s="9" t="s">
        <v>82</v>
      </c>
      <c r="F489" s="9" t="s">
        <v>84</v>
      </c>
      <c r="G489" s="10">
        <v>15</v>
      </c>
      <c r="H489" s="9" t="s">
        <v>62</v>
      </c>
    </row>
    <row r="490" spans="1:8" ht="14.25" customHeight="1" x14ac:dyDescent="0.25">
      <c r="A490" s="14">
        <v>46218</v>
      </c>
      <c r="B490" s="6" t="s">
        <v>27</v>
      </c>
      <c r="C490" s="6" t="s">
        <v>37</v>
      </c>
      <c r="D490" s="6" t="s">
        <v>29</v>
      </c>
      <c r="E490" s="6" t="s">
        <v>63</v>
      </c>
      <c r="F490" s="6" t="s">
        <v>47</v>
      </c>
      <c r="G490" s="7">
        <v>2</v>
      </c>
      <c r="H490" s="6" t="s">
        <v>32</v>
      </c>
    </row>
    <row r="491" spans="1:8" ht="14.25" customHeight="1" x14ac:dyDescent="0.25">
      <c r="A491" s="15">
        <v>46137</v>
      </c>
      <c r="B491" s="9" t="s">
        <v>85</v>
      </c>
      <c r="C491" s="9" t="s">
        <v>28</v>
      </c>
      <c r="D491" s="9" t="s">
        <v>29</v>
      </c>
      <c r="E491" s="9" t="s">
        <v>39</v>
      </c>
      <c r="F491" s="9" t="s">
        <v>66</v>
      </c>
      <c r="G491" s="10">
        <v>10</v>
      </c>
      <c r="H491" s="9" t="s">
        <v>62</v>
      </c>
    </row>
    <row r="492" spans="1:8" ht="14.25" customHeight="1" x14ac:dyDescent="0.25">
      <c r="A492" s="14">
        <v>46045</v>
      </c>
      <c r="B492" s="6" t="s">
        <v>6</v>
      </c>
      <c r="C492" s="6" t="s">
        <v>28</v>
      </c>
      <c r="D492" s="6" t="s">
        <v>29</v>
      </c>
      <c r="E492" s="6" t="s">
        <v>50</v>
      </c>
      <c r="F492" s="6" t="s">
        <v>64</v>
      </c>
      <c r="G492" s="7">
        <v>5</v>
      </c>
      <c r="H492" s="6" t="s">
        <v>32</v>
      </c>
    </row>
    <row r="493" spans="1:8" ht="14.25" customHeight="1" x14ac:dyDescent="0.25">
      <c r="A493" s="15">
        <v>46095</v>
      </c>
      <c r="B493" s="9" t="s">
        <v>76</v>
      </c>
      <c r="C493" s="9" t="s">
        <v>28</v>
      </c>
      <c r="D493" s="9" t="s">
        <v>56</v>
      </c>
      <c r="E493" s="9" t="s">
        <v>72</v>
      </c>
      <c r="F493" s="9" t="s">
        <v>43</v>
      </c>
      <c r="G493" s="10">
        <v>15</v>
      </c>
      <c r="H493" s="9" t="s">
        <v>54</v>
      </c>
    </row>
    <row r="494" spans="1:8" ht="14.25" customHeight="1" x14ac:dyDescent="0.25">
      <c r="A494" s="14">
        <v>46064</v>
      </c>
      <c r="B494" s="6" t="s">
        <v>9</v>
      </c>
      <c r="C494" s="6" t="s">
        <v>58</v>
      </c>
      <c r="D494" s="6" t="s">
        <v>34</v>
      </c>
      <c r="E494" s="6" t="s">
        <v>81</v>
      </c>
      <c r="F494" s="6" t="s">
        <v>78</v>
      </c>
      <c r="G494" s="7">
        <v>15</v>
      </c>
      <c r="H494" s="6" t="s">
        <v>54</v>
      </c>
    </row>
    <row r="495" spans="1:8" ht="14.25" customHeight="1" x14ac:dyDescent="0.25">
      <c r="A495" s="15">
        <v>46154</v>
      </c>
      <c r="B495" s="9" t="s">
        <v>44</v>
      </c>
      <c r="C495" s="9" t="s">
        <v>87</v>
      </c>
      <c r="D495" s="9" t="s">
        <v>29</v>
      </c>
      <c r="E495" s="9" t="s">
        <v>63</v>
      </c>
      <c r="F495" s="9" t="s">
        <v>40</v>
      </c>
      <c r="G495" s="10">
        <v>10</v>
      </c>
      <c r="H495" s="9" t="s">
        <v>36</v>
      </c>
    </row>
    <row r="496" spans="1:8" ht="14.25" customHeight="1" x14ac:dyDescent="0.25">
      <c r="A496" s="14">
        <v>46079</v>
      </c>
      <c r="B496" s="6" t="s">
        <v>9</v>
      </c>
      <c r="C496" s="6" t="s">
        <v>87</v>
      </c>
      <c r="D496" s="6" t="s">
        <v>29</v>
      </c>
      <c r="E496" s="6" t="s">
        <v>46</v>
      </c>
      <c r="F496" s="6" t="s">
        <v>43</v>
      </c>
      <c r="G496" s="7">
        <v>5</v>
      </c>
      <c r="H496" s="6" t="s">
        <v>32</v>
      </c>
    </row>
    <row r="497" spans="1:8" ht="14.25" customHeight="1" x14ac:dyDescent="0.25">
      <c r="A497" s="15">
        <v>46133</v>
      </c>
      <c r="B497" s="9" t="s">
        <v>7</v>
      </c>
      <c r="C497" s="9" t="s">
        <v>74</v>
      </c>
      <c r="D497" s="9" t="s">
        <v>56</v>
      </c>
      <c r="E497" s="9" t="s">
        <v>94</v>
      </c>
      <c r="F497" s="9" t="s">
        <v>64</v>
      </c>
      <c r="G497" s="10">
        <v>5</v>
      </c>
      <c r="H497" s="9" t="s">
        <v>54</v>
      </c>
    </row>
    <row r="498" spans="1:8" ht="14.25" customHeight="1" x14ac:dyDescent="0.25">
      <c r="A498" s="14">
        <v>46198</v>
      </c>
      <c r="B498" s="6" t="s">
        <v>33</v>
      </c>
      <c r="C498" s="6" t="s">
        <v>89</v>
      </c>
      <c r="D498" s="6" t="s">
        <v>34</v>
      </c>
      <c r="E498" s="6" t="s">
        <v>72</v>
      </c>
      <c r="F498" s="6" t="s">
        <v>31</v>
      </c>
      <c r="G498" s="7">
        <v>8</v>
      </c>
      <c r="H498" s="6" t="s">
        <v>32</v>
      </c>
    </row>
    <row r="499" spans="1:8" ht="14.25" customHeight="1" x14ac:dyDescent="0.25">
      <c r="A499" s="15">
        <v>46175</v>
      </c>
      <c r="B499" s="9" t="s">
        <v>67</v>
      </c>
      <c r="C499" s="9" t="s">
        <v>37</v>
      </c>
      <c r="D499" s="9" t="s">
        <v>38</v>
      </c>
      <c r="E499" s="9" t="s">
        <v>81</v>
      </c>
      <c r="F499" s="9" t="s">
        <v>91</v>
      </c>
      <c r="G499" s="10">
        <v>3</v>
      </c>
      <c r="H499" s="9" t="s">
        <v>32</v>
      </c>
    </row>
    <row r="500" spans="1:8" ht="14.25" customHeight="1" x14ac:dyDescent="0.25">
      <c r="A500" s="14">
        <v>46184</v>
      </c>
      <c r="B500" s="6" t="s">
        <v>52</v>
      </c>
      <c r="C500" s="6" t="s">
        <v>77</v>
      </c>
      <c r="D500" s="6" t="s">
        <v>38</v>
      </c>
      <c r="E500" s="6" t="s">
        <v>46</v>
      </c>
      <c r="F500" s="6" t="s">
        <v>40</v>
      </c>
      <c r="G500" s="7">
        <v>5</v>
      </c>
      <c r="H500" s="6" t="s">
        <v>62</v>
      </c>
    </row>
    <row r="501" spans="1:8" ht="14.25" customHeight="1" x14ac:dyDescent="0.25">
      <c r="A501" s="15">
        <v>46218</v>
      </c>
      <c r="B501" s="9" t="s">
        <v>7</v>
      </c>
      <c r="C501" s="9" t="s">
        <v>45</v>
      </c>
      <c r="D501" s="9" t="s">
        <v>29</v>
      </c>
      <c r="E501" s="9" t="s">
        <v>46</v>
      </c>
      <c r="F501" s="9" t="s">
        <v>66</v>
      </c>
      <c r="G501" s="10">
        <v>4</v>
      </c>
      <c r="H501" s="9" t="s">
        <v>32</v>
      </c>
    </row>
    <row r="502" spans="1:8" ht="14.25" customHeight="1" x14ac:dyDescent="0.25"/>
    <row r="503" spans="1:8" ht="14.25" customHeight="1" x14ac:dyDescent="0.25"/>
    <row r="504" spans="1:8" ht="14.25" customHeight="1" x14ac:dyDescent="0.25"/>
    <row r="505" spans="1:8" ht="14.25" customHeight="1" x14ac:dyDescent="0.25"/>
    <row r="506" spans="1:8" ht="14.25" customHeight="1" x14ac:dyDescent="0.25"/>
    <row r="507" spans="1:8" ht="14.25" customHeight="1" x14ac:dyDescent="0.25"/>
    <row r="508" spans="1:8" ht="14.25" customHeight="1" x14ac:dyDescent="0.25"/>
    <row r="509" spans="1:8" ht="14.25" customHeight="1" x14ac:dyDescent="0.25"/>
    <row r="510" spans="1:8" ht="14.25" customHeight="1" x14ac:dyDescent="0.25"/>
    <row r="511" spans="1:8" ht="14.25" customHeight="1" x14ac:dyDescent="0.25"/>
    <row r="512" spans="1:8"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D26" sqref="D26"/>
    </sheetView>
  </sheetViews>
  <sheetFormatPr defaultColWidth="14.42578125" defaultRowHeight="15" customHeight="1" x14ac:dyDescent="0.25"/>
  <cols>
    <col min="1" max="1" width="13.85546875" customWidth="1"/>
    <col min="2" max="2" width="11.85546875" customWidth="1"/>
    <col min="3" max="26" width="8.7109375" customWidth="1"/>
  </cols>
  <sheetData>
    <row r="1" spans="1:3" ht="14.25" customHeight="1" x14ac:dyDescent="0.25">
      <c r="A1" s="1" t="s">
        <v>0</v>
      </c>
      <c r="B1" s="1" t="s">
        <v>3</v>
      </c>
      <c r="C1" s="1" t="s">
        <v>4</v>
      </c>
    </row>
    <row r="2" spans="1:3" ht="14.25" customHeight="1" x14ac:dyDescent="0.25">
      <c r="A2" s="1" t="s">
        <v>5</v>
      </c>
      <c r="B2" s="3">
        <v>89</v>
      </c>
      <c r="C2" s="3">
        <v>47</v>
      </c>
    </row>
    <row r="3" spans="1:3" ht="14.25" customHeight="1" x14ac:dyDescent="0.25">
      <c r="A3" s="1" t="s">
        <v>6</v>
      </c>
      <c r="B3" s="3">
        <v>54</v>
      </c>
      <c r="C3" s="3">
        <v>28</v>
      </c>
    </row>
    <row r="4" spans="1:3" ht="14.25" customHeight="1" x14ac:dyDescent="0.25">
      <c r="A4" s="1" t="s">
        <v>7</v>
      </c>
      <c r="B4" s="3">
        <v>32</v>
      </c>
      <c r="C4" s="3">
        <v>14</v>
      </c>
    </row>
    <row r="5" spans="1:3" ht="14.25" customHeight="1" x14ac:dyDescent="0.25">
      <c r="A5" s="1" t="s">
        <v>8</v>
      </c>
      <c r="B5" s="3">
        <v>76</v>
      </c>
      <c r="C5" s="3">
        <v>39</v>
      </c>
    </row>
    <row r="6" spans="1:3" ht="14.25" customHeight="1" x14ac:dyDescent="0.25">
      <c r="A6" s="1" t="s">
        <v>9</v>
      </c>
      <c r="B6" s="3">
        <v>128</v>
      </c>
      <c r="C6" s="3">
        <v>72</v>
      </c>
    </row>
    <row r="7" spans="1:3" ht="14.25" customHeight="1" x14ac:dyDescent="0.25">
      <c r="A7" s="1" t="s">
        <v>10</v>
      </c>
      <c r="B7" s="3">
        <v>105</v>
      </c>
      <c r="C7" s="3">
        <v>58</v>
      </c>
    </row>
    <row r="8" spans="1:3" ht="14.25" customHeight="1" x14ac:dyDescent="0.25">
      <c r="A8" s="1" t="s">
        <v>12</v>
      </c>
      <c r="B8" s="3">
        <v>112</v>
      </c>
      <c r="C8" s="3">
        <v>64</v>
      </c>
    </row>
    <row r="9" spans="1:3" ht="14.25" customHeight="1" x14ac:dyDescent="0.25">
      <c r="A9" s="1" t="s">
        <v>15</v>
      </c>
      <c r="B9" s="3">
        <v>119</v>
      </c>
      <c r="C9" s="3">
        <v>67</v>
      </c>
    </row>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3B585E-8A74-44DE-BEDA-D220DD86EA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Shoe Sales (Original)</vt:lpstr>
      <vt:lpstr>Cleaned</vt:lpstr>
      <vt:lpstr>Pivot Tables</vt:lpstr>
      <vt:lpstr>Business Questions</vt:lpstr>
      <vt:lpstr>Shoe_Sale Power Query</vt:lpstr>
      <vt:lpstr>Shoe Sales</vt:lpstr>
      <vt:lpstr>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dc:creator>
  <cp:lastModifiedBy>AY .</cp:lastModifiedBy>
  <cp:lastPrinted>2026-08-31T18:45:57Z</cp:lastPrinted>
  <dcterms:created xsi:type="dcterms:W3CDTF">2026-05-12T11:30:47Z</dcterms:created>
  <dcterms:modified xsi:type="dcterms:W3CDTF">2026-09-22T18:53:37Z</dcterms:modified>
</cp:coreProperties>
</file>